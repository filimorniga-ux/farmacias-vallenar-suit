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guelperdomoserrato/Desktop/"/>
    </mc:Choice>
  </mc:AlternateContent>
  <xr:revisionPtr revIDLastSave="0" documentId="8_{7F2C53A2-3043-1347-94D4-F93D4DAE7EB1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tock Actual" sheetId="1" r:id="rId1"/>
  </sheets>
  <definedNames>
    <definedName name="_xlnm._FilterDatabase" localSheetId="0" hidden="1">'Stock Actual'!$A$2:$K$4995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12" i="1" l="1"/>
  <c r="H4459" i="1"/>
  <c r="H4458" i="1"/>
  <c r="H4011" i="1"/>
  <c r="H4457" i="1"/>
  <c r="H4456" i="1"/>
  <c r="H4010" i="1"/>
  <c r="H4009" i="1"/>
  <c r="H4008" i="1"/>
  <c r="H4007" i="1"/>
  <c r="H4984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4983" i="1"/>
  <c r="H4455" i="1"/>
  <c r="H3992" i="1"/>
  <c r="H4454" i="1"/>
  <c r="H3991" i="1"/>
  <c r="H3990" i="1"/>
  <c r="H3989" i="1"/>
  <c r="H3988" i="1"/>
  <c r="H3987" i="1"/>
  <c r="H3986" i="1"/>
  <c r="H3985" i="1"/>
  <c r="H3984" i="1"/>
  <c r="H3983" i="1"/>
  <c r="H3982" i="1"/>
  <c r="H4453" i="1"/>
  <c r="H4452" i="1"/>
  <c r="H3981" i="1"/>
  <c r="H3980" i="1"/>
  <c r="H3979" i="1"/>
  <c r="H4982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4743" i="1"/>
  <c r="H4742" i="1"/>
  <c r="H3958" i="1"/>
  <c r="H3957" i="1"/>
  <c r="H4741" i="1"/>
  <c r="H4981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4980" i="1"/>
  <c r="H4979" i="1"/>
  <c r="H3929" i="1"/>
  <c r="H3928" i="1"/>
  <c r="H3927" i="1"/>
  <c r="H4978" i="1"/>
  <c r="H3926" i="1"/>
  <c r="H4977" i="1"/>
  <c r="H4976" i="1"/>
  <c r="H4975" i="1"/>
  <c r="H4974" i="1"/>
  <c r="H3925" i="1"/>
  <c r="H4973" i="1"/>
  <c r="H4972" i="1"/>
  <c r="H4971" i="1"/>
  <c r="H3924" i="1"/>
  <c r="H3923" i="1"/>
  <c r="H3922" i="1"/>
  <c r="H3921" i="1"/>
  <c r="H3920" i="1"/>
  <c r="H3919" i="1"/>
  <c r="H3918" i="1"/>
  <c r="H3917" i="1"/>
  <c r="H3916" i="1"/>
  <c r="H3915" i="1"/>
  <c r="H3914" i="1"/>
  <c r="H4970" i="1"/>
  <c r="H3913" i="1"/>
  <c r="H3912" i="1"/>
  <c r="H3911" i="1"/>
  <c r="H3910" i="1"/>
  <c r="H4969" i="1"/>
  <c r="H3909" i="1"/>
  <c r="H3908" i="1"/>
  <c r="H3907" i="1"/>
  <c r="H3906" i="1"/>
  <c r="H3905" i="1"/>
  <c r="H3904" i="1"/>
  <c r="H3903" i="1"/>
  <c r="H3902" i="1"/>
  <c r="H3901" i="1"/>
  <c r="H3900" i="1"/>
  <c r="H4740" i="1"/>
  <c r="H3899" i="1"/>
  <c r="H4968" i="1"/>
  <c r="H4967" i="1"/>
  <c r="H3898" i="1"/>
  <c r="H3897" i="1"/>
  <c r="H3896" i="1"/>
  <c r="H3895" i="1"/>
  <c r="H3894" i="1"/>
  <c r="H3893" i="1"/>
  <c r="H3892" i="1"/>
  <c r="H3891" i="1"/>
  <c r="H4966" i="1"/>
  <c r="H3890" i="1"/>
  <c r="H3889" i="1"/>
  <c r="H3888" i="1"/>
  <c r="H4965" i="1"/>
  <c r="H3887" i="1"/>
  <c r="H3886" i="1"/>
  <c r="H4451" i="1"/>
  <c r="H4450" i="1"/>
  <c r="H4449" i="1"/>
  <c r="H3885" i="1"/>
  <c r="H3884" i="1"/>
  <c r="H3883" i="1"/>
  <c r="H3882" i="1"/>
  <c r="H3881" i="1"/>
  <c r="H459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4448" i="1"/>
  <c r="H3868" i="1"/>
  <c r="H3867" i="1"/>
  <c r="H3866" i="1"/>
  <c r="H3865" i="1"/>
  <c r="H3864" i="1"/>
  <c r="H3863" i="1"/>
  <c r="H3862" i="1"/>
  <c r="H3861" i="1"/>
  <c r="H3860" i="1"/>
  <c r="H4447" i="1"/>
  <c r="H3859" i="1"/>
  <c r="H4964" i="1"/>
  <c r="H3858" i="1"/>
  <c r="H4446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4445" i="1"/>
  <c r="H3801" i="1"/>
  <c r="H3800" i="1"/>
  <c r="H3799" i="1"/>
  <c r="H4444" i="1"/>
  <c r="H3798" i="1"/>
  <c r="H4739" i="1"/>
  <c r="H3797" i="1"/>
  <c r="H3796" i="1"/>
  <c r="H3795" i="1"/>
  <c r="H3794" i="1"/>
  <c r="H3793" i="1"/>
  <c r="H4443" i="1"/>
  <c r="H3792" i="1"/>
  <c r="H3791" i="1"/>
  <c r="H4442" i="1"/>
  <c r="H3790" i="1"/>
  <c r="H3789" i="1"/>
  <c r="H3788" i="1"/>
  <c r="H3787" i="1"/>
  <c r="H4441" i="1"/>
  <c r="H4440" i="1"/>
  <c r="H3786" i="1"/>
  <c r="H4439" i="1"/>
  <c r="H4438" i="1"/>
  <c r="H4437" i="1"/>
  <c r="H4436" i="1"/>
  <c r="H4435" i="1"/>
  <c r="H4434" i="1"/>
  <c r="H4433" i="1"/>
  <c r="H4432" i="1"/>
  <c r="H3785" i="1"/>
  <c r="H3784" i="1"/>
  <c r="H3783" i="1"/>
  <c r="H4431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4963" i="1"/>
  <c r="H3766" i="1"/>
  <c r="H3765" i="1"/>
  <c r="H3764" i="1"/>
  <c r="H3763" i="1"/>
  <c r="H3762" i="1"/>
  <c r="H3761" i="1"/>
  <c r="H4962" i="1"/>
  <c r="H3760" i="1"/>
  <c r="H4430" i="1"/>
  <c r="H4429" i="1"/>
  <c r="H3759" i="1"/>
  <c r="H3758" i="1"/>
  <c r="H4738" i="1"/>
  <c r="H3757" i="1"/>
  <c r="H3756" i="1"/>
  <c r="H3755" i="1"/>
  <c r="H4961" i="1"/>
  <c r="H3754" i="1"/>
  <c r="H3753" i="1"/>
  <c r="H3752" i="1"/>
  <c r="H4590" i="1"/>
  <c r="H4589" i="1"/>
  <c r="H3751" i="1"/>
  <c r="H3750" i="1"/>
  <c r="H3749" i="1"/>
  <c r="H3748" i="1"/>
  <c r="H4960" i="1"/>
  <c r="H4959" i="1"/>
  <c r="H3747" i="1"/>
  <c r="H4588" i="1"/>
  <c r="H4428" i="1"/>
  <c r="H442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4958" i="1"/>
  <c r="H4426" i="1"/>
  <c r="H3730" i="1"/>
  <c r="H3729" i="1"/>
  <c r="H3728" i="1"/>
  <c r="H3727" i="1"/>
  <c r="H3726" i="1"/>
  <c r="H3725" i="1"/>
  <c r="H3724" i="1"/>
  <c r="H3723" i="1"/>
  <c r="H4957" i="1"/>
  <c r="H3722" i="1"/>
  <c r="H3721" i="1"/>
  <c r="H3720" i="1"/>
  <c r="H4425" i="1"/>
  <c r="H4424" i="1"/>
  <c r="H3719" i="1"/>
  <c r="H3718" i="1"/>
  <c r="H3717" i="1"/>
  <c r="H3716" i="1"/>
  <c r="H3715" i="1"/>
  <c r="H3714" i="1"/>
  <c r="H4737" i="1"/>
  <c r="H3713" i="1"/>
  <c r="H3712" i="1"/>
  <c r="H3711" i="1"/>
  <c r="H4736" i="1"/>
  <c r="H3710" i="1"/>
  <c r="H3709" i="1"/>
  <c r="H3708" i="1"/>
  <c r="H4587" i="1"/>
  <c r="H3707" i="1"/>
  <c r="H3706" i="1"/>
  <c r="H3705" i="1"/>
  <c r="H3704" i="1"/>
  <c r="H3703" i="1"/>
  <c r="H3702" i="1"/>
  <c r="H4956" i="1"/>
  <c r="H4955" i="1"/>
  <c r="H4954" i="1"/>
  <c r="H3701" i="1"/>
  <c r="H3700" i="1"/>
  <c r="H4735" i="1"/>
  <c r="H3699" i="1"/>
  <c r="H3698" i="1"/>
  <c r="H4423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4734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4422" i="1"/>
  <c r="H3646" i="1"/>
  <c r="H3645" i="1"/>
  <c r="H3644" i="1"/>
  <c r="H3643" i="1"/>
  <c r="H3642" i="1"/>
  <c r="H4733" i="1"/>
  <c r="H3641" i="1"/>
  <c r="H3640" i="1"/>
  <c r="H4421" i="1"/>
  <c r="H4420" i="1"/>
  <c r="H4419" i="1"/>
  <c r="H3639" i="1"/>
  <c r="H3638" i="1"/>
  <c r="H3637" i="1"/>
  <c r="H3636" i="1"/>
  <c r="H3635" i="1"/>
  <c r="H3634" i="1"/>
  <c r="H3633" i="1"/>
  <c r="H3632" i="1"/>
  <c r="H3631" i="1"/>
  <c r="H4418" i="1"/>
  <c r="H4417" i="1"/>
  <c r="H4416" i="1"/>
  <c r="H3630" i="1"/>
  <c r="H3629" i="1"/>
  <c r="H3628" i="1"/>
  <c r="H3627" i="1"/>
  <c r="H3626" i="1"/>
  <c r="H3625" i="1"/>
  <c r="H4732" i="1"/>
  <c r="H3624" i="1"/>
  <c r="H4953" i="1"/>
  <c r="H3623" i="1"/>
  <c r="H3622" i="1"/>
  <c r="H3621" i="1"/>
  <c r="H3620" i="1"/>
  <c r="H3619" i="1"/>
  <c r="H4586" i="1"/>
  <c r="H3618" i="1"/>
  <c r="H3617" i="1"/>
  <c r="H3616" i="1"/>
  <c r="H3615" i="1"/>
  <c r="H3614" i="1"/>
  <c r="H3613" i="1"/>
  <c r="H3612" i="1"/>
  <c r="H4415" i="1"/>
  <c r="H3611" i="1"/>
  <c r="H3610" i="1"/>
  <c r="H3609" i="1"/>
  <c r="H4414" i="1"/>
  <c r="H4413" i="1"/>
  <c r="H4412" i="1"/>
  <c r="H4411" i="1"/>
  <c r="H4410" i="1"/>
  <c r="H3608" i="1"/>
  <c r="H3607" i="1"/>
  <c r="H3606" i="1"/>
  <c r="H3605" i="1"/>
  <c r="H3604" i="1"/>
  <c r="H3603" i="1"/>
  <c r="H3602" i="1"/>
  <c r="H4409" i="1"/>
  <c r="H4408" i="1"/>
  <c r="H4407" i="1"/>
  <c r="H3601" i="1"/>
  <c r="H4406" i="1"/>
  <c r="H4405" i="1"/>
  <c r="H3600" i="1"/>
  <c r="H4731" i="1"/>
  <c r="H4474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4404" i="1"/>
  <c r="H3578" i="1"/>
  <c r="H3577" i="1"/>
  <c r="H3576" i="1"/>
  <c r="H4403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4402" i="1"/>
  <c r="H3558" i="1"/>
  <c r="H4401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4400" i="1"/>
  <c r="H4399" i="1"/>
  <c r="H3538" i="1"/>
  <c r="H439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4730" i="1"/>
  <c r="H3522" i="1"/>
  <c r="H3521" i="1"/>
  <c r="H4952" i="1"/>
  <c r="H3520" i="1"/>
  <c r="H4397" i="1"/>
  <c r="H4396" i="1"/>
  <c r="H3519" i="1"/>
  <c r="H3518" i="1"/>
  <c r="H3517" i="1"/>
  <c r="H4028" i="1"/>
  <c r="H3516" i="1"/>
  <c r="H4027" i="1"/>
  <c r="H3515" i="1"/>
  <c r="H4026" i="1"/>
  <c r="H4025" i="1"/>
  <c r="H4024" i="1"/>
  <c r="H4023" i="1"/>
  <c r="H3514" i="1"/>
  <c r="H4951" i="1"/>
  <c r="H4729" i="1"/>
  <c r="H3513" i="1"/>
  <c r="H3512" i="1"/>
  <c r="H3511" i="1"/>
  <c r="H3510" i="1"/>
  <c r="H3509" i="1"/>
  <c r="H3508" i="1"/>
  <c r="H4395" i="1"/>
  <c r="H3507" i="1"/>
  <c r="H3506" i="1"/>
  <c r="H3505" i="1"/>
  <c r="H3504" i="1"/>
  <c r="H3503" i="1"/>
  <c r="H3502" i="1"/>
  <c r="H4585" i="1"/>
  <c r="H4584" i="1"/>
  <c r="H3501" i="1"/>
  <c r="H3500" i="1"/>
  <c r="H3499" i="1"/>
  <c r="H3498" i="1"/>
  <c r="H3497" i="1"/>
  <c r="H4950" i="1"/>
  <c r="H4949" i="1"/>
  <c r="H3496" i="1"/>
  <c r="H3495" i="1"/>
  <c r="H3494" i="1"/>
  <c r="H3493" i="1"/>
  <c r="H3492" i="1"/>
  <c r="H3491" i="1"/>
  <c r="H3490" i="1"/>
  <c r="H3489" i="1"/>
  <c r="H3488" i="1"/>
  <c r="H3487" i="1"/>
  <c r="H3486" i="1"/>
  <c r="H4948" i="1"/>
  <c r="H4947" i="1"/>
  <c r="H3485" i="1"/>
  <c r="H3484" i="1"/>
  <c r="H3483" i="1"/>
  <c r="H3482" i="1"/>
  <c r="H3481" i="1"/>
  <c r="H3480" i="1"/>
  <c r="H3479" i="1"/>
  <c r="H4946" i="1"/>
  <c r="H4945" i="1"/>
  <c r="H3478" i="1"/>
  <c r="H4944" i="1"/>
  <c r="H3477" i="1"/>
  <c r="H3476" i="1"/>
  <c r="H3475" i="1"/>
  <c r="H3474" i="1"/>
  <c r="H3473" i="1"/>
  <c r="H3472" i="1"/>
  <c r="H3471" i="1"/>
  <c r="H3470" i="1"/>
  <c r="H4728" i="1"/>
  <c r="H4727" i="1"/>
  <c r="H3469" i="1"/>
  <c r="H4726" i="1"/>
  <c r="H3468" i="1"/>
  <c r="H3467" i="1"/>
  <c r="H4725" i="1"/>
  <c r="H3466" i="1"/>
  <c r="H4724" i="1"/>
  <c r="H3465" i="1"/>
  <c r="H4723" i="1"/>
  <c r="H4722" i="1"/>
  <c r="H4721" i="1"/>
  <c r="H4720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4943" i="1"/>
  <c r="H4719" i="1"/>
  <c r="H3442" i="1"/>
  <c r="H4718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4469" i="1"/>
  <c r="H3364" i="1"/>
  <c r="H3363" i="1"/>
  <c r="H3362" i="1"/>
  <c r="H3361" i="1"/>
  <c r="H3360" i="1"/>
  <c r="H3359" i="1"/>
  <c r="H3358" i="1"/>
  <c r="H3357" i="1"/>
  <c r="H3356" i="1"/>
  <c r="H3355" i="1"/>
  <c r="H4394" i="1"/>
  <c r="H3354" i="1"/>
  <c r="H3353" i="1"/>
  <c r="H3352" i="1"/>
  <c r="H4393" i="1"/>
  <c r="H3351" i="1"/>
  <c r="H4717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4942" i="1"/>
  <c r="H4941" i="1"/>
  <c r="H4940" i="1"/>
  <c r="H3331" i="1"/>
  <c r="H3330" i="1"/>
  <c r="H3329" i="1"/>
  <c r="H3328" i="1"/>
  <c r="H3327" i="1"/>
  <c r="H3326" i="1"/>
  <c r="H3325" i="1"/>
  <c r="H3324" i="1"/>
  <c r="H3323" i="1"/>
  <c r="H3322" i="1"/>
  <c r="H3321" i="1"/>
  <c r="H4939" i="1"/>
  <c r="H4938" i="1"/>
  <c r="H4937" i="1"/>
  <c r="H4936" i="1"/>
  <c r="H3320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4921" i="1"/>
  <c r="H4920" i="1"/>
  <c r="H3300" i="1"/>
  <c r="H3299" i="1"/>
  <c r="H3298" i="1"/>
  <c r="H4392" i="1"/>
  <c r="H3297" i="1"/>
  <c r="H3296" i="1"/>
  <c r="H3295" i="1"/>
  <c r="H3294" i="1"/>
  <c r="H3293" i="1"/>
  <c r="H4391" i="1"/>
  <c r="H4390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4389" i="1"/>
  <c r="H4388" i="1"/>
  <c r="H3275" i="1"/>
  <c r="H3274" i="1"/>
  <c r="H3273" i="1"/>
  <c r="H4716" i="1"/>
  <c r="H4715" i="1"/>
  <c r="H4387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438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4714" i="1"/>
  <c r="H3243" i="1"/>
  <c r="H3242" i="1"/>
  <c r="H3241" i="1"/>
  <c r="H4583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4919" i="1"/>
  <c r="H4918" i="1"/>
  <c r="H4917" i="1"/>
  <c r="H4916" i="1"/>
  <c r="H3203" i="1"/>
  <c r="H3202" i="1"/>
  <c r="H4713" i="1"/>
  <c r="H3201" i="1"/>
  <c r="H3200" i="1"/>
  <c r="H3199" i="1"/>
  <c r="H3198" i="1"/>
  <c r="H3197" i="1"/>
  <c r="H3196" i="1"/>
  <c r="H3195" i="1"/>
  <c r="H3194" i="1"/>
  <c r="H3193" i="1"/>
  <c r="H3192" i="1"/>
  <c r="H3191" i="1"/>
  <c r="H4582" i="1"/>
  <c r="H3190" i="1"/>
  <c r="H3189" i="1"/>
  <c r="H4385" i="1"/>
  <c r="H4712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4581" i="1"/>
  <c r="H3152" i="1"/>
  <c r="H3151" i="1"/>
  <c r="H3150" i="1"/>
  <c r="H3149" i="1"/>
  <c r="H3148" i="1"/>
  <c r="H3147" i="1"/>
  <c r="H3146" i="1"/>
  <c r="H4384" i="1"/>
  <c r="H4383" i="1"/>
  <c r="H3145" i="1"/>
  <c r="H3144" i="1"/>
  <c r="H3143" i="1"/>
  <c r="H4382" i="1"/>
  <c r="H3142" i="1"/>
  <c r="H3141" i="1"/>
  <c r="H3140" i="1"/>
  <c r="H3139" i="1"/>
  <c r="H3138" i="1"/>
  <c r="H3137" i="1"/>
  <c r="H3136" i="1"/>
  <c r="H4580" i="1"/>
  <c r="H3135" i="1"/>
  <c r="H3134" i="1"/>
  <c r="H3133" i="1"/>
  <c r="H3132" i="1"/>
  <c r="H3131" i="1"/>
  <c r="H471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4915" i="1"/>
  <c r="H4914" i="1"/>
  <c r="H4381" i="1"/>
  <c r="H4380" i="1"/>
  <c r="H4379" i="1"/>
  <c r="H4579" i="1"/>
  <c r="H4578" i="1"/>
  <c r="H4577" i="1"/>
  <c r="H4576" i="1"/>
  <c r="H3072" i="1"/>
  <c r="H3071" i="1"/>
  <c r="H4913" i="1"/>
  <c r="H3070" i="1"/>
  <c r="H4575" i="1"/>
  <c r="H4574" i="1"/>
  <c r="H3069" i="1"/>
  <c r="H3068" i="1"/>
  <c r="H4573" i="1"/>
  <c r="H4912" i="1"/>
  <c r="H3067" i="1"/>
  <c r="H3066" i="1"/>
  <c r="H4911" i="1"/>
  <c r="H3065" i="1"/>
  <c r="H4910" i="1"/>
  <c r="H3064" i="1"/>
  <c r="H4909" i="1"/>
  <c r="H4378" i="1"/>
  <c r="H3063" i="1"/>
  <c r="H3062" i="1"/>
  <c r="H3061" i="1"/>
  <c r="H3060" i="1"/>
  <c r="H3059" i="1"/>
  <c r="H3058" i="1"/>
  <c r="H3057" i="1"/>
  <c r="H3056" i="1"/>
  <c r="H3055" i="1"/>
  <c r="H4572" i="1"/>
  <c r="H3054" i="1"/>
  <c r="H4571" i="1"/>
  <c r="H3053" i="1"/>
  <c r="H3052" i="1"/>
  <c r="H4908" i="1"/>
  <c r="H4907" i="1"/>
  <c r="H4570" i="1"/>
  <c r="H3051" i="1"/>
  <c r="H3050" i="1"/>
  <c r="H3049" i="1"/>
  <c r="H3048" i="1"/>
  <c r="H3047" i="1"/>
  <c r="H4377" i="1"/>
  <c r="H4376" i="1"/>
  <c r="H4710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4906" i="1"/>
  <c r="H3033" i="1"/>
  <c r="H3032" i="1"/>
  <c r="H3031" i="1"/>
  <c r="H3030" i="1"/>
  <c r="H4473" i="1"/>
  <c r="H3029" i="1"/>
  <c r="H3028" i="1"/>
  <c r="H3027" i="1"/>
  <c r="H3026" i="1"/>
  <c r="H3025" i="1"/>
  <c r="H3024" i="1"/>
  <c r="H3023" i="1"/>
  <c r="H4375" i="1"/>
  <c r="H4374" i="1"/>
  <c r="H4373" i="1"/>
  <c r="H3022" i="1"/>
  <c r="H437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4569" i="1"/>
  <c r="H4371" i="1"/>
  <c r="H2999" i="1"/>
  <c r="H2998" i="1"/>
  <c r="H4370" i="1"/>
  <c r="H2997" i="1"/>
  <c r="H2996" i="1"/>
  <c r="H2995" i="1"/>
  <c r="H2994" i="1"/>
  <c r="H2993" i="1"/>
  <c r="H2992" i="1"/>
  <c r="H4369" i="1"/>
  <c r="H2991" i="1"/>
  <c r="H2990" i="1"/>
  <c r="H2989" i="1"/>
  <c r="H4905" i="1"/>
  <c r="H4709" i="1"/>
  <c r="H2988" i="1"/>
  <c r="H2987" i="1"/>
  <c r="H2986" i="1"/>
  <c r="H2985" i="1"/>
  <c r="H2984" i="1"/>
  <c r="H2983" i="1"/>
  <c r="H2982" i="1"/>
  <c r="H2981" i="1"/>
  <c r="H2980" i="1"/>
  <c r="H4368" i="1"/>
  <c r="H2979" i="1"/>
  <c r="H2978" i="1"/>
  <c r="H2977" i="1"/>
  <c r="H2976" i="1"/>
  <c r="H2975" i="1"/>
  <c r="H2974" i="1"/>
  <c r="H2973" i="1"/>
  <c r="H2972" i="1"/>
  <c r="H2971" i="1"/>
  <c r="H4367" i="1"/>
  <c r="H2970" i="1"/>
  <c r="H2969" i="1"/>
  <c r="H2968" i="1"/>
  <c r="H2967" i="1"/>
  <c r="H2966" i="1"/>
  <c r="H2965" i="1"/>
  <c r="H2964" i="1"/>
  <c r="H2963" i="1"/>
  <c r="H4468" i="1"/>
  <c r="H2962" i="1"/>
  <c r="H2961" i="1"/>
  <c r="H2960" i="1"/>
  <c r="H2959" i="1"/>
  <c r="H2958" i="1"/>
  <c r="H2957" i="1"/>
  <c r="H2956" i="1"/>
  <c r="H4568" i="1"/>
  <c r="H2955" i="1"/>
  <c r="H2954" i="1"/>
  <c r="H2953" i="1"/>
  <c r="H2952" i="1"/>
  <c r="H2951" i="1"/>
  <c r="H2950" i="1"/>
  <c r="H2949" i="1"/>
  <c r="H2948" i="1"/>
  <c r="H2947" i="1"/>
  <c r="H4904" i="1"/>
  <c r="H2946" i="1"/>
  <c r="H4903" i="1"/>
  <c r="H4366" i="1"/>
  <c r="H2945" i="1"/>
  <c r="H2944" i="1"/>
  <c r="H4365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4708" i="1"/>
  <c r="H4707" i="1"/>
  <c r="H2920" i="1"/>
  <c r="H2919" i="1"/>
  <c r="H2918" i="1"/>
  <c r="H2917" i="1"/>
  <c r="H4706" i="1"/>
  <c r="H4705" i="1"/>
  <c r="H2916" i="1"/>
  <c r="H2915" i="1"/>
  <c r="H4902" i="1"/>
  <c r="H2914" i="1"/>
  <c r="H2913" i="1"/>
  <c r="H2912" i="1"/>
  <c r="H2911" i="1"/>
  <c r="H2910" i="1"/>
  <c r="H2909" i="1"/>
  <c r="H2908" i="1"/>
  <c r="H2907" i="1"/>
  <c r="H2906" i="1"/>
  <c r="H2905" i="1"/>
  <c r="H4364" i="1"/>
  <c r="H2904" i="1"/>
  <c r="H2903" i="1"/>
  <c r="H436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4901" i="1"/>
  <c r="H2890" i="1"/>
  <c r="H4362" i="1"/>
  <c r="H4361" i="1"/>
  <c r="H2889" i="1"/>
  <c r="H2888" i="1"/>
  <c r="H2887" i="1"/>
  <c r="H2886" i="1"/>
  <c r="H2885" i="1"/>
  <c r="H2884" i="1"/>
  <c r="H2883" i="1"/>
  <c r="H2882" i="1"/>
  <c r="H2881" i="1"/>
  <c r="H2880" i="1"/>
  <c r="H4567" i="1"/>
  <c r="H4900" i="1"/>
  <c r="H4704" i="1"/>
  <c r="H2879" i="1"/>
  <c r="H2878" i="1"/>
  <c r="H2877" i="1"/>
  <c r="H2876" i="1"/>
  <c r="H4899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4360" i="1"/>
  <c r="H4359" i="1"/>
  <c r="H4358" i="1"/>
  <c r="H4357" i="1"/>
  <c r="H2843" i="1"/>
  <c r="H2842" i="1"/>
  <c r="H4356" i="1"/>
  <c r="H2841" i="1"/>
  <c r="H2840" i="1"/>
  <c r="H2839" i="1"/>
  <c r="H2838" i="1"/>
  <c r="H4703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4566" i="1"/>
  <c r="H2815" i="1"/>
  <c r="H2814" i="1"/>
  <c r="H2813" i="1"/>
  <c r="H2812" i="1"/>
  <c r="H2811" i="1"/>
  <c r="H4565" i="1"/>
  <c r="H4564" i="1"/>
  <c r="H4898" i="1"/>
  <c r="H4897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4702" i="1"/>
  <c r="H2798" i="1"/>
  <c r="H2797" i="1"/>
  <c r="H4701" i="1"/>
  <c r="H2796" i="1"/>
  <c r="H2795" i="1"/>
  <c r="H2794" i="1"/>
  <c r="H2793" i="1"/>
  <c r="H2792" i="1"/>
  <c r="H2791" i="1"/>
  <c r="H2790" i="1"/>
  <c r="H4896" i="1"/>
  <c r="H4895" i="1"/>
  <c r="H2789" i="1"/>
  <c r="H2788" i="1"/>
  <c r="H4563" i="1"/>
  <c r="H2787" i="1"/>
  <c r="H2786" i="1"/>
  <c r="H4700" i="1"/>
  <c r="H2785" i="1"/>
  <c r="H2784" i="1"/>
  <c r="H4699" i="1"/>
  <c r="H2783" i="1"/>
  <c r="H2782" i="1"/>
  <c r="H2781" i="1"/>
  <c r="H2780" i="1"/>
  <c r="H4698" i="1"/>
  <c r="H2779" i="1"/>
  <c r="H4894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4355" i="1"/>
  <c r="H4354" i="1"/>
  <c r="H4353" i="1"/>
  <c r="H2753" i="1"/>
  <c r="H4893" i="1"/>
  <c r="H4892" i="1"/>
  <c r="H4891" i="1"/>
  <c r="H4890" i="1"/>
  <c r="H4697" i="1"/>
  <c r="H4696" i="1"/>
  <c r="H2752" i="1"/>
  <c r="H4889" i="1"/>
  <c r="H4888" i="1"/>
  <c r="H4887" i="1"/>
  <c r="H2751" i="1"/>
  <c r="H4352" i="1"/>
  <c r="H4351" i="1"/>
  <c r="H4350" i="1"/>
  <c r="H2750" i="1"/>
  <c r="H2749" i="1"/>
  <c r="H4349" i="1"/>
  <c r="H2748" i="1"/>
  <c r="H2747" i="1"/>
  <c r="H4348" i="1"/>
  <c r="H4347" i="1"/>
  <c r="H4346" i="1"/>
  <c r="H2746" i="1"/>
  <c r="H2745" i="1"/>
  <c r="H2744" i="1"/>
  <c r="H4345" i="1"/>
  <c r="H2743" i="1"/>
  <c r="H2742" i="1"/>
  <c r="H2741" i="1"/>
  <c r="H2740" i="1"/>
  <c r="H2739" i="1"/>
  <c r="H2738" i="1"/>
  <c r="H2737" i="1"/>
  <c r="H2736" i="1"/>
  <c r="H2735" i="1"/>
  <c r="H2734" i="1"/>
  <c r="H4886" i="1"/>
  <c r="H2733" i="1"/>
  <c r="H2732" i="1"/>
  <c r="H2731" i="1"/>
  <c r="H2730" i="1"/>
  <c r="H2729" i="1"/>
  <c r="H2728" i="1"/>
  <c r="H2727" i="1"/>
  <c r="H4695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4885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4562" i="1"/>
  <c r="H2689" i="1"/>
  <c r="H2688" i="1"/>
  <c r="H2687" i="1"/>
  <c r="H4344" i="1"/>
  <c r="H2686" i="1"/>
  <c r="H2685" i="1"/>
  <c r="H2684" i="1"/>
  <c r="H48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4343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4694" i="1"/>
  <c r="H4693" i="1"/>
  <c r="H4692" i="1"/>
  <c r="H4691" i="1"/>
  <c r="H2606" i="1"/>
  <c r="H4690" i="1"/>
  <c r="H4689" i="1"/>
  <c r="H2605" i="1"/>
  <c r="H2604" i="1"/>
  <c r="H4688" i="1"/>
  <c r="H4687" i="1"/>
  <c r="H4686" i="1"/>
  <c r="H4685" i="1"/>
  <c r="H468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4342" i="1"/>
  <c r="H2574" i="1"/>
  <c r="H4341" i="1"/>
  <c r="H2573" i="1"/>
  <c r="H2572" i="1"/>
  <c r="H2571" i="1"/>
  <c r="H2570" i="1"/>
  <c r="H2569" i="1"/>
  <c r="H4883" i="1"/>
  <c r="H2568" i="1"/>
  <c r="H4882" i="1"/>
  <c r="H4561" i="1"/>
  <c r="H2567" i="1"/>
  <c r="H2566" i="1"/>
  <c r="H4340" i="1"/>
  <c r="H4560" i="1"/>
  <c r="H4339" i="1"/>
  <c r="H2565" i="1"/>
  <c r="H2564" i="1"/>
  <c r="H2563" i="1"/>
  <c r="H2562" i="1"/>
  <c r="H4683" i="1"/>
  <c r="H4682" i="1"/>
  <c r="H4681" i="1"/>
  <c r="H2561" i="1"/>
  <c r="H2560" i="1"/>
  <c r="H2559" i="1"/>
  <c r="H2558" i="1"/>
  <c r="H2557" i="1"/>
  <c r="H2556" i="1"/>
  <c r="H2555" i="1"/>
  <c r="H4467" i="1"/>
  <c r="H2554" i="1"/>
  <c r="H2553" i="1"/>
  <c r="H2552" i="1"/>
  <c r="H2551" i="1"/>
  <c r="H4559" i="1"/>
  <c r="H2550" i="1"/>
  <c r="H2549" i="1"/>
  <c r="H2548" i="1"/>
  <c r="H4338" i="1"/>
  <c r="H2547" i="1"/>
  <c r="H4337" i="1"/>
  <c r="H2546" i="1"/>
  <c r="H2545" i="1"/>
  <c r="H2544" i="1"/>
  <c r="H2543" i="1"/>
  <c r="H2542" i="1"/>
  <c r="H2541" i="1"/>
  <c r="H4336" i="1"/>
  <c r="H4335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4558" i="1"/>
  <c r="H2526" i="1"/>
  <c r="H2525" i="1"/>
  <c r="H2524" i="1"/>
  <c r="H2523" i="1"/>
  <c r="H2522" i="1"/>
  <c r="H2521" i="1"/>
  <c r="H2520" i="1"/>
  <c r="H2519" i="1"/>
  <c r="H4881" i="1"/>
  <c r="H2518" i="1"/>
  <c r="H2517" i="1"/>
  <c r="H2516" i="1"/>
  <c r="H2515" i="1"/>
  <c r="H2514" i="1"/>
  <c r="H4880" i="1"/>
  <c r="H4879" i="1"/>
  <c r="H2513" i="1"/>
  <c r="H2512" i="1"/>
  <c r="H2511" i="1"/>
  <c r="H2510" i="1"/>
  <c r="H2509" i="1"/>
  <c r="H2508" i="1"/>
  <c r="H2507" i="1"/>
  <c r="H4680" i="1"/>
  <c r="H4557" i="1"/>
  <c r="H2506" i="1"/>
  <c r="H2505" i="1"/>
  <c r="H2504" i="1"/>
  <c r="H2503" i="1"/>
  <c r="H2502" i="1"/>
  <c r="H2501" i="1"/>
  <c r="H4334" i="1"/>
  <c r="H2500" i="1"/>
  <c r="H2499" i="1"/>
  <c r="H4333" i="1"/>
  <c r="H2498" i="1"/>
  <c r="H2497" i="1"/>
  <c r="H2496" i="1"/>
  <c r="H4878" i="1"/>
  <c r="H4877" i="1"/>
  <c r="H4876" i="1"/>
  <c r="H2495" i="1"/>
  <c r="H2494" i="1"/>
  <c r="H2493" i="1"/>
  <c r="H2492" i="1"/>
  <c r="H2491" i="1"/>
  <c r="H2490" i="1"/>
  <c r="H4332" i="1"/>
  <c r="H2489" i="1"/>
  <c r="H2488" i="1"/>
  <c r="H2487" i="1"/>
  <c r="H2486" i="1"/>
  <c r="H4022" i="1"/>
  <c r="H4021" i="1"/>
  <c r="H2485" i="1"/>
  <c r="H4020" i="1"/>
  <c r="H2484" i="1"/>
  <c r="H4019" i="1"/>
  <c r="H2483" i="1"/>
  <c r="H2482" i="1"/>
  <c r="H4875" i="1"/>
  <c r="H2481" i="1"/>
  <c r="H2480" i="1"/>
  <c r="H4331" i="1"/>
  <c r="H2479" i="1"/>
  <c r="H2478" i="1"/>
  <c r="H4330" i="1"/>
  <c r="H2477" i="1"/>
  <c r="H4329" i="1"/>
  <c r="H4328" i="1"/>
  <c r="H4556" i="1"/>
  <c r="H2476" i="1"/>
  <c r="H2475" i="1"/>
  <c r="H2474" i="1"/>
  <c r="H2473" i="1"/>
  <c r="H2472" i="1"/>
  <c r="H4679" i="1"/>
  <c r="H4678" i="1"/>
  <c r="H2471" i="1"/>
  <c r="H2470" i="1"/>
  <c r="H4472" i="1"/>
  <c r="H2469" i="1"/>
  <c r="H2468" i="1"/>
  <c r="H2467" i="1"/>
  <c r="H2466" i="1"/>
  <c r="H2465" i="1"/>
  <c r="H2464" i="1"/>
  <c r="H2463" i="1"/>
  <c r="H2462" i="1"/>
  <c r="H2461" i="1"/>
  <c r="H2460" i="1"/>
  <c r="H4555" i="1"/>
  <c r="H2459" i="1"/>
  <c r="H4327" i="1"/>
  <c r="H2458" i="1"/>
  <c r="H2457" i="1"/>
  <c r="H2456" i="1"/>
  <c r="H2455" i="1"/>
  <c r="H2454" i="1"/>
  <c r="H2453" i="1"/>
  <c r="H2452" i="1"/>
  <c r="H2451" i="1"/>
  <c r="H4326" i="1"/>
  <c r="H4325" i="1"/>
  <c r="H4324" i="1"/>
  <c r="H4323" i="1"/>
  <c r="H2450" i="1"/>
  <c r="H2449" i="1"/>
  <c r="H2448" i="1"/>
  <c r="H2447" i="1"/>
  <c r="H2446" i="1"/>
  <c r="H2445" i="1"/>
  <c r="H2444" i="1"/>
  <c r="H2443" i="1"/>
  <c r="H2442" i="1"/>
  <c r="H2441" i="1"/>
  <c r="H2440" i="1"/>
  <c r="H4322" i="1"/>
  <c r="H2439" i="1"/>
  <c r="H4321" i="1"/>
  <c r="H2438" i="1"/>
  <c r="H4320" i="1"/>
  <c r="H2437" i="1"/>
  <c r="H2436" i="1"/>
  <c r="H2435" i="1"/>
  <c r="H2434" i="1"/>
  <c r="H2433" i="1"/>
  <c r="H2432" i="1"/>
  <c r="H2431" i="1"/>
  <c r="H4319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4874" i="1"/>
  <c r="H2410" i="1"/>
  <c r="H2409" i="1"/>
  <c r="H2408" i="1"/>
  <c r="H2407" i="1"/>
  <c r="H4318" i="1"/>
  <c r="H4677" i="1"/>
  <c r="H4676" i="1"/>
  <c r="H4317" i="1"/>
  <c r="H4316" i="1"/>
  <c r="H2406" i="1"/>
  <c r="H2405" i="1"/>
  <c r="H2404" i="1"/>
  <c r="H2403" i="1"/>
  <c r="H2402" i="1"/>
  <c r="H4873" i="1"/>
  <c r="H4872" i="1"/>
  <c r="H2401" i="1"/>
  <c r="H4315" i="1"/>
  <c r="H2400" i="1"/>
  <c r="H4314" i="1"/>
  <c r="H4313" i="1"/>
  <c r="H2399" i="1"/>
  <c r="H2398" i="1"/>
  <c r="H2397" i="1"/>
  <c r="H2396" i="1"/>
  <c r="H2395" i="1"/>
  <c r="H2394" i="1"/>
  <c r="H4466" i="1"/>
  <c r="H2393" i="1"/>
  <c r="H2392" i="1"/>
  <c r="H2391" i="1"/>
  <c r="H2390" i="1"/>
  <c r="H2389" i="1"/>
  <c r="H2388" i="1"/>
  <c r="H4554" i="1"/>
  <c r="H2387" i="1"/>
  <c r="H2386" i="1"/>
  <c r="H2385" i="1"/>
  <c r="H2384" i="1"/>
  <c r="H2383" i="1"/>
  <c r="H4993" i="1"/>
  <c r="H4992" i="1"/>
  <c r="H4991" i="1"/>
  <c r="H4990" i="1"/>
  <c r="H4989" i="1"/>
  <c r="H4988" i="1"/>
  <c r="H4987" i="1"/>
  <c r="H4986" i="1"/>
  <c r="H4985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4871" i="1"/>
  <c r="H4675" i="1"/>
  <c r="H4674" i="1"/>
  <c r="H4673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4553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4870" i="1"/>
  <c r="H2312" i="1"/>
  <c r="H2311" i="1"/>
  <c r="H2310" i="1"/>
  <c r="H2309" i="1"/>
  <c r="H2308" i="1"/>
  <c r="H2307" i="1"/>
  <c r="H2306" i="1"/>
  <c r="H2305" i="1"/>
  <c r="H2304" i="1"/>
  <c r="H2303" i="1"/>
  <c r="H2302" i="1"/>
  <c r="H4312" i="1"/>
  <c r="H2301" i="1"/>
  <c r="H2300" i="1"/>
  <c r="H2299" i="1"/>
  <c r="H2298" i="1"/>
  <c r="H4311" i="1"/>
  <c r="H4310" i="1"/>
  <c r="H4309" i="1"/>
  <c r="H2297" i="1"/>
  <c r="H2296" i="1"/>
  <c r="H2295" i="1"/>
  <c r="H4308" i="1"/>
  <c r="H2294" i="1"/>
  <c r="H2293" i="1"/>
  <c r="H2292" i="1"/>
  <c r="H2291" i="1"/>
  <c r="H2290" i="1"/>
  <c r="H2289" i="1"/>
  <c r="H4552" i="1"/>
  <c r="H2288" i="1"/>
  <c r="H4307" i="1"/>
  <c r="H4306" i="1"/>
  <c r="H4305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4869" i="1"/>
  <c r="H2256" i="1"/>
  <c r="H2255" i="1"/>
  <c r="H2254" i="1"/>
  <c r="H2253" i="1"/>
  <c r="H2252" i="1"/>
  <c r="H2251" i="1"/>
  <c r="H2250" i="1"/>
  <c r="H2249" i="1"/>
  <c r="H4868" i="1"/>
  <c r="H2248" i="1"/>
  <c r="H4304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4551" i="1"/>
  <c r="H2217" i="1"/>
  <c r="H2216" i="1"/>
  <c r="H2215" i="1"/>
  <c r="H2214" i="1"/>
  <c r="H2213" i="1"/>
  <c r="H4303" i="1"/>
  <c r="H4550" i="1"/>
  <c r="H4302" i="1"/>
  <c r="H4301" i="1"/>
  <c r="H4300" i="1"/>
  <c r="H2212" i="1"/>
  <c r="H4299" i="1"/>
  <c r="H2211" i="1"/>
  <c r="H2210" i="1"/>
  <c r="H2209" i="1"/>
  <c r="H4867" i="1"/>
  <c r="H4866" i="1"/>
  <c r="H2208" i="1"/>
  <c r="H2207" i="1"/>
  <c r="H2206" i="1"/>
  <c r="H2205" i="1"/>
  <c r="H4298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4865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4549" i="1"/>
  <c r="H4548" i="1"/>
  <c r="H2175" i="1"/>
  <c r="H4672" i="1"/>
  <c r="H2174" i="1"/>
  <c r="H2173" i="1"/>
  <c r="H4864" i="1"/>
  <c r="H2172" i="1"/>
  <c r="H2171" i="1"/>
  <c r="H2170" i="1"/>
  <c r="H2169" i="1"/>
  <c r="H2168" i="1"/>
  <c r="H2167" i="1"/>
  <c r="H2166" i="1"/>
  <c r="H2165" i="1"/>
  <c r="H2164" i="1"/>
  <c r="H2163" i="1"/>
  <c r="H2162" i="1"/>
  <c r="H4297" i="1"/>
  <c r="H2161" i="1"/>
  <c r="H2160" i="1"/>
  <c r="H2159" i="1"/>
  <c r="H2158" i="1"/>
  <c r="H2157" i="1"/>
  <c r="H2156" i="1"/>
  <c r="H2155" i="1"/>
  <c r="H2154" i="1"/>
  <c r="H2153" i="1"/>
  <c r="H2152" i="1"/>
  <c r="H4296" i="1"/>
  <c r="H2151" i="1"/>
  <c r="H2150" i="1"/>
  <c r="H4671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4547" i="1"/>
  <c r="H2136" i="1"/>
  <c r="H4546" i="1"/>
  <c r="H2135" i="1"/>
  <c r="H4863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4862" i="1"/>
  <c r="H4861" i="1"/>
  <c r="H2118" i="1"/>
  <c r="H2117" i="1"/>
  <c r="H4860" i="1"/>
  <c r="H4859" i="1"/>
  <c r="H2116" i="1"/>
  <c r="H4858" i="1"/>
  <c r="H2115" i="1"/>
  <c r="H4857" i="1"/>
  <c r="H4856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4295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4294" i="1"/>
  <c r="H4293" i="1"/>
  <c r="H4292" i="1"/>
  <c r="H2090" i="1"/>
  <c r="H4291" i="1"/>
  <c r="H4290" i="1"/>
  <c r="H4289" i="1"/>
  <c r="H2089" i="1"/>
  <c r="H4288" i="1"/>
  <c r="H2088" i="1"/>
  <c r="H2087" i="1"/>
  <c r="H2086" i="1"/>
  <c r="H2085" i="1"/>
  <c r="H2084" i="1"/>
  <c r="H2083" i="1"/>
  <c r="H2082" i="1"/>
  <c r="H2081" i="1"/>
  <c r="H2080" i="1"/>
  <c r="H2079" i="1"/>
  <c r="H4855" i="1"/>
  <c r="H2078" i="1"/>
  <c r="H2077" i="1"/>
  <c r="H4287" i="1"/>
  <c r="H2076" i="1"/>
  <c r="H2075" i="1"/>
  <c r="H2074" i="1"/>
  <c r="H2073" i="1"/>
  <c r="H2072" i="1"/>
  <c r="H2071" i="1"/>
  <c r="H2070" i="1"/>
  <c r="H4545" i="1"/>
  <c r="H2069" i="1"/>
  <c r="H2068" i="1"/>
  <c r="H2067" i="1"/>
  <c r="H2066" i="1"/>
  <c r="H2065" i="1"/>
  <c r="H2064" i="1"/>
  <c r="H4286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4285" i="1"/>
  <c r="H4284" i="1"/>
  <c r="H2038" i="1"/>
  <c r="H4283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4854" i="1"/>
  <c r="H2002" i="1"/>
  <c r="H4670" i="1"/>
  <c r="H2001" i="1"/>
  <c r="H2000" i="1"/>
  <c r="H4282" i="1"/>
  <c r="H1999" i="1"/>
  <c r="H1998" i="1"/>
  <c r="H4281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4280" i="1"/>
  <c r="H1978" i="1"/>
  <c r="H1977" i="1"/>
  <c r="H1976" i="1"/>
  <c r="H1975" i="1"/>
  <c r="H4279" i="1"/>
  <c r="H4544" i="1"/>
  <c r="H4278" i="1"/>
  <c r="H4669" i="1"/>
  <c r="H4668" i="1"/>
  <c r="H4667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4666" i="1"/>
  <c r="H1960" i="1"/>
  <c r="H1959" i="1"/>
  <c r="H1958" i="1"/>
  <c r="H4543" i="1"/>
  <c r="H1957" i="1"/>
  <c r="H1956" i="1"/>
  <c r="H4542" i="1"/>
  <c r="H1955" i="1"/>
  <c r="H1954" i="1"/>
  <c r="H1953" i="1"/>
  <c r="H1952" i="1"/>
  <c r="H1951" i="1"/>
  <c r="H1950" i="1"/>
  <c r="H4277" i="1"/>
  <c r="H1949" i="1"/>
  <c r="H4276" i="1"/>
  <c r="H1948" i="1"/>
  <c r="H4275" i="1"/>
  <c r="H4274" i="1"/>
  <c r="H4273" i="1"/>
  <c r="H4272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4541" i="1"/>
  <c r="H1928" i="1"/>
  <c r="H1927" i="1"/>
  <c r="H1926" i="1"/>
  <c r="H1925" i="1"/>
  <c r="H1924" i="1"/>
  <c r="H4271" i="1"/>
  <c r="H4270" i="1"/>
  <c r="H4269" i="1"/>
  <c r="H4268" i="1"/>
  <c r="H4540" i="1"/>
  <c r="H1923" i="1"/>
  <c r="H1922" i="1"/>
  <c r="H4539" i="1"/>
  <c r="H1921" i="1"/>
  <c r="H1920" i="1"/>
  <c r="H4538" i="1"/>
  <c r="H4267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4266" i="1"/>
  <c r="H4265" i="1"/>
  <c r="H4264" i="1"/>
  <c r="H4853" i="1"/>
  <c r="H4852" i="1"/>
  <c r="H1888" i="1"/>
  <c r="H1887" i="1"/>
  <c r="H1886" i="1"/>
  <c r="H1885" i="1"/>
  <c r="H1884" i="1"/>
  <c r="H1883" i="1"/>
  <c r="H1882" i="1"/>
  <c r="H4851" i="1"/>
  <c r="H1881" i="1"/>
  <c r="H1880" i="1"/>
  <c r="H1879" i="1"/>
  <c r="H1878" i="1"/>
  <c r="H1877" i="1"/>
  <c r="H1876" i="1"/>
  <c r="H1875" i="1"/>
  <c r="H1874" i="1"/>
  <c r="H1873" i="1"/>
  <c r="H1872" i="1"/>
  <c r="H4263" i="1"/>
  <c r="H4262" i="1"/>
  <c r="H1871" i="1"/>
  <c r="H1870" i="1"/>
  <c r="H1869" i="1"/>
  <c r="H1868" i="1"/>
  <c r="H4261" i="1"/>
  <c r="H1867" i="1"/>
  <c r="H1866" i="1"/>
  <c r="H1865" i="1"/>
  <c r="H1864" i="1"/>
  <c r="H1863" i="1"/>
  <c r="H4665" i="1"/>
  <c r="H1862" i="1"/>
  <c r="H4850" i="1"/>
  <c r="H4664" i="1"/>
  <c r="H4849" i="1"/>
  <c r="H4848" i="1"/>
  <c r="H1861" i="1"/>
  <c r="H1860" i="1"/>
  <c r="H4663" i="1"/>
  <c r="H1859" i="1"/>
  <c r="H1858" i="1"/>
  <c r="H4260" i="1"/>
  <c r="H1857" i="1"/>
  <c r="H1856" i="1"/>
  <c r="H1855" i="1"/>
  <c r="H1854" i="1"/>
  <c r="H1853" i="1"/>
  <c r="H1852" i="1"/>
  <c r="H1851" i="1"/>
  <c r="H1850" i="1"/>
  <c r="H1849" i="1"/>
  <c r="H1848" i="1"/>
  <c r="H1847" i="1"/>
  <c r="H4662" i="1"/>
  <c r="H1846" i="1"/>
  <c r="H1845" i="1"/>
  <c r="H1844" i="1"/>
  <c r="H1843" i="1"/>
  <c r="H1842" i="1"/>
  <c r="H1841" i="1"/>
  <c r="H1840" i="1"/>
  <c r="H1839" i="1"/>
  <c r="H4847" i="1"/>
  <c r="H1838" i="1"/>
  <c r="H1837" i="1"/>
  <c r="H4846" i="1"/>
  <c r="H1836" i="1"/>
  <c r="H4845" i="1"/>
  <c r="H1835" i="1"/>
  <c r="H4844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4843" i="1"/>
  <c r="H4842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4465" i="1"/>
  <c r="H4841" i="1"/>
  <c r="H4840" i="1"/>
  <c r="H1790" i="1"/>
  <c r="H1789" i="1"/>
  <c r="H4259" i="1"/>
  <c r="H1788" i="1"/>
  <c r="H4258" i="1"/>
  <c r="H1787" i="1"/>
  <c r="H1786" i="1"/>
  <c r="H4839" i="1"/>
  <c r="H4838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4257" i="1"/>
  <c r="H4256" i="1"/>
  <c r="H4661" i="1"/>
  <c r="H4660" i="1"/>
  <c r="H1743" i="1"/>
  <c r="H1742" i="1"/>
  <c r="H1741" i="1"/>
  <c r="H4255" i="1"/>
  <c r="H1740" i="1"/>
  <c r="H4254" i="1"/>
  <c r="H4253" i="1"/>
  <c r="H1739" i="1"/>
  <c r="H4252" i="1"/>
  <c r="H4837" i="1"/>
  <c r="H4251" i="1"/>
  <c r="H4250" i="1"/>
  <c r="H4249" i="1"/>
  <c r="H4248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4537" i="1"/>
  <c r="H1722" i="1"/>
  <c r="H1721" i="1"/>
  <c r="H1720" i="1"/>
  <c r="H1719" i="1"/>
  <c r="H1718" i="1"/>
  <c r="H1717" i="1"/>
  <c r="H1716" i="1"/>
  <c r="H4247" i="1"/>
  <c r="H1715" i="1"/>
  <c r="H1714" i="1"/>
  <c r="H4536" i="1"/>
  <c r="H4246" i="1"/>
  <c r="H1713" i="1"/>
  <c r="H1712" i="1"/>
  <c r="H1711" i="1"/>
  <c r="H1710" i="1"/>
  <c r="H1709" i="1"/>
  <c r="H1708" i="1"/>
  <c r="H1707" i="1"/>
  <c r="H4245" i="1"/>
  <c r="H4244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4535" i="1"/>
  <c r="H1683" i="1"/>
  <c r="H1682" i="1"/>
  <c r="H1681" i="1"/>
  <c r="H1680" i="1"/>
  <c r="H4243" i="1"/>
  <c r="H4659" i="1"/>
  <c r="H1679" i="1"/>
  <c r="H4534" i="1"/>
  <c r="H4470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4836" i="1"/>
  <c r="H4242" i="1"/>
  <c r="H4241" i="1"/>
  <c r="H4240" i="1"/>
  <c r="H1637" i="1"/>
  <c r="H4239" i="1"/>
  <c r="H4238" i="1"/>
  <c r="H4237" i="1"/>
  <c r="H4236" i="1"/>
  <c r="H1636" i="1"/>
  <c r="H1635" i="1"/>
  <c r="H4235" i="1"/>
  <c r="H1634" i="1"/>
  <c r="H1633" i="1"/>
  <c r="H1632" i="1"/>
  <c r="H1631" i="1"/>
  <c r="H1630" i="1"/>
  <c r="H1629" i="1"/>
  <c r="H4658" i="1"/>
  <c r="H4657" i="1"/>
  <c r="H4656" i="1"/>
  <c r="H4655" i="1"/>
  <c r="H4654" i="1"/>
  <c r="H1628" i="1"/>
  <c r="H1627" i="1"/>
  <c r="H1626" i="1"/>
  <c r="H1625" i="1"/>
  <c r="H1624" i="1"/>
  <c r="H1623" i="1"/>
  <c r="H1622" i="1"/>
  <c r="H1621" i="1"/>
  <c r="H1620" i="1"/>
  <c r="H1619" i="1"/>
  <c r="H1618" i="1"/>
  <c r="H4234" i="1"/>
  <c r="H1617" i="1"/>
  <c r="H1616" i="1"/>
  <c r="H1615" i="1"/>
  <c r="H1614" i="1"/>
  <c r="H4233" i="1"/>
  <c r="H4232" i="1"/>
  <c r="H4533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4231" i="1"/>
  <c r="H4230" i="1"/>
  <c r="H1600" i="1"/>
  <c r="H1599" i="1"/>
  <c r="H1598" i="1"/>
  <c r="H1597" i="1"/>
  <c r="H4229" i="1"/>
  <c r="H4228" i="1"/>
  <c r="H1596" i="1"/>
  <c r="H4227" i="1"/>
  <c r="H4226" i="1"/>
  <c r="H4225" i="1"/>
  <c r="H4224" i="1"/>
  <c r="H1595" i="1"/>
  <c r="H4223" i="1"/>
  <c r="H4653" i="1"/>
  <c r="H4652" i="1"/>
  <c r="H4651" i="1"/>
  <c r="H4650" i="1"/>
  <c r="H1594" i="1"/>
  <c r="H1593" i="1"/>
  <c r="H1592" i="1"/>
  <c r="H1591" i="1"/>
  <c r="H1590" i="1"/>
  <c r="H4649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4835" i="1"/>
  <c r="H4648" i="1"/>
  <c r="H1564" i="1"/>
  <c r="H1563" i="1"/>
  <c r="H4532" i="1"/>
  <c r="H1562" i="1"/>
  <c r="H1561" i="1"/>
  <c r="H4834" i="1"/>
  <c r="H4647" i="1"/>
  <c r="H4646" i="1"/>
  <c r="H4645" i="1"/>
  <c r="H1560" i="1"/>
  <c r="H4644" i="1"/>
  <c r="H1559" i="1"/>
  <c r="H4531" i="1"/>
  <c r="H1558" i="1"/>
  <c r="H1557" i="1"/>
  <c r="H1556" i="1"/>
  <c r="H4530" i="1"/>
  <c r="H1555" i="1"/>
  <c r="H1554" i="1"/>
  <c r="H1553" i="1"/>
  <c r="H1552" i="1"/>
  <c r="H1551" i="1"/>
  <c r="H1550" i="1"/>
  <c r="H1549" i="1"/>
  <c r="H1548" i="1"/>
  <c r="H4643" i="1"/>
  <c r="H1547" i="1"/>
  <c r="H1546" i="1"/>
  <c r="H4529" i="1"/>
  <c r="H1545" i="1"/>
  <c r="H4528" i="1"/>
  <c r="H1544" i="1"/>
  <c r="H1543" i="1"/>
  <c r="H1542" i="1"/>
  <c r="H1541" i="1"/>
  <c r="H1540" i="1"/>
  <c r="H1539" i="1"/>
  <c r="H1538" i="1"/>
  <c r="H1537" i="1"/>
  <c r="H1536" i="1"/>
  <c r="H1535" i="1"/>
  <c r="H4222" i="1"/>
  <c r="H1534" i="1"/>
  <c r="H1533" i="1"/>
  <c r="H4527" i="1"/>
  <c r="H4526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4221" i="1"/>
  <c r="H4220" i="1"/>
  <c r="H4219" i="1"/>
  <c r="H4218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4525" i="1"/>
  <c r="H4642" i="1"/>
  <c r="H1481" i="1"/>
  <c r="H4217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4216" i="1"/>
  <c r="H4215" i="1"/>
  <c r="H4214" i="1"/>
  <c r="H4213" i="1"/>
  <c r="H1462" i="1"/>
  <c r="H1461" i="1"/>
  <c r="H4212" i="1"/>
  <c r="H4211" i="1"/>
  <c r="H4210" i="1"/>
  <c r="H4209" i="1"/>
  <c r="H4208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4207" i="1"/>
  <c r="H4206" i="1"/>
  <c r="H1416" i="1"/>
  <c r="H4205" i="1"/>
  <c r="H1415" i="1"/>
  <c r="H4204" i="1"/>
  <c r="H4203" i="1"/>
  <c r="H1414" i="1"/>
  <c r="H4202" i="1"/>
  <c r="H1413" i="1"/>
  <c r="H1412" i="1"/>
  <c r="H1411" i="1"/>
  <c r="H1410" i="1"/>
  <c r="H1409" i="1"/>
  <c r="H1408" i="1"/>
  <c r="H1407" i="1"/>
  <c r="H4201" i="1"/>
  <c r="H1406" i="1"/>
  <c r="H1405" i="1"/>
  <c r="H4200" i="1"/>
  <c r="H4199" i="1"/>
  <c r="H1404" i="1"/>
  <c r="H1403" i="1"/>
  <c r="H1402" i="1"/>
  <c r="H1401" i="1"/>
  <c r="H1400" i="1"/>
  <c r="H1399" i="1"/>
  <c r="H1398" i="1"/>
  <c r="H1397" i="1"/>
  <c r="H1396" i="1"/>
  <c r="H4198" i="1"/>
  <c r="H4197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4196" i="1"/>
  <c r="H4195" i="1"/>
  <c r="H4194" i="1"/>
  <c r="H1366" i="1"/>
  <c r="H4193" i="1"/>
  <c r="H1365" i="1"/>
  <c r="H1364" i="1"/>
  <c r="H1363" i="1"/>
  <c r="H1362" i="1"/>
  <c r="H1361" i="1"/>
  <c r="H1360" i="1"/>
  <c r="H1359" i="1"/>
  <c r="H1358" i="1"/>
  <c r="H1357" i="1"/>
  <c r="H4464" i="1"/>
  <c r="H4463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4641" i="1"/>
  <c r="H4018" i="1"/>
  <c r="H4017" i="1"/>
  <c r="H4016" i="1"/>
  <c r="H4015" i="1"/>
  <c r="H4014" i="1"/>
  <c r="H4013" i="1"/>
  <c r="H1324" i="1"/>
  <c r="H1323" i="1"/>
  <c r="H1322" i="1"/>
  <c r="H1321" i="1"/>
  <c r="H1320" i="1"/>
  <c r="H1319" i="1"/>
  <c r="H1318" i="1"/>
  <c r="H1317" i="1"/>
  <c r="H4640" i="1"/>
  <c r="H4639" i="1"/>
  <c r="H4638" i="1"/>
  <c r="H1316" i="1"/>
  <c r="H1315" i="1"/>
  <c r="H1314" i="1"/>
  <c r="H1313" i="1"/>
  <c r="H1312" i="1"/>
  <c r="H1311" i="1"/>
  <c r="H1310" i="1"/>
  <c r="H4192" i="1"/>
  <c r="H1309" i="1"/>
  <c r="H1308" i="1"/>
  <c r="H4593" i="1"/>
  <c r="H1307" i="1"/>
  <c r="H4592" i="1"/>
  <c r="H1306" i="1"/>
  <c r="H1305" i="1"/>
  <c r="H1304" i="1"/>
  <c r="H1303" i="1"/>
  <c r="H1302" i="1"/>
  <c r="H1301" i="1"/>
  <c r="H4191" i="1"/>
  <c r="H1300" i="1"/>
  <c r="H1299" i="1"/>
  <c r="H1298" i="1"/>
  <c r="H1297" i="1"/>
  <c r="H1296" i="1"/>
  <c r="H1295" i="1"/>
  <c r="H4190" i="1"/>
  <c r="H4189" i="1"/>
  <c r="H1294" i="1"/>
  <c r="H4188" i="1"/>
  <c r="H4187" i="1"/>
  <c r="H1293" i="1"/>
  <c r="H1292" i="1"/>
  <c r="H1291" i="1"/>
  <c r="H4637" i="1"/>
  <c r="H1290" i="1"/>
  <c r="H4636" i="1"/>
  <c r="H1289" i="1"/>
  <c r="H1288" i="1"/>
  <c r="H1287" i="1"/>
  <c r="H1286" i="1"/>
  <c r="H4635" i="1"/>
  <c r="H4634" i="1"/>
  <c r="H41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4633" i="1"/>
  <c r="H1258" i="1"/>
  <c r="H1257" i="1"/>
  <c r="H1256" i="1"/>
  <c r="H4185" i="1"/>
  <c r="H1255" i="1"/>
  <c r="H4184" i="1"/>
  <c r="H4183" i="1"/>
  <c r="H1254" i="1"/>
  <c r="H1253" i="1"/>
  <c r="H4182" i="1"/>
  <c r="H1252" i="1"/>
  <c r="H1251" i="1"/>
  <c r="H1250" i="1"/>
  <c r="H1249" i="1"/>
  <c r="H1248" i="1"/>
  <c r="H1247" i="1"/>
  <c r="H4181" i="1"/>
  <c r="H4180" i="1"/>
  <c r="H4179" i="1"/>
  <c r="H1246" i="1"/>
  <c r="H4178" i="1"/>
  <c r="H4177" i="1"/>
  <c r="H1245" i="1"/>
  <c r="H1244" i="1"/>
  <c r="H1243" i="1"/>
  <c r="H1242" i="1"/>
  <c r="H4632" i="1"/>
  <c r="H4631" i="1"/>
  <c r="H1241" i="1"/>
  <c r="H1240" i="1"/>
  <c r="H1239" i="1"/>
  <c r="H1238" i="1"/>
  <c r="H1237" i="1"/>
  <c r="H4176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4630" i="1"/>
  <c r="H1214" i="1"/>
  <c r="H4995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4175" i="1"/>
  <c r="H1196" i="1"/>
  <c r="H1195" i="1"/>
  <c r="H4174" i="1"/>
  <c r="H4173" i="1"/>
  <c r="H4172" i="1"/>
  <c r="H1194" i="1"/>
  <c r="H4171" i="1"/>
  <c r="H4170" i="1"/>
  <c r="H1193" i="1"/>
  <c r="H1192" i="1"/>
  <c r="H1191" i="1"/>
  <c r="H1190" i="1"/>
  <c r="H4629" i="1"/>
  <c r="H1189" i="1"/>
  <c r="H1188" i="1"/>
  <c r="H1187" i="1"/>
  <c r="H4462" i="1"/>
  <c r="H1186" i="1"/>
  <c r="H1185" i="1"/>
  <c r="H1184" i="1"/>
  <c r="H4524" i="1"/>
  <c r="H1183" i="1"/>
  <c r="H1182" i="1"/>
  <c r="H1181" i="1"/>
  <c r="H1180" i="1"/>
  <c r="H1179" i="1"/>
  <c r="H1178" i="1"/>
  <c r="H1177" i="1"/>
  <c r="H1176" i="1"/>
  <c r="H1175" i="1"/>
  <c r="H1174" i="1"/>
  <c r="H4833" i="1"/>
  <c r="H4832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4169" i="1"/>
  <c r="H1153" i="1"/>
  <c r="H1152" i="1"/>
  <c r="H4168" i="1"/>
  <c r="H4523" i="1"/>
  <c r="H452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4628" i="1"/>
  <c r="H4627" i="1"/>
  <c r="H4626" i="1"/>
  <c r="H1136" i="1"/>
  <c r="H1135" i="1"/>
  <c r="H1134" i="1"/>
  <c r="H1133" i="1"/>
  <c r="H1132" i="1"/>
  <c r="H1131" i="1"/>
  <c r="H1130" i="1"/>
  <c r="H1129" i="1"/>
  <c r="H4521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4831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4830" i="1"/>
  <c r="H1091" i="1"/>
  <c r="H1090" i="1"/>
  <c r="H4829" i="1"/>
  <c r="H1089" i="1"/>
  <c r="H4828" i="1"/>
  <c r="H4827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4520" i="1"/>
  <c r="H4826" i="1"/>
  <c r="H4825" i="1"/>
  <c r="H986" i="1"/>
  <c r="H4824" i="1"/>
  <c r="H4823" i="1"/>
  <c r="H985" i="1"/>
  <c r="H984" i="1"/>
  <c r="H4822" i="1"/>
  <c r="H983" i="1"/>
  <c r="H982" i="1"/>
  <c r="H4821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4820" i="1"/>
  <c r="H4819" i="1"/>
  <c r="H969" i="1"/>
  <c r="H968" i="1"/>
  <c r="H967" i="1"/>
  <c r="H4818" i="1"/>
  <c r="H4817" i="1"/>
  <c r="H4816" i="1"/>
  <c r="H4625" i="1"/>
  <c r="H4167" i="1"/>
  <c r="H4166" i="1"/>
  <c r="H4165" i="1"/>
  <c r="H966" i="1"/>
  <c r="H4519" i="1"/>
  <c r="H965" i="1"/>
  <c r="H964" i="1"/>
  <c r="H963" i="1"/>
  <c r="H962" i="1"/>
  <c r="H961" i="1"/>
  <c r="H960" i="1"/>
  <c r="H959" i="1"/>
  <c r="H958" i="1"/>
  <c r="H4164" i="1"/>
  <c r="H451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4163" i="1"/>
  <c r="H4162" i="1"/>
  <c r="H933" i="1"/>
  <c r="H932" i="1"/>
  <c r="H931" i="1"/>
  <c r="H930" i="1"/>
  <c r="H929" i="1"/>
  <c r="H928" i="1"/>
  <c r="H927" i="1"/>
  <c r="H926" i="1"/>
  <c r="H4624" i="1"/>
  <c r="H4623" i="1"/>
  <c r="H925" i="1"/>
  <c r="H924" i="1"/>
  <c r="H4161" i="1"/>
  <c r="H923" i="1"/>
  <c r="H922" i="1"/>
  <c r="H921" i="1"/>
  <c r="H920" i="1"/>
  <c r="H4815" i="1"/>
  <c r="H4814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4461" i="1"/>
  <c r="H902" i="1"/>
  <c r="H901" i="1"/>
  <c r="H900" i="1"/>
  <c r="H899" i="1"/>
  <c r="H898" i="1"/>
  <c r="H897" i="1"/>
  <c r="H896" i="1"/>
  <c r="H895" i="1"/>
  <c r="H894" i="1"/>
  <c r="H4160" i="1"/>
  <c r="H4159" i="1"/>
  <c r="H4813" i="1"/>
  <c r="H893" i="1"/>
  <c r="H4158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4812" i="1"/>
  <c r="H4811" i="1"/>
  <c r="H873" i="1"/>
  <c r="H872" i="1"/>
  <c r="H871" i="1"/>
  <c r="H870" i="1"/>
  <c r="H869" i="1"/>
  <c r="H4810" i="1"/>
  <c r="H4809" i="1"/>
  <c r="H868" i="1"/>
  <c r="H4808" i="1"/>
  <c r="H867" i="1"/>
  <c r="H4517" i="1"/>
  <c r="H866" i="1"/>
  <c r="H865" i="1"/>
  <c r="H864" i="1"/>
  <c r="H863" i="1"/>
  <c r="H862" i="1"/>
  <c r="H4157" i="1"/>
  <c r="H861" i="1"/>
  <c r="H860" i="1"/>
  <c r="H4156" i="1"/>
  <c r="H4155" i="1"/>
  <c r="H4154" i="1"/>
  <c r="H4153" i="1"/>
  <c r="H4152" i="1"/>
  <c r="H859" i="1"/>
  <c r="H858" i="1"/>
  <c r="H857" i="1"/>
  <c r="H856" i="1"/>
  <c r="H855" i="1"/>
  <c r="H854" i="1"/>
  <c r="H853" i="1"/>
  <c r="H4807" i="1"/>
  <c r="H4806" i="1"/>
  <c r="H852" i="1"/>
  <c r="H851" i="1"/>
  <c r="H850" i="1"/>
  <c r="H4805" i="1"/>
  <c r="H849" i="1"/>
  <c r="H4516" i="1"/>
  <c r="H4151" i="1"/>
  <c r="H4515" i="1"/>
  <c r="H4150" i="1"/>
  <c r="H848" i="1"/>
  <c r="H847" i="1"/>
  <c r="H846" i="1"/>
  <c r="H4622" i="1"/>
  <c r="H845" i="1"/>
  <c r="H4149" i="1"/>
  <c r="H844" i="1"/>
  <c r="H4148" i="1"/>
  <c r="H843" i="1"/>
  <c r="H842" i="1"/>
  <c r="H841" i="1"/>
  <c r="H840" i="1"/>
  <c r="H4147" i="1"/>
  <c r="H839" i="1"/>
  <c r="H838" i="1"/>
  <c r="H837" i="1"/>
  <c r="H836" i="1"/>
  <c r="H4146" i="1"/>
  <c r="H835" i="1"/>
  <c r="H834" i="1"/>
  <c r="H4145" i="1"/>
  <c r="H4144" i="1"/>
  <c r="H833" i="1"/>
  <c r="H832" i="1"/>
  <c r="H831" i="1"/>
  <c r="H4621" i="1"/>
  <c r="H830" i="1"/>
  <c r="H829" i="1"/>
  <c r="H4620" i="1"/>
  <c r="H4619" i="1"/>
  <c r="H828" i="1"/>
  <c r="H827" i="1"/>
  <c r="H826" i="1"/>
  <c r="H4143" i="1"/>
  <c r="H825" i="1"/>
  <c r="H4142" i="1"/>
  <c r="H824" i="1"/>
  <c r="H823" i="1"/>
  <c r="H822" i="1"/>
  <c r="H4618" i="1"/>
  <c r="H821" i="1"/>
  <c r="H4804" i="1"/>
  <c r="H4803" i="1"/>
  <c r="H4802" i="1"/>
  <c r="H4801" i="1"/>
  <c r="H4800" i="1"/>
  <c r="H4799" i="1"/>
  <c r="H820" i="1"/>
  <c r="H4798" i="1"/>
  <c r="H819" i="1"/>
  <c r="H4141" i="1"/>
  <c r="H4140" i="1"/>
  <c r="H818" i="1"/>
  <c r="H817" i="1"/>
  <c r="H816" i="1"/>
  <c r="H815" i="1"/>
  <c r="H814" i="1"/>
  <c r="H813" i="1"/>
  <c r="H812" i="1"/>
  <c r="H811" i="1"/>
  <c r="H810" i="1"/>
  <c r="H4797" i="1"/>
  <c r="H809" i="1"/>
  <c r="H4617" i="1"/>
  <c r="H808" i="1"/>
  <c r="H807" i="1"/>
  <c r="H806" i="1"/>
  <c r="H4139" i="1"/>
  <c r="H4138" i="1"/>
  <c r="H4137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4136" i="1"/>
  <c r="H778" i="1"/>
  <c r="H777" i="1"/>
  <c r="H776" i="1"/>
  <c r="H4135" i="1"/>
  <c r="H4134" i="1"/>
  <c r="H4133" i="1"/>
  <c r="H4132" i="1"/>
  <c r="H775" i="1"/>
  <c r="H774" i="1"/>
  <c r="H773" i="1"/>
  <c r="H772" i="1"/>
  <c r="H771" i="1"/>
  <c r="H770" i="1"/>
  <c r="H769" i="1"/>
  <c r="H768" i="1"/>
  <c r="H767" i="1"/>
  <c r="H4131" i="1"/>
  <c r="H4130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4796" i="1"/>
  <c r="H749" i="1"/>
  <c r="H4795" i="1"/>
  <c r="H748" i="1"/>
  <c r="H747" i="1"/>
  <c r="H746" i="1"/>
  <c r="H745" i="1"/>
  <c r="H744" i="1"/>
  <c r="H4794" i="1"/>
  <c r="H743" i="1"/>
  <c r="H742" i="1"/>
  <c r="H741" i="1"/>
  <c r="H740" i="1"/>
  <c r="H739" i="1"/>
  <c r="H738" i="1"/>
  <c r="H4514" i="1"/>
  <c r="H4513" i="1"/>
  <c r="H737" i="1"/>
  <c r="H4129" i="1"/>
  <c r="H736" i="1"/>
  <c r="H735" i="1"/>
  <c r="H734" i="1"/>
  <c r="H4793" i="1"/>
  <c r="H4792" i="1"/>
  <c r="H4791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461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4128" i="1"/>
  <c r="H4127" i="1"/>
  <c r="H678" i="1"/>
  <c r="H677" i="1"/>
  <c r="H676" i="1"/>
  <c r="H675" i="1"/>
  <c r="H674" i="1"/>
  <c r="H4126" i="1"/>
  <c r="H4615" i="1"/>
  <c r="H4614" i="1"/>
  <c r="H4512" i="1"/>
  <c r="H673" i="1"/>
  <c r="H4125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4790" i="1"/>
  <c r="H4789" i="1"/>
  <c r="H659" i="1"/>
  <c r="H658" i="1"/>
  <c r="H657" i="1"/>
  <c r="H656" i="1"/>
  <c r="H4511" i="1"/>
  <c r="H4510" i="1"/>
  <c r="H4124" i="1"/>
  <c r="H4123" i="1"/>
  <c r="H4122" i="1"/>
  <c r="H4121" i="1"/>
  <c r="H4120" i="1"/>
  <c r="H4119" i="1"/>
  <c r="H4118" i="1"/>
  <c r="H4117" i="1"/>
  <c r="H655" i="1"/>
  <c r="H654" i="1"/>
  <c r="H4116" i="1"/>
  <c r="H653" i="1"/>
  <c r="H4788" i="1"/>
  <c r="H652" i="1"/>
  <c r="H651" i="1"/>
  <c r="H650" i="1"/>
  <c r="H649" i="1"/>
  <c r="H648" i="1"/>
  <c r="H647" i="1"/>
  <c r="H646" i="1"/>
  <c r="H645" i="1"/>
  <c r="H644" i="1"/>
  <c r="H643" i="1"/>
  <c r="H4787" i="1"/>
  <c r="H642" i="1"/>
  <c r="H641" i="1"/>
  <c r="H640" i="1"/>
  <c r="H4115" i="1"/>
  <c r="H4114" i="1"/>
  <c r="H4113" i="1"/>
  <c r="H4112" i="1"/>
  <c r="H4111" i="1"/>
  <c r="H639" i="1"/>
  <c r="H638" i="1"/>
  <c r="H637" i="1"/>
  <c r="H4110" i="1"/>
  <c r="H636" i="1"/>
  <c r="H635" i="1"/>
  <c r="H634" i="1"/>
  <c r="H633" i="1"/>
  <c r="H632" i="1"/>
  <c r="H4109" i="1"/>
  <c r="H4108" i="1"/>
  <c r="H4107" i="1"/>
  <c r="H631" i="1"/>
  <c r="H630" i="1"/>
  <c r="H629" i="1"/>
  <c r="H628" i="1"/>
  <c r="H627" i="1"/>
  <c r="H626" i="1"/>
  <c r="H625" i="1"/>
  <c r="H624" i="1"/>
  <c r="H4613" i="1"/>
  <c r="H623" i="1"/>
  <c r="H622" i="1"/>
  <c r="H621" i="1"/>
  <c r="H4509" i="1"/>
  <c r="H620" i="1"/>
  <c r="H4612" i="1"/>
  <c r="H619" i="1"/>
  <c r="H618" i="1"/>
  <c r="H617" i="1"/>
  <c r="H4611" i="1"/>
  <c r="H616" i="1"/>
  <c r="H615" i="1"/>
  <c r="H614" i="1"/>
  <c r="H613" i="1"/>
  <c r="H612" i="1"/>
  <c r="H611" i="1"/>
  <c r="H610" i="1"/>
  <c r="H4786" i="1"/>
  <c r="H609" i="1"/>
  <c r="H4785" i="1"/>
  <c r="H608" i="1"/>
  <c r="H4784" i="1"/>
  <c r="H607" i="1"/>
  <c r="H606" i="1"/>
  <c r="H605" i="1"/>
  <c r="H4783" i="1"/>
  <c r="H604" i="1"/>
  <c r="H603" i="1"/>
  <c r="H602" i="1"/>
  <c r="H601" i="1"/>
  <c r="H600" i="1"/>
  <c r="H599" i="1"/>
  <c r="H598" i="1"/>
  <c r="H597" i="1"/>
  <c r="H596" i="1"/>
  <c r="H595" i="1"/>
  <c r="H4610" i="1"/>
  <c r="H4782" i="1"/>
  <c r="H4781" i="1"/>
  <c r="H4780" i="1"/>
  <c r="H594" i="1"/>
  <c r="H593" i="1"/>
  <c r="H592" i="1"/>
  <c r="H591" i="1"/>
  <c r="H590" i="1"/>
  <c r="H589" i="1"/>
  <c r="H588" i="1"/>
  <c r="H587" i="1"/>
  <c r="H586" i="1"/>
  <c r="H585" i="1"/>
  <c r="H584" i="1"/>
  <c r="H4106" i="1"/>
  <c r="H583" i="1"/>
  <c r="H582" i="1"/>
  <c r="H581" i="1"/>
  <c r="H580" i="1"/>
  <c r="H4105" i="1"/>
  <c r="H579" i="1"/>
  <c r="H578" i="1"/>
  <c r="H450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4507" i="1"/>
  <c r="H4506" i="1"/>
  <c r="H4505" i="1"/>
  <c r="H562" i="1"/>
  <c r="H561" i="1"/>
  <c r="H560" i="1"/>
  <c r="H559" i="1"/>
  <c r="H4504" i="1"/>
  <c r="H4503" i="1"/>
  <c r="H4502" i="1"/>
  <c r="H558" i="1"/>
  <c r="H4501" i="1"/>
  <c r="H4500" i="1"/>
  <c r="H557" i="1"/>
  <c r="H556" i="1"/>
  <c r="H4499" i="1"/>
  <c r="H555" i="1"/>
  <c r="H4498" i="1"/>
  <c r="H554" i="1"/>
  <c r="H553" i="1"/>
  <c r="H552" i="1"/>
  <c r="H551" i="1"/>
  <c r="H4497" i="1"/>
  <c r="H4496" i="1"/>
  <c r="H550" i="1"/>
  <c r="H549" i="1"/>
  <c r="H548" i="1"/>
  <c r="H4104" i="1"/>
  <c r="H547" i="1"/>
  <c r="H546" i="1"/>
  <c r="H545" i="1"/>
  <c r="H544" i="1"/>
  <c r="H543" i="1"/>
  <c r="H4103" i="1"/>
  <c r="H542" i="1"/>
  <c r="H541" i="1"/>
  <c r="H4609" i="1"/>
  <c r="H540" i="1"/>
  <c r="H539" i="1"/>
  <c r="H538" i="1"/>
  <c r="H4471" i="1"/>
  <c r="H537" i="1"/>
  <c r="H536" i="1"/>
  <c r="H535" i="1"/>
  <c r="H534" i="1"/>
  <c r="H533" i="1"/>
  <c r="H532" i="1"/>
  <c r="H531" i="1"/>
  <c r="H530" i="1"/>
  <c r="H529" i="1"/>
  <c r="H528" i="1"/>
  <c r="H4779" i="1"/>
  <c r="H527" i="1"/>
  <c r="H526" i="1"/>
  <c r="H525" i="1"/>
  <c r="H524" i="1"/>
  <c r="H523" i="1"/>
  <c r="H522" i="1"/>
  <c r="H521" i="1"/>
  <c r="H4102" i="1"/>
  <c r="H4101" i="1"/>
  <c r="H520" i="1"/>
  <c r="H519" i="1"/>
  <c r="H518" i="1"/>
  <c r="H517" i="1"/>
  <c r="H516" i="1"/>
  <c r="H515" i="1"/>
  <c r="H514" i="1"/>
  <c r="H513" i="1"/>
  <c r="H512" i="1"/>
  <c r="H511" i="1"/>
  <c r="H510" i="1"/>
  <c r="H4778" i="1"/>
  <c r="H509" i="1"/>
  <c r="H508" i="1"/>
  <c r="H507" i="1"/>
  <c r="H4100" i="1"/>
  <c r="H506" i="1"/>
  <c r="H4099" i="1"/>
  <c r="H505" i="1"/>
  <c r="H4098" i="1"/>
  <c r="H4097" i="1"/>
  <c r="H4096" i="1"/>
  <c r="H4495" i="1"/>
  <c r="H4494" i="1"/>
  <c r="H504" i="1"/>
  <c r="H4777" i="1"/>
  <c r="H503" i="1"/>
  <c r="H502" i="1"/>
  <c r="H501" i="1"/>
  <c r="H4776" i="1"/>
  <c r="H4775" i="1"/>
  <c r="H4774" i="1"/>
  <c r="H4773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095" i="1"/>
  <c r="H4094" i="1"/>
  <c r="H485" i="1"/>
  <c r="H484" i="1"/>
  <c r="H483" i="1"/>
  <c r="H482" i="1"/>
  <c r="H481" i="1"/>
  <c r="H480" i="1"/>
  <c r="H479" i="1"/>
  <c r="H478" i="1"/>
  <c r="H477" i="1"/>
  <c r="H476" i="1"/>
  <c r="H4608" i="1"/>
  <c r="H475" i="1"/>
  <c r="H474" i="1"/>
  <c r="H473" i="1"/>
  <c r="H472" i="1"/>
  <c r="H471" i="1"/>
  <c r="H470" i="1"/>
  <c r="H469" i="1"/>
  <c r="H468" i="1"/>
  <c r="H467" i="1"/>
  <c r="H466" i="1"/>
  <c r="H4772" i="1"/>
  <c r="H4771" i="1"/>
  <c r="H465" i="1"/>
  <c r="H4493" i="1"/>
  <c r="H464" i="1"/>
  <c r="H4093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092" i="1"/>
  <c r="H4091" i="1"/>
  <c r="H436" i="1"/>
  <c r="H4770" i="1"/>
  <c r="H4769" i="1"/>
  <c r="H435" i="1"/>
  <c r="H434" i="1"/>
  <c r="H4492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607" i="1"/>
  <c r="H4606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4768" i="1"/>
  <c r="H4767" i="1"/>
  <c r="H346" i="1"/>
  <c r="H345" i="1"/>
  <c r="H344" i="1"/>
  <c r="H343" i="1"/>
  <c r="H342" i="1"/>
  <c r="H341" i="1"/>
  <c r="H4491" i="1"/>
  <c r="H4090" i="1"/>
  <c r="H340" i="1"/>
  <c r="H4089" i="1"/>
  <c r="H339" i="1"/>
  <c r="H4088" i="1"/>
  <c r="H338" i="1"/>
  <c r="H337" i="1"/>
  <c r="H336" i="1"/>
  <c r="H335" i="1"/>
  <c r="H334" i="1"/>
  <c r="H333" i="1"/>
  <c r="H332" i="1"/>
  <c r="H4490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4766" i="1"/>
  <c r="H4765" i="1"/>
  <c r="H316" i="1"/>
  <c r="H315" i="1"/>
  <c r="H314" i="1"/>
  <c r="H313" i="1"/>
  <c r="H312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311" i="1"/>
  <c r="H4075" i="1"/>
  <c r="H4074" i="1"/>
  <c r="H4073" i="1"/>
  <c r="H4072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4605" i="1"/>
  <c r="H298" i="1"/>
  <c r="H4604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4071" i="1"/>
  <c r="H4070" i="1"/>
  <c r="H279" i="1"/>
  <c r="H278" i="1"/>
  <c r="H277" i="1"/>
  <c r="H276" i="1"/>
  <c r="H4764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4603" i="1"/>
  <c r="H4602" i="1"/>
  <c r="H4601" i="1"/>
  <c r="H253" i="1"/>
  <c r="H252" i="1"/>
  <c r="H251" i="1"/>
  <c r="H250" i="1"/>
  <c r="H4600" i="1"/>
  <c r="H4599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4489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4069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4068" i="1"/>
  <c r="H4488" i="1"/>
  <c r="H4487" i="1"/>
  <c r="H173" i="1"/>
  <c r="H4486" i="1"/>
  <c r="H4067" i="1"/>
  <c r="H4066" i="1"/>
  <c r="H172" i="1"/>
  <c r="H171" i="1"/>
  <c r="H4065" i="1"/>
  <c r="H4994" i="1"/>
  <c r="H4485" i="1"/>
  <c r="H4064" i="1"/>
  <c r="H4063" i="1"/>
  <c r="H4484" i="1"/>
  <c r="H4062" i="1"/>
  <c r="H170" i="1"/>
  <c r="H4061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157" i="1"/>
  <c r="H156" i="1"/>
  <c r="H4483" i="1"/>
  <c r="H155" i="1"/>
  <c r="H4482" i="1"/>
  <c r="H4481" i="1"/>
  <c r="H4480" i="1"/>
  <c r="H154" i="1"/>
  <c r="H153" i="1"/>
  <c r="H152" i="1"/>
  <c r="H151" i="1"/>
  <c r="H4048" i="1"/>
  <c r="H150" i="1"/>
  <c r="H4479" i="1"/>
  <c r="H149" i="1"/>
  <c r="H148" i="1"/>
  <c r="H147" i="1"/>
  <c r="H146" i="1"/>
  <c r="H145" i="1"/>
  <c r="H144" i="1"/>
  <c r="H143" i="1"/>
  <c r="H4047" i="1"/>
  <c r="H142" i="1"/>
  <c r="H4046" i="1"/>
  <c r="H4045" i="1"/>
  <c r="H141" i="1"/>
  <c r="H140" i="1"/>
  <c r="H139" i="1"/>
  <c r="H138" i="1"/>
  <c r="H137" i="1"/>
  <c r="H136" i="1"/>
  <c r="H4763" i="1"/>
  <c r="H4762" i="1"/>
  <c r="H4761" i="1"/>
  <c r="H4760" i="1"/>
  <c r="H4759" i="1"/>
  <c r="H4758" i="1"/>
  <c r="H4757" i="1"/>
  <c r="H4044" i="1"/>
  <c r="H4756" i="1"/>
  <c r="H135" i="1"/>
  <c r="H134" i="1"/>
  <c r="H133" i="1"/>
  <c r="H132" i="1"/>
  <c r="H4478" i="1"/>
  <c r="H131" i="1"/>
  <c r="H4043" i="1"/>
  <c r="H130" i="1"/>
  <c r="H129" i="1"/>
  <c r="H128" i="1"/>
  <c r="H127" i="1"/>
  <c r="H126" i="1"/>
  <c r="H125" i="1"/>
  <c r="H124" i="1"/>
  <c r="H123" i="1"/>
  <c r="H122" i="1"/>
  <c r="H121" i="1"/>
  <c r="H120" i="1"/>
  <c r="H4477" i="1"/>
  <c r="H119" i="1"/>
  <c r="H118" i="1"/>
  <c r="H117" i="1"/>
  <c r="H116" i="1"/>
  <c r="H115" i="1"/>
  <c r="H4042" i="1"/>
  <c r="H114" i="1"/>
  <c r="H113" i="1"/>
  <c r="H112" i="1"/>
  <c r="H111" i="1"/>
  <c r="H110" i="1"/>
  <c r="H109" i="1"/>
  <c r="H108" i="1"/>
  <c r="H107" i="1"/>
  <c r="H106" i="1"/>
  <c r="H105" i="1"/>
  <c r="H4598" i="1"/>
  <c r="H104" i="1"/>
  <c r="H103" i="1"/>
  <c r="H4755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4754" i="1"/>
  <c r="H89" i="1"/>
  <c r="H4753" i="1"/>
  <c r="H4752" i="1"/>
  <c r="H88" i="1"/>
  <c r="H4751" i="1"/>
  <c r="H87" i="1"/>
  <c r="H86" i="1"/>
  <c r="H85" i="1"/>
  <c r="H84" i="1"/>
  <c r="H83" i="1"/>
  <c r="H82" i="1"/>
  <c r="H81" i="1"/>
  <c r="H80" i="1"/>
  <c r="H79" i="1"/>
  <c r="H4750" i="1"/>
  <c r="H78" i="1"/>
  <c r="H77" i="1"/>
  <c r="H76" i="1"/>
  <c r="H75" i="1"/>
  <c r="H74" i="1"/>
  <c r="H73" i="1"/>
  <c r="H72" i="1"/>
  <c r="H71" i="1"/>
  <c r="H70" i="1"/>
  <c r="H69" i="1"/>
  <c r="H68" i="1"/>
  <c r="H67" i="1"/>
  <c r="H4460" i="1"/>
  <c r="H66" i="1"/>
  <c r="H65" i="1"/>
  <c r="H64" i="1"/>
  <c r="H63" i="1"/>
  <c r="H4749" i="1"/>
  <c r="H62" i="1"/>
  <c r="H61" i="1"/>
  <c r="H60" i="1"/>
  <c r="H59" i="1"/>
  <c r="H58" i="1"/>
  <c r="H57" i="1"/>
  <c r="H56" i="1"/>
  <c r="H4041" i="1"/>
  <c r="H55" i="1"/>
  <c r="H54" i="1"/>
  <c r="H53" i="1"/>
  <c r="H4597" i="1"/>
  <c r="H4596" i="1"/>
  <c r="H4595" i="1"/>
  <c r="H4594" i="1"/>
  <c r="H52" i="1"/>
  <c r="H51" i="1"/>
  <c r="H50" i="1"/>
  <c r="H49" i="1"/>
  <c r="H48" i="1"/>
  <c r="H47" i="1"/>
  <c r="H4040" i="1"/>
  <c r="H46" i="1"/>
  <c r="H4039" i="1"/>
  <c r="H45" i="1"/>
  <c r="H44" i="1"/>
  <c r="H43" i="1"/>
  <c r="H4038" i="1"/>
  <c r="H42" i="1"/>
  <c r="H41" i="1"/>
  <c r="H40" i="1"/>
  <c r="H39" i="1"/>
  <c r="H4037" i="1"/>
  <c r="H38" i="1"/>
  <c r="H37" i="1"/>
  <c r="H36" i="1"/>
  <c r="H35" i="1"/>
  <c r="H4036" i="1"/>
  <c r="H34" i="1"/>
  <c r="H33" i="1"/>
  <c r="H32" i="1"/>
  <c r="H31" i="1"/>
  <c r="H30" i="1"/>
  <c r="H4035" i="1"/>
  <c r="H4034" i="1"/>
  <c r="H29" i="1"/>
  <c r="H4033" i="1"/>
  <c r="H28" i="1"/>
  <c r="H27" i="1"/>
  <c r="H26" i="1"/>
  <c r="H25" i="1"/>
  <c r="H4032" i="1"/>
  <c r="H4476" i="1"/>
  <c r="H4748" i="1"/>
  <c r="H4747" i="1"/>
  <c r="H24" i="1"/>
  <c r="H23" i="1"/>
  <c r="H22" i="1"/>
  <c r="H21" i="1"/>
  <c r="H20" i="1"/>
  <c r="H19" i="1"/>
  <c r="H4746" i="1"/>
  <c r="H18" i="1"/>
  <c r="H17" i="1"/>
  <c r="H16" i="1"/>
  <c r="H15" i="1"/>
  <c r="H14" i="1"/>
  <c r="H13" i="1"/>
  <c r="H12" i="1"/>
  <c r="H11" i="1"/>
  <c r="H10" i="1"/>
  <c r="H4475" i="1"/>
  <c r="H9" i="1"/>
  <c r="H4031" i="1"/>
  <c r="H4030" i="1"/>
  <c r="H8" i="1"/>
  <c r="H7" i="1"/>
  <c r="H4029" i="1"/>
  <c r="H6" i="1"/>
  <c r="H5" i="1"/>
  <c r="H4" i="1"/>
  <c r="H3" i="1"/>
  <c r="H4745" i="1"/>
  <c r="H4744" i="1"/>
</calcChain>
</file>

<file path=xl/sharedStrings.xml><?xml version="1.0" encoding="utf-8"?>
<sst xmlns="http://schemas.openxmlformats.org/spreadsheetml/2006/main" count="9997" uniqueCount="5002">
  <si>
    <t>Producto</t>
  </si>
  <si>
    <t>Código Barras</t>
  </si>
  <si>
    <t>Stock</t>
  </si>
  <si>
    <t>Costo Neto Prom. Unitario</t>
  </si>
  <si>
    <t>NATURALES</t>
  </si>
  <si>
    <t>10VITS + 2MINERALES MULTIVITAMINICO X60GOMITAS LAB. SPRINGLIFE</t>
  </si>
  <si>
    <t>3-A OFTENO DICLOFENACO SODICO 10MG X5ML LAB SOPHIA</t>
  </si>
  <si>
    <t>3M TEGADERM</t>
  </si>
  <si>
    <t>451 COLONIA INGLESA x 260ML</t>
  </si>
  <si>
    <t>Bodega 1 Comprimidos (segundo piso)</t>
  </si>
  <si>
    <t>AARTAM METRONIDAZOL 500MG X20 COMP. LAB. PINNACLE B</t>
  </si>
  <si>
    <t>AARTFENACIN FEXOFEBADUBA CLORHIDRATO 120MG X30COMP LAB. PHARMARIS</t>
  </si>
  <si>
    <t>AARTFENACIN FEXOFENADINA CLORHIDRATO 180MG 30 COMP. LAB PHARMARIS</t>
  </si>
  <si>
    <t>AB ANTITUSIVO 12COMP LS SAVAL  MENTA FRESCA</t>
  </si>
  <si>
    <t>AB CLORHEDIXIDINA CLORHIDRATO 5 MG 12 COMP. LAB. SAVAL</t>
  </si>
  <si>
    <t>ABECIDIN MULTIVITAMINICO X 30ML LAB. PASTEUR</t>
  </si>
  <si>
    <t>JARABES</t>
  </si>
  <si>
    <t>ABRILAR HEDERA HELIX 35MG X100ML LAB. ENGELHARD</t>
  </si>
  <si>
    <t>AC X EXFOLIANTE JABON BARRA X100 GRS MIGUEL MARITANO</t>
  </si>
  <si>
    <t>ACCUALAXAN MACROGOL 3350 7 SOBRES DE 17 GRS LAB. MEGALABS</t>
  </si>
  <si>
    <t>ACEBRON ACENOCUMAROL 4MG X20COMP LAB. ABBOTT</t>
  </si>
  <si>
    <t>ACECNOU 3G FOSFOMICINA TROMETAMOL 3GRS 1 UND SOBRE LAB. FAES FARMA</t>
  </si>
  <si>
    <t>ACECNOU FOSFOMICINA 3G X2SOBRES LAB. FAES FARMA</t>
  </si>
  <si>
    <t>ACEITE BABY OIL VASELINA 125ML SIMONDS</t>
  </si>
  <si>
    <t>ACEITE COMESTIBLE BEBE X240ML NUTRA BEBE</t>
  </si>
  <si>
    <t>ACEITE DE ARGAN 30ML</t>
  </si>
  <si>
    <t>ACEITE DE BACALAO 60CAPS BLANDAS ANC</t>
  </si>
  <si>
    <t>ACEITE DE BACALAO 6MG X200G LAB. AURA VITALIS</t>
  </si>
  <si>
    <t>ACEITE DE COCO</t>
  </si>
  <si>
    <t>ACEITE DE COCO 60ML LAB. RAVEPHARMA</t>
  </si>
  <si>
    <t>ACEITE DE RECINO MENTA 20GR LAB. VALMA</t>
  </si>
  <si>
    <t>ACEITE DE RICINO FRUTILLA X20 GRS LAB. VALMA</t>
  </si>
  <si>
    <t>ACEITE DE RICINO X20 ML. LAB VALMA</t>
  </si>
  <si>
    <t>ACEITE DE RICINO X20G LAB. VALMA</t>
  </si>
  <si>
    <t>ACEITE PEPA DE CALABAZA 1000MG X60CAPS LAB. NATURALFARMA</t>
  </si>
  <si>
    <t>ACEITE ROSA MOSQUETA 100 NATURAL</t>
  </si>
  <si>
    <t>ACEMUK N-ACETILCISTEINA 100MG X100ML LAB.DEUTSCHE</t>
  </si>
  <si>
    <t>ACETAZOLAMIDA 250MG X20COMP LAB. DE CHILE</t>
  </si>
  <si>
    <t>ACETAZOLAMIDA 250MG. X20COMP. LAB. MINTLAB</t>
  </si>
  <si>
    <t>ACETAZOLAMINA 250 MG X20 COMP. LAB. ASCEND</t>
  </si>
  <si>
    <t>ACETONA PURA X 60CC LAB. MANAR</t>
  </si>
  <si>
    <t>ACEVIT MULTIVITAMINICO X30ML LAB. ABBOTT</t>
  </si>
  <si>
    <t>ACICLOVIR 200 MG X24COMP.</t>
  </si>
  <si>
    <t>ACICLOVIR 200 MG X25 COMP LAB CHILE.</t>
  </si>
  <si>
    <t>ACICLOVIR 400 MG X32 COMP. LAB. HETERO</t>
  </si>
  <si>
    <t>ACICLOVIR 400 MG X35 COMP. LAB. CURAESPRING.</t>
  </si>
  <si>
    <t>ACICLOVIR 400 MG. 35 COMP. LAB.MINTLAB B</t>
  </si>
  <si>
    <t>ACICLOVIR 5% 15 GRS CREMA TOPICA LAB. DE CHILE</t>
  </si>
  <si>
    <t>ACICLOVIR 5% X15 GRS. CREMA TOPICA LAB ASCEND</t>
  </si>
  <si>
    <t>ACICLOVIR 5% X5 GRS. CREMA TOPICA LAB. MINTLAB</t>
  </si>
  <si>
    <t>ACICLOVIR CREMA TOPICA 5% 1 TUBO 15 GRS. LAB. HOSPIFARMA</t>
  </si>
  <si>
    <t>ACICLOVIR CREMA TOPICA 5% X100G LAB SCL</t>
  </si>
  <si>
    <t>ACIDO ACETILSALICILICO 100 MG 100 COMP. LAB CHILE</t>
  </si>
  <si>
    <t>ACIDO ACETILSALICILICO 100 MG. X100 COMP. LAB. PASTEUR</t>
  </si>
  <si>
    <t>ACIDO BORICO X10 GRS. LAB. DROGUERIA ÑUÑOA</t>
  </si>
  <si>
    <t>ACIDO MEFENAMICO 500 MG X10 COMP. LAB. CURAESPRING</t>
  </si>
  <si>
    <t>ACIDO MEFENAMICO 500 MG. 10.COMP. LAB. MILAB</t>
  </si>
  <si>
    <t>ACIDO MEFENAMICO 500MG X COMP. LAB. CHILE</t>
  </si>
  <si>
    <t>ACIDO SALICILICO 1GR. LAB. DROGUERIA ÑUÑOA</t>
  </si>
  <si>
    <t>ACIDO VALPROICO 200MG X30COMP LAB. ANDROMACO</t>
  </si>
  <si>
    <t>ACIDO VALPROICO 500 MG. 30 COMP. LAB. ANDROMACO</t>
  </si>
  <si>
    <t>ACIFIN ANTIACIDO ANTIFLATULENTO 10 COMP. LAB. MINTLAB</t>
  </si>
  <si>
    <t>ACONDICIONADOR  SIMONS KIDS</t>
  </si>
  <si>
    <t>ACONDICIONADOR SEDAL 340</t>
  </si>
  <si>
    <t>ACOTOL DIONOGEST + ETINILESTRADIOL 2 MG + 0.03 MG. 28 COMP. LAB. ABBOTT</t>
  </si>
  <si>
    <t>ACTIGERON L-ACETILCARNITINA 500MG X30COMP LAB.BAGO</t>
  </si>
  <si>
    <t>ACTIOVAL PREBIOTICO 2X10 X30 CAPS LAB ARAMA</t>
  </si>
  <si>
    <t>ACTRON 600 IBUPROFENO 600MG X10CAPS LAB. BAYER</t>
  </si>
  <si>
    <t>ACUODE CALECALCIFEROL 50000UI X2SOBRES LAB. ABBOTT</t>
  </si>
  <si>
    <t>ADAPAC 0,15% GEL 30G ADAPALENO</t>
  </si>
  <si>
    <t>ADAPAC ADAPALENO 0.3G X30G LAB. FOUCHARD</t>
  </si>
  <si>
    <t>ADIDAS DYNAMIC PULSE X100ML</t>
  </si>
  <si>
    <t>ADIDAS EDT ICE DIVE</t>
  </si>
  <si>
    <t>ADORLAN 2525 DICLOFENACO SODICO +TRAMADOL CLORHIDRATO 25MG + 25MG X10 COMP. GRUNENTHAL</t>
  </si>
  <si>
    <t>Medicamentos Veterinarios</t>
  </si>
  <si>
    <t>ADVANTAGE TRATAMIENTO ANTIPULGAS GATOS 1X08ML 4 A 8 KG PIPETA 1X08ML ELANCO</t>
  </si>
  <si>
    <t>ADVANTAGE TRATAMIENTO ANTIPULGAS GATOS 1X08ML 4 KG PIPETA 1X08ML ELANCO</t>
  </si>
  <si>
    <t>ADVOCATE ANTIPARACITARIO INTERNO Y EXTERNO PARA GATOS 1X0.8 4 A 8 KG ELANCO</t>
  </si>
  <si>
    <t>ADVOCATE IMIDACKIORIDA 10% MOXIDECTINA 1% 1X0.4ML PIPETA ELANCO</t>
  </si>
  <si>
    <t>AERO TOTAL</t>
  </si>
  <si>
    <t>AERO-ITAN METOCLOPRAMIDA + CLRDIAZEPOXIDA + SIMETICONA 5MG + 5MG + 100MG X20CAPS LAB. SAVAL</t>
  </si>
  <si>
    <t>AEROCAMARA UNIVERSAL CAMARA INHALATORIA 1 UND. LAB. MINTLAB</t>
  </si>
  <si>
    <t>AEROGASTROL METOCLOPRAMIDA + CLORDIAZEPOXIDO + SIMETICONA 5MG + 5MG + 100MG20 CAPS.</t>
  </si>
  <si>
    <t>AEROLIN SALBUTAMOL 100MCG 200DOSIS LAB. GSK</t>
  </si>
  <si>
    <t>AEROTROP IPRATROPIO BROMURO 20MCG 250DOSIS LAB. CASSARA</t>
  </si>
  <si>
    <t>AESCULUS UNG. 35G KNOP</t>
  </si>
  <si>
    <t>AFEITADORA COMFORT 3 ADV SENSIBLE 1 UNIDAD</t>
  </si>
  <si>
    <t>AFEITADORA FEMENINA SOLEIL BIC 1 UNIDAD</t>
  </si>
  <si>
    <t>AFTA GEL BENZOCAINA + CETILPRIDINIO CLORURO 5.0G + 0.5G X20G LAB. EUROFARMA</t>
  </si>
  <si>
    <t>AFTER SUN ALIVIO INMEDIATO ISDIN X200ML</t>
  </si>
  <si>
    <t>AFTER SUN LEBLON ALOE VERA 190 G.</t>
  </si>
  <si>
    <t>AGATHA RUIZ DE LA PRADA</t>
  </si>
  <si>
    <t>AGUA BIDESTILADA 1L.</t>
  </si>
  <si>
    <t>AGUA BIDESTILADA 500ML APIROFLEX</t>
  </si>
  <si>
    <t>AGUA BRAVA</t>
  </si>
  <si>
    <t>Bodega 2 Perfumería (Segundo Piso)</t>
  </si>
  <si>
    <t>AGUA BRAVA AZUL</t>
  </si>
  <si>
    <t>AGUA COLONIA 50ML + AFTER SHAVE 90ML OH MISTER CLASSIC</t>
  </si>
  <si>
    <t>AGUA DEL CARMEN 100 ML</t>
  </si>
  <si>
    <t>AGUA DEL CARMEN SOL ISPH 40ML</t>
  </si>
  <si>
    <t>AGUA DIAGUITAS 500ML</t>
  </si>
  <si>
    <t>AGUA MELISA GOTAS SANITAS</t>
  </si>
  <si>
    <t>AGUA MICELAR ACIDO HIALURONICO REVITALIFT LOREAL PARIS</t>
  </si>
  <si>
    <t>AGUA MICELAR AHA PETRIZZIO X200ML</t>
  </si>
  <si>
    <t>AGUA MICELAR LIMPIA E HIDRATA 250ML</t>
  </si>
  <si>
    <t>AGUA MICELAR NEUTROGENA X200ML</t>
  </si>
  <si>
    <t>AGUA MICELAR TODO EN 1 GARNIER SKINACTIVE X400ML</t>
  </si>
  <si>
    <t>AGUA MICELAR-ACEITEOLE GAR-SKI 100ML</t>
  </si>
  <si>
    <t>AGUA MISCELAR BIFASICA LOREAL PARIS X200ML</t>
  </si>
  <si>
    <t>AGUA VIVA SUPLEMENTO ALIMETICIO X200ML LAB. ALQUIMIA VERDE</t>
  </si>
  <si>
    <t>AGUAFRESH PACK MENTA X 2</t>
  </si>
  <si>
    <t>AGUALA PICOSULFATO DE SODIO 750MG X10ML LAB. ROYAL PHARMA</t>
  </si>
  <si>
    <t>AGUAS DIAGUITA 500ML</t>
  </si>
  <si>
    <t>AGUJA 21 G. UNIDAD. BD</t>
  </si>
  <si>
    <t>AGUJA 23 G. UNIDAD. CRAMBERRY</t>
  </si>
  <si>
    <t>AGUJA HIPODERMICA 0.80 X 25MM BD</t>
  </si>
  <si>
    <t>AGUJA HIPODERMICA 18 G X 1.5 PULGADA BD</t>
  </si>
  <si>
    <t>AGUJA HIPODERMICA ESTERIL 23GX1</t>
  </si>
  <si>
    <t>AGUJA HIPODERMICA ESTERIL 26GX12 MT</t>
  </si>
  <si>
    <t>AJO NEGRO 60 CAP FULL ENERGIC</t>
  </si>
  <si>
    <t>AJO NEGRO BLACK GARLIC 36 G</t>
  </si>
  <si>
    <t>AJO PEREJIL SUPLEMENTO ALIMENTICIO 350MG X60 CAPS LAB. VALLE Y SOL</t>
  </si>
  <si>
    <t>AJO PURO AJO EN POLVO 297MG X60 CAP. LAB. AURA VITALIS</t>
  </si>
  <si>
    <t>AKARANTA TIOCOLCHICOSIDO 8MG X12CAPS LAB. ABBOTT</t>
  </si>
  <si>
    <t>ALCACHOFA 0.228ML 60CAPS LAB. AURA VITALIS</t>
  </si>
  <si>
    <t>ALCOHOL 95- 250 ML ELITE</t>
  </si>
  <si>
    <t>ALCOHOL DESNATURALIZADO 70- ELITE 500CC</t>
  </si>
  <si>
    <t>ALCOHOL DESNATURALIZADO 70- X 1MLCC</t>
  </si>
  <si>
    <t>ALCOHOL DESNATURALIZADO 95- 500CC CON GATILLO</t>
  </si>
  <si>
    <t>ALCOHOL DESNATURALIZADO 95- ELITE 1000CC</t>
  </si>
  <si>
    <t>ALCOHOL DESNATURALIZADO AL 95 X 500ML ELITE</t>
  </si>
  <si>
    <t>ALCOHOL DESNATURALIZADO CON ITALATO DE ETILO AL 0.2 X60ML</t>
  </si>
  <si>
    <t>ALCOHOL GEL 70 X 340 ML ELITE</t>
  </si>
  <si>
    <t>ALCOHOL GEL 70- X340ML</t>
  </si>
  <si>
    <t>ALCOHOL GEL PARA MANOS ENJUAGUE X60ML SANTEPHARMA</t>
  </si>
  <si>
    <t>ALCOHOL ISOPROPILICO IPA 70- X290ML</t>
  </si>
  <si>
    <t>ALCOHOL SPRAY AL 70 PARA MANOS 100 ML. FAMILY SET</t>
  </si>
  <si>
    <t>ALDROX ACIDO ALENDRONICO 70 MG. X10 COMP. LAB. PASTEUR</t>
  </si>
  <si>
    <t>ALEJANDRIA</t>
  </si>
  <si>
    <t>ALEJANDRIA 8G 1UNIDAD LAB. DROGERIA NUÑOA</t>
  </si>
  <si>
    <t>ALENYS FLUTICASONA FUROATO 27.5MCG 120DOSIS LAB. ETEX</t>
  </si>
  <si>
    <t>ALERDRAG HIDROCORTISONA 0.5 SHAMPOO ANTIALERGICO X150ML DRAG PHARMA</t>
  </si>
  <si>
    <t>ALERTEX MODAFINILO 100MG X30COMP LAB. SAVAL</t>
  </si>
  <si>
    <t>ALERVIT FORTE x 60CAPS VITALAB</t>
  </si>
  <si>
    <t>ALERXO FEXOFENADINA CLORHIDRATO 120MG X30 COMP. LAB. DE CHILE</t>
  </si>
  <si>
    <t>ALERXO FORTE FEXOFENADINA CLORHIDRATO 180MG 30COMP LAB. TEVA</t>
  </si>
  <si>
    <t>ALERXO FORTE FEXOFENADINA CLORHIDRATO 180MG TEVA</t>
  </si>
  <si>
    <t>ALEXIA - D FEXOFRENADINA CLORHIDRATO + PSEUDOEFEDRINA SULFATO 60MG + 120MG X10CAPS LAB. SAVAL</t>
  </si>
  <si>
    <t>ALEXIA FEXOFENADINA 120MG X10COMP LAB. SAVAL</t>
  </si>
  <si>
    <t>ALEXIA FEXOFENADINA 120MG X30COMP LS B</t>
  </si>
  <si>
    <t>ALEXIA FORTE 180MG</t>
  </si>
  <si>
    <t>ALEXIA FORTE FEXOFENADINA 180MG</t>
  </si>
  <si>
    <t>ALFADOXIN DOXAZOSINA 4MG X30 COMP. LAB DE CHILE</t>
  </si>
  <si>
    <t>ALFEXA 120MG COMP REC X30 -FEXOFENADINA CLORHIDRATO-</t>
  </si>
  <si>
    <t>ALFEXA 180 FEXOFENADINA CLORHIDRATO 180MG X30COMP. ASCEND B</t>
  </si>
  <si>
    <t>ALFLOREX BIFIDOBACTERIUM LONGUM 7.5G X30CAPS LAB. AXON</t>
  </si>
  <si>
    <t>ALGAS CON OLIVOS COMPUESTO X30ML KNOP</t>
  </si>
  <si>
    <t>ALGAS MARINAS CON OLIVOS MEDICAMENTO HOMEOPATICO 50 COMP. LAB. KNOP</t>
  </si>
  <si>
    <t>ALGIAFIN PARACETAMOL 120MG 5ML X60ML LAB IPHSA</t>
  </si>
  <si>
    <t>ALGINATO AG 10UND 10x10 LAB. ROKYMEDS</t>
  </si>
  <si>
    <t>ALGODON AMERICANO CORRIENTE 250G</t>
  </si>
  <si>
    <t>ALGODON AMERICANO HIDROFILO</t>
  </si>
  <si>
    <t>ALGODON HIDROFILO 250GRS AMERICANO</t>
  </si>
  <si>
    <t>ALGODON HIDROFILO 25OGRS FAM SET</t>
  </si>
  <si>
    <t>ALGODON HIDROFILO NAPA PR FAM SET 50GR</t>
  </si>
  <si>
    <t>ALGODON HIDROFILO ZIG ZAG 200GR ADSORBEX</t>
  </si>
  <si>
    <t>ALGODON REDONDO MULTI USOS 80UND</t>
  </si>
  <si>
    <t>ALGOHOL GEL NEUTRO AL 70 250ML</t>
  </si>
  <si>
    <t>ALGON HIDROFILO 200GRS</t>
  </si>
  <si>
    <t>ALGON HIDROFILO EN ZIG ZAG</t>
  </si>
  <si>
    <t>ALIVIDOL PARACETAMOL 1000MG X20COMP LAB. OPKO</t>
  </si>
  <si>
    <t>ALL OUT  PIOJOS 50 ML. CON PEINE</t>
  </si>
  <si>
    <t>ALLEDRYL LORATADINA + PSEUDOEFEDRINA 2.5MG + 15MG X120ML LAB.PRATER</t>
  </si>
  <si>
    <t>ALLEDRYL-D CAP X 20 -LORATADINA 5MGPSEUDOEFEDRINA120MG</t>
  </si>
  <si>
    <t>ALLEGRA D FEXOFENADIAN CLORHIDRATO + PSEUDOEFEDRINA CLORHIDRATO 60MG + 120MG X20COMP LAB. SANOFI</t>
  </si>
  <si>
    <t>ALLIUM CEPA T.M. MEDICAMENTO HOMEOPATICO X30ML LAB. KNOP</t>
  </si>
  <si>
    <t>ALMIZCLE 1GR QUIMNATURA</t>
  </si>
  <si>
    <t>ALOE FEROX 150MG X20 CAPS LAB. GARDEN HOUSE</t>
  </si>
  <si>
    <t>ALOE GARDEN LAXANTE SUAVE Y EFECTIVO 60 CAPS</t>
  </si>
  <si>
    <t>ALOE VERA 250MG X60CAPS LAB. NATURAL SPA</t>
  </si>
  <si>
    <t>ALOE VERA CON OPUNTIA X1000ML VALLE Y SOL</t>
  </si>
  <si>
    <t>ALOE VERA CON OPUNTIA X500ML VALLE Y SOL</t>
  </si>
  <si>
    <t>ALOE VERA GEL X1000ML VALLE Y SOL</t>
  </si>
  <si>
    <t>ALOE VERA GEL X500ML VALLE Y SOL</t>
  </si>
  <si>
    <t>ALOELAX 24CAPS KNOP</t>
  </si>
  <si>
    <t>ALOELAX LAXANTE 50 CAPS</t>
  </si>
  <si>
    <t>ALONDRA ALICATE</t>
  </si>
  <si>
    <t>ALONDRA CORTA UÑAS 1 UND. LAB. ALONDRA</t>
  </si>
  <si>
    <t>ALONDRA CORTAUÑAS PIES 1 UND. LAB. ALONDRA</t>
  </si>
  <si>
    <t>ALONDRA ESPONJA PIEDRA POMEZ</t>
  </si>
  <si>
    <t>ALOPEK MINOX 5%</t>
  </si>
  <si>
    <t>ALOPEK MINOXIDIL 5% 100 GRS AEROSOL TOPICO LAB. PHARMA INVESTI</t>
  </si>
  <si>
    <t>ALOPURINOL 100 MG. 20 COMP. LAB. SEVEN PHARMA</t>
  </si>
  <si>
    <t>ALOPURINOL 100MG 20 COMP</t>
  </si>
  <si>
    <t>ALOPURINOL 300 MG . 20 COMP. LAB. SEVEN PHARMA</t>
  </si>
  <si>
    <t>ALOPURINOL 300MG X20COMP SEVEN PHARMA B</t>
  </si>
  <si>
    <t>ALPRAZOLAM 0.50MG X30COMP LCH B</t>
  </si>
  <si>
    <t>ALTA D 4 CAPS. 50000UI COLECALCIFEROL</t>
  </si>
  <si>
    <t>ALTA ZINC ZINC 15MG X40COMP LAB. SAVAL</t>
  </si>
  <si>
    <t>ALTA ZINC ZINC 5MG X30ML LAB. SAVAL</t>
  </si>
  <si>
    <t>ALTA ZING 10MG</t>
  </si>
  <si>
    <t>ALUMBRE ENTERO X 10 GR -CAJ X 25- QUIMNATURA</t>
  </si>
  <si>
    <t>ALUMBRE POLVO</t>
  </si>
  <si>
    <t>ALUMINIO HIDOXIDO HIDROXIDO DE ALUMINIO 6G X180ML LAB. CHILE</t>
  </si>
  <si>
    <t>ALWAY SULTF FLUJO ABUNDANTE X8</t>
  </si>
  <si>
    <t>AMATO TOPIRAMATO 25MG X60COMP EUROFARMA B</t>
  </si>
  <si>
    <t>AMATO TOPIRAMATO 50MG X60COMP LAB. EUROFARMA</t>
  </si>
  <si>
    <t>AMBIENTADOR AIR FRESHENER HOME SWEET HOME AROMA BEBE</t>
  </si>
  <si>
    <t>AMBIENTADOR AIR FRESHENER HOME SWEET HOME TE VERDE X360ML</t>
  </si>
  <si>
    <t>AMBILAN AMOXICILINA + ACIDO CLAVULANICO 800MG + 57MG X90ML LAB. DE CHILE</t>
  </si>
  <si>
    <t>AMBROXOL CLORHIDRATO 30 MG 100 ML LAB. OPKO</t>
  </si>
  <si>
    <t>AMBROXOL CLORHIDRATO AMBROXOL CLORHIDRATO 15MG X100 ML LAB.ASCEND</t>
  </si>
  <si>
    <t>AMBROXOL CLORHIDRATO CLORHIDRATO DE AMBROXOL 15MG X100ML LAB. HOSPIFARMA</t>
  </si>
  <si>
    <t>AMBROXOL CLORHIDRATO JARABE ADULTO 30MG5ML BP</t>
  </si>
  <si>
    <t>AMBROXOL CLORHIDRATO JBE 30MG5ML HOSP 120ML</t>
  </si>
  <si>
    <t>AMERICANO ALGODON HIDROFILO 100 GRS LASTRADE HNOS</t>
  </si>
  <si>
    <t>AMERICANO ALGODON HIDROFILO 50 GRS LASTRADE HNOS</t>
  </si>
  <si>
    <t>AMIODARONA CLORHIDRATO 200 MG. 20 COMP. LAB. MILAB</t>
  </si>
  <si>
    <t>AMITRIPTILINA CHORHIDRATO 25 MG. 100 COMP. LAB. DE CHILE</t>
  </si>
  <si>
    <t>AMLIPROS AMLODIPINO + OLMESARTAN MEDOXOMILO 40MG + 10MG X30COMP LAV. ASCEND</t>
  </si>
  <si>
    <t>AMLIPROS COMPRIMIDO 540 MG X 30</t>
  </si>
  <si>
    <t>AMLODIPINO 10 MG. 30 COMP. LAB. MILAB B</t>
  </si>
  <si>
    <t>AMLODIPINO 10MG 30 COMP. OPKO</t>
  </si>
  <si>
    <t>AMLODIPINO 10MG ASCEND</t>
  </si>
  <si>
    <t>AMLODIPINO 10MG X30 COMP LAB PASTEUR</t>
  </si>
  <si>
    <t>AMLODIPINO 5 MG 30 COMPRIMIDOS ASCEND LABORATORIES</t>
  </si>
  <si>
    <t>AMLODIPINO 5 MG. 30 COMP. LAB. MILAB B</t>
  </si>
  <si>
    <t>AMLODIPINO 5MG X30 COMP LAB. OPKO</t>
  </si>
  <si>
    <t>AMLODIPINO COM .10MGX60 COMPR</t>
  </si>
  <si>
    <t>AMMENS COL 120ML + 75ML</t>
  </si>
  <si>
    <t>AMMENS COLONIA 120ML</t>
  </si>
  <si>
    <t>AMMENS COLONIA 75ML C/ESTUCHE</t>
  </si>
  <si>
    <t>AMOBIOTIC AMOXICILINA 1G X14COMP LAB. TEVA</t>
  </si>
  <si>
    <t>AMOBIOTIC AMOXICILINA 1G X20 COMP. LAB. DE CHILE</t>
  </si>
  <si>
    <t>AMOVAL AMOXICILINA 250MG X100 ML LAB. SAVAL</t>
  </si>
  <si>
    <t>AMOVAL AMOXICILINA 500MG X100ML LAB. SAVAL</t>
  </si>
  <si>
    <t>AMOVAL AMOXICILINA 500MG X21COMP LAB. SAVAL</t>
  </si>
  <si>
    <t>AMOVAL DUO 1000MG/ 5ML</t>
  </si>
  <si>
    <t>AMOVAL DUO AMOXICILINA 1000MG X90ML LAB SAVAL</t>
  </si>
  <si>
    <t>AMOVAL DUO SUS.1000.50ML</t>
  </si>
  <si>
    <t>AMOXI 875+ ACIDO CLAVULANICO 125 20 COMP</t>
  </si>
  <si>
    <t>AMOXICILINA + ACIDO CLAVULANICO 500MG + 125MG X20COMP LAB. OPKOBE</t>
  </si>
  <si>
    <t>AMOXICILINA + ACIDO CLAVULANICO 875 - 125 14 COMP. LAB. OPKOBE</t>
  </si>
  <si>
    <t>AMOXICILINA + ACIDO CLAVULANICO 875MG + 125MG X14COMP LAB. MEDOCHEMIE</t>
  </si>
  <si>
    <t>AMOXICILINA + ACIDO CLAVULANICO AMOXICILINA + ACIDO CLAVULANICO 400MG + 57MG X70ML LAB. HOSPIFARMA</t>
  </si>
  <si>
    <t>AMOXICILINA 500 MG 21 CAPS LAB. CURAESPRING</t>
  </si>
  <si>
    <t>AMOXICILINA 500 MG. 21 CAPS. LAB. MILAB</t>
  </si>
  <si>
    <t>AMOXICILINA 500MG X60ML  LAB DFM</t>
  </si>
  <si>
    <t>PRODUCTO FARMACEUTICO</t>
  </si>
  <si>
    <t>AMOXICILINA 500MG/5ML P.S.O 60ML</t>
  </si>
  <si>
    <t>AMOXICILINA 750MG X10COMP. MINTLAB B</t>
  </si>
  <si>
    <t>AMOXICILINA ACIDO CLAVULANICO 500 MG. - 125 MG. 20 COMP. LAB. ASCEND</t>
  </si>
  <si>
    <t>AMOXICILINA ACIDO CLAVULANICO 875 MG. - 125 MG. 20 COMP. LAB. ETHON</t>
  </si>
  <si>
    <t>AMOXICILINA ACIDO CLAVULANICO 875MG125MG X14COMP. ETHON B</t>
  </si>
  <si>
    <t>AMOXICILINA AMOXICILINA 250 MG X60ML LAB. CURAESPRING</t>
  </si>
  <si>
    <t>AMOXICILINA POLVO 500MG/5ML X60ML</t>
  </si>
  <si>
    <t>AMOXICILINA SO AMOXICILINA 500 MG X60ML LAB. OPKO</t>
  </si>
  <si>
    <t>AMOXICILINA SUS 250 MG 5ML LAB OPKO</t>
  </si>
  <si>
    <t>AMPLEX AMLODIPINO + VALSARTAN 5MG + 160MG X30COMP LAB. DE CHILE</t>
  </si>
  <si>
    <t>ANACIN CLASICO ACIDO ACETILSACILILICO325MGCAFEINA15MG 32 COMPRIOMIDOS</t>
  </si>
  <si>
    <t>ANACIN CLASICO ACIDO ACETISALICLICO + CAFEINA 325MG + 15MG X8COMP LAB. GSK</t>
  </si>
  <si>
    <t>ANACIN MAX ACIDO ACETILSACILICICO 300MGPARACETAMOL200MGCAFEINA45MG</t>
  </si>
  <si>
    <t>ANACIN MAX ACIDO ACETILSALICILICO + PARACETAMOL + CAFEINA 300MG + 200MG + 45MG X32COMP LAB. GSK</t>
  </si>
  <si>
    <t>ANAGEN CASSARA MINOXIDIL LOCION CAPILAR 5% X 100ML</t>
  </si>
  <si>
    <t>ANALIA ACETONA USO EXTERNO X60CC DISGAL</t>
  </si>
  <si>
    <t>ANALIA ALCOHOL 70- X60ML MAQUIPACK</t>
  </si>
  <si>
    <t>ANALIA QUITA ESMALTE OLEOSO ROSA MOSQUETA 40CC ALIANZA LTDA</t>
  </si>
  <si>
    <t>ANALIA VASELINA LIQUIDA 125ML DISGAL</t>
  </si>
  <si>
    <t>ANC ACEITE PEPA CALABAZA X 30 CAPS</t>
  </si>
  <si>
    <t>ANC FITOFEM X60 CAPS BLISTER</t>
  </si>
  <si>
    <t>ANC ZINC+VIT C+MAG X60 CAPS</t>
  </si>
  <si>
    <t>ANFEBUTAMONA CLORHIDRATO 300 MG. 30 COMP. MOMENTA</t>
  </si>
  <si>
    <t>ANILINA AZUL MARINO. MONTBLAC</t>
  </si>
  <si>
    <t>ANILINA COLOR AMARILLO ACOLOR</t>
  </si>
  <si>
    <t>ANILINA GRIS PERLA. MONTBLANC</t>
  </si>
  <si>
    <t>ANILINA MONTBLANC FIJADOR</t>
  </si>
  <si>
    <t>ANILINA MONTBLANC VERDE</t>
  </si>
  <si>
    <t>ANILINA MONTBLANC VICUNA</t>
  </si>
  <si>
    <t>ANILINA NEGRO MONTBLAC</t>
  </si>
  <si>
    <t>ANILINA TURQUESA MONTBLANC</t>
  </si>
  <si>
    <t>ANILINAS AZUL FRANCIA. MONTBLAC</t>
  </si>
  <si>
    <t>ANILINAS TINTES AMARILLO 1UNI MONTBLANC</t>
  </si>
  <si>
    <t>ANILINAS TINTES BURDEOS MONT 1UNI</t>
  </si>
  <si>
    <t>ANILINAS TINTES CAFE MONT 1UNI</t>
  </si>
  <si>
    <t>ANILINAS TINTES DECOLOR 1UNI MONTBLANC</t>
  </si>
  <si>
    <t>ANILINAS TINTES FUEGO 1UNI MONTBLANC</t>
  </si>
  <si>
    <t>ANIS ESTRELLA 4G</t>
  </si>
  <si>
    <t>ANOVULATORIOS LEVONORGESTREL + ETNILESTRADIOL 0.15MG + 0.03MG X21COMP LAB. ANDROMACO</t>
  </si>
  <si>
    <t>ANSIEDAD FLORES DE BACH 30ML</t>
  </si>
  <si>
    <t>ANTABUS DISULFIRAMO 500 MG. 24 COMP. LAB. GARDEN</t>
  </si>
  <si>
    <t>ANTALIN AMITRIPTILINA CLORHIDRATO + CLORDIAZEPOXIDO. 12.5 MG. + 5 MG. 30 COMP. LAB. SAVAL</t>
  </si>
  <si>
    <t>ANTEOJOS OPTICOS +1.50</t>
  </si>
  <si>
    <t>ANTEOJOS OPTICOS +2.0</t>
  </si>
  <si>
    <t>ANTI PIGMENTO Y MANCHAS EUCERIN</t>
  </si>
  <si>
    <t>ANTIACIDO ENO LIMON</t>
  </si>
  <si>
    <t>ANTIAX ANTIFLATUL 6COMP SAV 480100MG</t>
  </si>
  <si>
    <t>ANTIAX MAGALDRATO + SIMETICONA 480MG + 100MG X180ML LAB. SAVAL</t>
  </si>
  <si>
    <t>ANTIGENO TES KIT SINGCLEAN UND</t>
  </si>
  <si>
    <t>ANTIMETIL EXTRACTO SECO DE RIZOMA DE JENGIBRE 50MG X30COMP LAB. LCH</t>
  </si>
  <si>
    <t>ANTIMETIL EXTRACTO SECO DE RIZOMA DE JENGIBRE 50MG X6COMP. LABORATORIO DE CHILE</t>
  </si>
  <si>
    <t>ANTITRANSPIRANTE AEROSOL NIVEA EFFECT X150ML</t>
  </si>
  <si>
    <t>ANTITRANSPIRANTE ALTA EFICACIA 20ML PERSIREX</t>
  </si>
  <si>
    <t>ANTITRANSPIRANTE DOVE GO FRESH PEPINO-TE 150ML</t>
  </si>
  <si>
    <t>ANTITRANSPIRANTE DOVE GO FRESH PERA ALOE VERA CON VIT E</t>
  </si>
  <si>
    <t>ANTITRANSPIRANTE DOVE INVISIBLE DRY ANTI MANCHAS X50ML</t>
  </si>
  <si>
    <t>ANTITRANSPIRANTE DOVE MEN CARE CUIDADO TOTAL X50G</t>
  </si>
  <si>
    <t>ANTITRANSPIRANTE DOVE MEN CARE ROLL-ON INVISIBLE DRY X50ML</t>
  </si>
  <si>
    <t>ANTITRANSPIRANTE DOVE MEN+CARE PROTECCION TOTAL 45 G.</t>
  </si>
  <si>
    <t>ANTITRANSPIRANTE EN CREMA EXTRA DRY REXONA</t>
  </si>
  <si>
    <t>ANTITRANSPIRANTE ETIQUET ACTIVE PROTECTION 60G</t>
  </si>
  <si>
    <t>ANTITRANSPIRANTE ETIQUET MEN X 60G ROLL ON</t>
  </si>
  <si>
    <t>ANTITRANSPIRANTE ETIQUET WOMEN DELICIOUS X60G</t>
  </si>
  <si>
    <t>ANTITRANSPIRANTE ETIQUET WOMEN FLORAL SIN ALCOHOL X60G</t>
  </si>
  <si>
    <t>ANTITRANSPIRANTE GEL GILLETTE 5 PROTECT COOL WAVE</t>
  </si>
  <si>
    <t>ANTITRANSPIRANTE GILLETTE HYDRA GEL + ALOE VERA 82G</t>
  </si>
  <si>
    <t>ANTITRANSPIRANTE HIDRO FUGAL CLASSIC</t>
  </si>
  <si>
    <t>ANTITRANSPIRANTE HIDROFUGAL CLASSIC NEUTRO SPRAY 150ML</t>
  </si>
  <si>
    <t>ANTITRANSPIRANTE KIDS PREFACE SIN ALCOHOL X75G</t>
  </si>
  <si>
    <t>ANTITRANSPIRANTE NIVEA MEN BLACK WHITE 50G</t>
  </si>
  <si>
    <t>ANTITRANSPIRANTE NIVEA PEARLBEAUTY X150ML</t>
  </si>
  <si>
    <t>ANTITRANSPIRANTE NIVEA SILVER MEN X54G</t>
  </si>
  <si>
    <t>ANTITRANSPIRANTE NIVEA STRESS PROTECT AEROSOL</t>
  </si>
  <si>
    <t>ANTITRANSPIRANTE OBAO DERMO EFICACIA 150ML</t>
  </si>
  <si>
    <t>ANTITRANSPIRANTE OBAO DERMO-EFICACIA HIALURONICO</t>
  </si>
  <si>
    <t>ANTITRANSPIRANTE OBAO DERMO-EFICACIA VITAMINA C ACLARANTE X150ML GARNIER</t>
  </si>
  <si>
    <t>ANTITRANSPIRANTE REXONA CLINICAL AEROSOL X150ML</t>
  </si>
  <si>
    <t>ANTITRANSPIRANTE REXONA CLINICAL CLEAN X150ML</t>
  </si>
  <si>
    <t>ANTITRANSPIRANTE REXONA CLINICAL EN CREMA X48G</t>
  </si>
  <si>
    <t>ANTITRANSPIRANTE REXONA INVISIBLE 72H. SPRAY AEROSOL</t>
  </si>
  <si>
    <t>ANTITRASPARENTE ROLL ON. TONO NATURAL. NIVEA</t>
  </si>
  <si>
    <t>ANTITRASPIRANTE ROLL ON TONO UNIFORME CALENDULA CON VIT E. DOVE</t>
  </si>
  <si>
    <t>ANTITRASPIRANTE SPRAY SECO BLACK 152 ML. AXE BLACK</t>
  </si>
  <si>
    <t>ANTONIO BANDERAS BLUE SEDUCTION 50 ML</t>
  </si>
  <si>
    <t>ANULETTE CD LEVONORGESTREL 0.15 MG ETINELESTRADIOL 0.03 MG. 28 COMP. LAB. ANDROMACO</t>
  </si>
  <si>
    <t>ANXIUM  HYPERICUM PERFORATUM  300 MG  60 CAPS.  LAB. KNOP</t>
  </si>
  <si>
    <t>ANZAP 10 OLANZAPINA 10MG X30COMP ASCEND B</t>
  </si>
  <si>
    <t>ANZAP OLANZAPINA 10MG X30COMP LAB. ASCEND</t>
  </si>
  <si>
    <t>APETICAT SUPLEMENTO ALIMENTICIO X100ML LAB. DRAG PHARMA</t>
  </si>
  <si>
    <t>APETIPED SUPLEMENTO VITAMINICO X100ML LAB. DRAG PHARMA</t>
  </si>
  <si>
    <t>APIS COMPUESTO X30ML KNOP</t>
  </si>
  <si>
    <t>APIS D6 COMP. KNOP</t>
  </si>
  <si>
    <t>APOQUE OCLACITINIB 16MG 20 COMPR.</t>
  </si>
  <si>
    <t>APOQUE OCLACITINIB 3.6MG</t>
  </si>
  <si>
    <t>APOQUEL OCLACITINIB 16MG X20COMP. ZOETIS</t>
  </si>
  <si>
    <t>APOQUEL OCLACITINIB 3.6MG X20COMP LAB. ZOETIS</t>
  </si>
  <si>
    <t>APOQUEL OCLACITINIB 5.4MG X20COMP ZOETIS</t>
  </si>
  <si>
    <t>APOSITO ADHESIVO TRANSPARENTE 6X7CM 1UND CRANBERRY CJ C</t>
  </si>
  <si>
    <t>APOSITO ALGINATO+PLATA 5X5 CM X1UND CRANBERRY CJ XX</t>
  </si>
  <si>
    <t>APOSITO CUTIMED ALGINATE 10X10</t>
  </si>
  <si>
    <t>APOSITO DE ESPUMA NO ADHESIVO 10CMX10CM X1UND FARMACTIVE CJ X</t>
  </si>
  <si>
    <t>APOSITO DE GASA TRANSPARENTE 5X7</t>
  </si>
  <si>
    <t>APOSITO DE GASA+ALGODON 13X23</t>
  </si>
  <si>
    <t>APOSITO GASA NATURAL 10X20 1UND ESTERIL</t>
  </si>
  <si>
    <t>APOSITO GASA NATURAL10CM X 20CM</t>
  </si>
  <si>
    <t>APOSITO GASA NT + ALGODON EST 10X20 BOLSA X10</t>
  </si>
  <si>
    <t>APOSITO GASA NT + ALGODON EST 20X25</t>
  </si>
  <si>
    <t>APOSITO TRANSPARENTE 15X20 CM</t>
  </si>
  <si>
    <t>APOSITO TRANSPARENTE CON GAZA 8X15 CM</t>
  </si>
  <si>
    <t>APOSITOS PLENITUD LEVE 20UND</t>
  </si>
  <si>
    <t>APOSITOS TRANSPARENTES FAMILY SET 3 UNIDADES 10X12CM.</t>
  </si>
  <si>
    <t>AQUAFERSH LITTLE TEETH CREM DEN GSK 63G</t>
  </si>
  <si>
    <t>AQUAFRESH CREMA DENTAL INTENSE WHITE 2 X 96 GR</t>
  </si>
  <si>
    <t>AQUAFRESH LITTLE TEETH CEP DEN GSK 1UNI CON TAPA DE VIAJE</t>
  </si>
  <si>
    <t>AQUAFRESH PACK TRIPLE PROTEC. PASTA DENTAL SABOR MENTA X2 316G GSK</t>
  </si>
  <si>
    <t>AQUAFRESH TRIPLE PROTECTION X 158G SABOR MENTA</t>
  </si>
  <si>
    <t>AQUAFRESH WHITENING CREM DEN GSK 9675G</t>
  </si>
  <si>
    <t>AQUAPHOR EUCERIN REPARADOR LABIAL X 10ML</t>
  </si>
  <si>
    <t>AQUAWIPES 80UND BUBU</t>
  </si>
  <si>
    <t>AR-T-PRESS ESPINO ALBAR + OLIVA + ALGAS MARINAS 65 + 47 + 47 X60CAPS LAB. AURA VITALIS</t>
  </si>
  <si>
    <t>ARDO AMARYLL BOMBA EXTRACION MANUAL X1UND</t>
  </si>
  <si>
    <t>ARENARIA COMPUESTA GOTAS ORALES X30ML KNOP</t>
  </si>
  <si>
    <t>ARIPIPARAZOL 10 MG. 30 COMP. LAB. DE CHILE</t>
  </si>
  <si>
    <t>ARIPIPRAZOL 10MG X30COMP ASCEND B</t>
  </si>
  <si>
    <t>ARIPIPRAZOL 15 MG . 30 .COMP. LAB. DE CHILE</t>
  </si>
  <si>
    <t>ARIPIPRAZOL 30COMP SEV PHA 10MG</t>
  </si>
  <si>
    <t>ARIPIPRAZOL 5 MG X 30 COMPRIMIDOS LAB CHILE</t>
  </si>
  <si>
    <t>ARIPIPRAZOL 5MG</t>
  </si>
  <si>
    <t>ARIVITAE 5MG ARIPIPRAZOL X28COMP GALENICUM B</t>
  </si>
  <si>
    <t>ARIVITAE ARIPIPRAZOL 10MG</t>
  </si>
  <si>
    <t>ARIVITAE ARIPIPRAZOL 15MG X28COMP LAB. GALENICUM</t>
  </si>
  <si>
    <t>ARIZOL 10MG ARIPIPRAZOL 10MG 28 COMPRIMIDOS</t>
  </si>
  <si>
    <t>ARIZOL 5MG ARIPIPRAZOL 28 COMPRIMIDOS</t>
  </si>
  <si>
    <t>ARLETTE 28 0075MG DESOGESTREL 28 COMPR.</t>
  </si>
  <si>
    <t>ARMONYL COMPUESTO GOTAS 30ML</t>
  </si>
  <si>
    <t>ARMONYL DIA 20 COMP.VALERIANA+PASSIFLORA+CRATAEGUS</t>
  </si>
  <si>
    <t>ARMONYL NOCHE MANZANILLA GTS 30ML</t>
  </si>
  <si>
    <t>ARMONYL NOCHE VALERIANA 200 MG+PASSIFLORA 50 MG+MANZANILLA 50 MG. 20 COMP. LAB.MAVER</t>
  </si>
  <si>
    <t>ARNICA D6 MEDICAMENTO HOMEOPATICO 90 COMP. LAB. KNOP</t>
  </si>
  <si>
    <t>ARNICA-HAMAMELIS COMPUESTO GOTAS ORALES X30ML KNOP</t>
  </si>
  <si>
    <t>ARNIKADERM CONTUSIONES - HEMATOMAS - USO TOPICO X50G KNOP</t>
  </si>
  <si>
    <t>ARTESOL CILOSTAZOL 100MG X30COMP LAB. ABBOTT</t>
  </si>
  <si>
    <t>ARTHOZEEL- HEEL 5 AMPO</t>
  </si>
  <si>
    <t>ARTHROZEEL 50 COMPRIMIDOS SUBLINGUALES</t>
  </si>
  <si>
    <t>ARTRI-TAB SUPLEMENTO ALIMENTICIO MASCOTAS 60TABS LAB INTERFARMA</t>
  </si>
  <si>
    <t>ARTRILAB LEFLUNOMIDA 20MG X30COMP LAB. ITF-LABOMED</t>
  </si>
  <si>
    <t>ARTRIOFIN CARPROFENO 88MG X10COMPR. LAB DRAG PHARMA</t>
  </si>
  <si>
    <t>ARTROPLEX REUMATISMO X60 COMP KNOP</t>
  </si>
  <si>
    <t>ARZIMOL ACIDO FUSIDICO 2 15G RAFFO</t>
  </si>
  <si>
    <t>ASEPXIA AZUFRE ANTI-SEBO JABON X 100 GR</t>
  </si>
  <si>
    <t>ASEPXIA CARBON DETOX JAB 100G ASEP</t>
  </si>
  <si>
    <t>ASEPXIA EXFOLIANTE JAB BARRA ASE 100G</t>
  </si>
  <si>
    <t>ASEPXIA JABON BICARBONATO X100GRS</t>
  </si>
  <si>
    <t>ASEPXIA MAQUILLAJE POLVO COMP BEIGE M</t>
  </si>
  <si>
    <t>ASEPXIA SPOT SECANTE GEL X 28GR</t>
  </si>
  <si>
    <t>ASHWAGANDHA</t>
  </si>
  <si>
    <t>ASPIRADOR NASAL BEST HOUSE</t>
  </si>
  <si>
    <t>ASPIRADOR NASAL SIMONS BREAHE EZZ FILTRO EST HIGIENICO NUBY</t>
  </si>
  <si>
    <t>ASPIRADOR NASAL Y LIMPIADOR DE OIDO 0M+</t>
  </si>
  <si>
    <t>ASPIRINA 100MG TIRA 10UND</t>
  </si>
  <si>
    <t>ASPIRINA 100MG TIRA 98UND</t>
  </si>
  <si>
    <t>ASPIRINA ADULTOS TIRA DE 10UND COMP ACIDO ACETILSALICILICO 500MG</t>
  </si>
  <si>
    <t>ASPIRINA FORTE 80 COMP ACIDO ACETILSALICILICO 650MG</t>
  </si>
  <si>
    <t>ATEMPERATOR ACIDO VALPROICO 10MG X25ML LAB. NOVOFARMA</t>
  </si>
  <si>
    <t>ATENOLOL 100 MG. 20 COMP LAB. MINTLAB</t>
  </si>
  <si>
    <t>ATENOLOL 50 MG. 20 COMP. LAB. ANDROMACO</t>
  </si>
  <si>
    <t>ATENOLOL 50 MG. 20 COMP. LAB. OPKO B</t>
  </si>
  <si>
    <t>ATENOLOL 50MG. X20COMP. LCH</t>
  </si>
  <si>
    <t>ATORVASTATINA 10 MG. 30 COMP. LAB. MSN</t>
  </si>
  <si>
    <t>ATORVASTATINA 20 MG. 30 COMP. LAB CHILE</t>
  </si>
  <si>
    <t>ATORVASTATINA 20 MG. 30 COMP. LAB. MSM</t>
  </si>
  <si>
    <t>ATORVASTATINA 20MG OPKO</t>
  </si>
  <si>
    <t>ATORVASTATINA 40 MG. 30 COMP. LAB. DE CHILE</t>
  </si>
  <si>
    <t>ATORVASTATINA 40 MG. 30 COMP. OPKO.</t>
  </si>
  <si>
    <t>ATORVASTATINA 80MG SCEND</t>
  </si>
  <si>
    <t>ATORVASTTINA 40 MG</t>
  </si>
  <si>
    <t>ATROVENT HFA BROMURO DE IPRATROPIO 20MCG 200DOSIS LAB. BOERINGER INGELHEIM</t>
  </si>
  <si>
    <t>AUBE QUITA ESMALTE HIERBAS 110ML DALBERT</t>
  </si>
  <si>
    <t>AUBE SHAMPOP ORTIGA</t>
  </si>
  <si>
    <t>AUBE TALCO DESODORANTE CON ALCANFOR Y MENTOL 120G LAB. D ALBERT</t>
  </si>
  <si>
    <t>AUDE QUITA ESMALTE LIMON X110ML DALBERTO</t>
  </si>
  <si>
    <t>AURA VITALIS KIDS NERVOKIDS</t>
  </si>
  <si>
    <t>AURALAX ALOE VERA + MANZANILLA + LATOBACILLUS 55MG + 55MG + 57MG X60CAPS LAB. AURA VITALIS</t>
  </si>
  <si>
    <t>AURITUSS SALMETEROL + FLUTICASONA PROPIONATO 25 MCG+ 125MCG 120DOSIS LAB. ABBOTT</t>
  </si>
  <si>
    <t>AURITUSS SALMETEROL FLUTICASONA 25250 120 DOSIS</t>
  </si>
  <si>
    <t>AUROSOL FORTE HIPROMELOSA 0.7MG X10ML LAB. PHARMATECH</t>
  </si>
  <si>
    <t>AUTOBRONCENATE 190 GRS. LEBLON BRONZER</t>
  </si>
  <si>
    <t>AVAMYS FLUTICASONA FUROATO NEBULIZACION NASAL 27.5MCGDOSIS X120DOSIS GSK</t>
  </si>
  <si>
    <t>AVENA SATIVA 30 ML. GOTAS ORALES</t>
  </si>
  <si>
    <t>AVENA SATIVA 30ML</t>
  </si>
  <si>
    <t>AVENA SATIVA T.M. 30ML KNOP</t>
  </si>
  <si>
    <t>AVENE AGUA TERMAL</t>
  </si>
  <si>
    <t>AVENE CICALFATE CREMA REPARADORA PROTECTORA 40ML LAB. PIERRE FABRE</t>
  </si>
  <si>
    <t>AVENE EAU THERMALE AGUA TERMAL X150ML PIERRE FABRE</t>
  </si>
  <si>
    <t>AVENE EAU THERMALE AGUA TERMAL X2UND 50ML CU PIERRE FABRE</t>
  </si>
  <si>
    <t>AVENT ANTI-COLIC BIBERON 1M+ CELESTE 260 ML PHILIPS</t>
  </si>
  <si>
    <t>AVENT PEZONERA DE SILICONA TALLA M 2 UNIDADES</t>
  </si>
  <si>
    <t>AVENT PHILIPS CHUPETE SILICONA NOCTURNO 0-6 M 2 UND NINA</t>
  </si>
  <si>
    <t>AVIATUS LEVODROPROPIZINA 30MG X120ML LAB. PRATER</t>
  </si>
  <si>
    <t>AXE APOLLO</t>
  </si>
  <si>
    <t>AXE APOLLO 72HRS ANTITRANSPIRANTE</t>
  </si>
  <si>
    <t>AXE BLACK 48 H</t>
  </si>
  <si>
    <t>AXE DARK TEMTATION</t>
  </si>
  <si>
    <t>AXE EPIC FRESH POMELO Y CARDAMOMO SPRAY</t>
  </si>
  <si>
    <t>AXE MARINE 48HRS</t>
  </si>
  <si>
    <t>AXE MUSK</t>
  </si>
  <si>
    <t>AZATIOPRINA 5 0MG. 100 COMP. LAB. ASCEND</t>
  </si>
  <si>
    <t>AZELASTINA CLORHIDRATO 0.05</t>
  </si>
  <si>
    <t>AZITROMICINA 500 MG. 6 COMP. LAB. MINT</t>
  </si>
  <si>
    <t>AZITROMICINA 500MG 6COMP LAB. DE CHILE</t>
  </si>
  <si>
    <t>AZITROMICINA 500MG LAB CHILE</t>
  </si>
  <si>
    <t>AZITROMICINA AZIMTROMICINA 200MG X30ML LAB. HOSPIFARMA</t>
  </si>
  <si>
    <t>AZITROMICINA AZIMTROMICINA 200MG X30ML LAB. PHARMATECH</t>
  </si>
  <si>
    <t>AZUFRE FLOR 20G QUIMNATURA</t>
  </si>
  <si>
    <t>AZUL DE METILENO 2 20ML. VALMA</t>
  </si>
  <si>
    <t>AZULFIDINE SULFASALAZIA 500MG X100COMP LAB. PFIZER</t>
  </si>
  <si>
    <t>B COMPLEX</t>
  </si>
  <si>
    <t>B-COMPLEX B</t>
  </si>
  <si>
    <t>B-COMPLEX COMPLEJO VITAMINICO X30CAPS LAB. ANC</t>
  </si>
  <si>
    <t>B-COMPLEX COMPLEJO VITAMINICO X30CAPS LAB. SPRINGLIFE</t>
  </si>
  <si>
    <t>B100 SET LIMAS UÑAS X2</t>
  </si>
  <si>
    <t>B12 VITAMINA SUPLEMENTO ALIMENTARIO 100 COMP. LAB. CURAESPRING</t>
  </si>
  <si>
    <t>BABERO BORDADO VELCRO BEST HOUSE BABY WORLD</t>
  </si>
  <si>
    <t>BABY AMMENS ACONDICIONADOR FORMULA NEUTRA X250 M</t>
  </si>
  <si>
    <t>BABY CEPILLO DENTAL VITIS 0+</t>
  </si>
  <si>
    <t>BABY LEE ACONDICIONADOR DERMATOLOGICO BRILLITOS MAGICOS X400ML BALLERINA</t>
  </si>
  <si>
    <t>BABY LEE ACONDICIONADOR HIPOALEGENICO MANZANILLA X400ML</t>
  </si>
  <si>
    <t>BABY LEE ACONDICIONADOR HIPOALERGENI COCO Y AVENA X400ML BALLERINA</t>
  </si>
  <si>
    <t>BABY LEE KIDS ACONDICIONADOR DERMATOLOGICO AROMA INFINITO A MELON X400ML BALLERINA</t>
  </si>
  <si>
    <t>BABY LEE KIDS ACONDICIONADOR DERMATOLOGICO X400ML</t>
  </si>
  <si>
    <t>BABY LEE KIDS BANO DE ESPUMA DERMATOLOGICO X400ML</t>
  </si>
  <si>
    <t>BABY LEE KIDS SHAMPOO DERMATOLOGICO AROMA INFINITO A MELON X400ML BALLERINA</t>
  </si>
  <si>
    <t>BABY LEE SHAMPOO DERMATOLOGICO BRILLITOS MAGICOS X400ML BALLERINA</t>
  </si>
  <si>
    <t>BABY PLASTIC BOTTLE NIPPLE</t>
  </si>
  <si>
    <t>BABY SHAMPOO MANZANILLA SIMONDS BABY CARE HIPOALERGENICO X610ML DURANDIN</t>
  </si>
  <si>
    <t>BABY SHAMPOO SIMONDS HIPOALERGENICO SIN SAL X400ML DURANDIN</t>
  </si>
  <si>
    <t>BABY SHAMPOO SIMONDS HIPOALERGENICO X610ML</t>
  </si>
  <si>
    <t>BABYLAND ACEITE RELAX 210ML</t>
  </si>
  <si>
    <t>BABYLAND BALSAMO ACONDICIONADOR MANZANILLA HIPOALERGENICO X410ML DURANDIN</t>
  </si>
  <si>
    <t>BABYLAND EMULSIONADO NEUTRO 700ML</t>
  </si>
  <si>
    <t>BABYLAND SHAMPOO MANZANILLA CABELLOS CLAROS HIPOALERGENICO X140ML DURANDIN</t>
  </si>
  <si>
    <t>BABYSEC PREMIUM 20 PANALES TALLA M</t>
  </si>
  <si>
    <t>BABYSEC PREMIUM XG PANAL X 14</t>
  </si>
  <si>
    <t>BACITRACINA + NEOMICINA 15G. MILAB</t>
  </si>
  <si>
    <t>BACITRACINA NEOMICINA 15 GRAS.</t>
  </si>
  <si>
    <t>BACITRACINA+NEOMICINA UNGUENTO DERMICO USO TOPICO X15G LCH</t>
  </si>
  <si>
    <t>BAGOMICINA MINOCICLINA 100MG 15COMP LAB. BAGO</t>
  </si>
  <si>
    <t>BAGOMICINA MINOCICLINA 30COMP BAG 50MG</t>
  </si>
  <si>
    <t>BAGOMIGRAL NARATRIPT 10COMP BAG 25MG</t>
  </si>
  <si>
    <t>BAGOMIGRAL NARATRIPTAN 2.5MG X2COMP LAB.BAGO</t>
  </si>
  <si>
    <t>BAILAHUEN 30ML</t>
  </si>
  <si>
    <t>BAJA LENGUA MADERA MUN CARE 100UND</t>
  </si>
  <si>
    <t>BAJADA DE SUERO CRANBERRY</t>
  </si>
  <si>
    <t>BALLERINA ACONDICIONADOR LARGO INCREIBLE KERATINA+PROTEINAS X750 ML LAB. BALLERINA</t>
  </si>
  <si>
    <t>BALLERINA JABON LIQUIDO DOBLE HUMECTACION PH5 PH PIEL</t>
  </si>
  <si>
    <t>BALSAMO ACONDICIONADOR MANZANILLA SIMONDS BABY CARE X400ML DURANDIN</t>
  </si>
  <si>
    <t>BALSAMO KADUS FINAS HIERBAS X900ML</t>
  </si>
  <si>
    <t>BALSAMO LABIAL NIVEA BLACKBERRY SHINE 4.8G</t>
  </si>
  <si>
    <t>BALSAMO LABIAL NIVEA CUIDADO BASICO FPS. 15 4.8 GR. 1 UND. LAB. BEIERSDORF</t>
  </si>
  <si>
    <t>BALSAMO LABIAL NIVEA ORIGINAL CARE 4.8 G</t>
  </si>
  <si>
    <t>BALSAMO LABIAL NIVEA PRINCESAS</t>
  </si>
  <si>
    <t>BANDA ADHESIVA 7.5CM X 4.5M</t>
  </si>
  <si>
    <t>BANDITAS TRANSPARENTES NEXCARE DISCRET</t>
  </si>
  <si>
    <t>BANO Y SHAMPOO AROMA NEUTRO BUBU</t>
  </si>
  <si>
    <t>BARBERIS CANTHARIS COMPUESTO MEDICAMENTO HOMEOPATICO X30ML LAB. KNOP</t>
  </si>
  <si>
    <t>BARRA ANTITRANSPIRANTE NIVEA BLACK WHITE X50G</t>
  </si>
  <si>
    <t>BARRA ANTITRANSPIRANTE NIVEA BLACKWHITE X50ML</t>
  </si>
  <si>
    <t>BARRA ANTITRANSPIRANTE NIVEA TONO NATURAL X50ML</t>
  </si>
  <si>
    <t>BARRA ANTITRANSPIRANTE SPEED STICK 50MG REDUCE MANCHAS</t>
  </si>
  <si>
    <t>BARRA ANTITRANSPIRANTE SPEED STICK HYPOALLERGENIC</t>
  </si>
  <si>
    <t>BARRA ANTITRANSPIRANTE SPEED STICK X5 50G</t>
  </si>
  <si>
    <t>BARRA DESODORANTE AXE APOLLO CITRUS Y MADERA 45G</t>
  </si>
  <si>
    <t>BARRA DESODORANTE AXE DARK TEMPTATION X45G</t>
  </si>
  <si>
    <t>BARRA DESODORANTE AXE EPIC FRESH POMELO Y CARDAMOMO</t>
  </si>
  <si>
    <t>BARRA DESODORANTE SPEED STICK ZERO X76G</t>
  </si>
  <si>
    <t>BARRA DESODORANTE WOLFTHORN. 50 GRS.</t>
  </si>
  <si>
    <t>BATISTE SHAMPOO EN SECO TROPICAL EXOTIC COCONUT X200ML</t>
  </si>
  <si>
    <t>BAYCUTEN ACETATO DE DEXAMETASONA + CLOTIMAZOL 6MG + 150MG X15G LAB. BAYER</t>
  </si>
  <si>
    <t>BEAPHAR CEPILLO DENTAL DEDO X2UND BEAPHAR</t>
  </si>
  <si>
    <t>BEAPHAR SHAMPOO GATOS</t>
  </si>
  <si>
    <t>BEAUTIP ARAMA</t>
  </si>
  <si>
    <t>BEAUTIP-D SUPLEMENTO ALIMENTARIO X30</t>
  </si>
  <si>
    <t>BEAUTY 100 COPOS DE ALGODON X100UND</t>
  </si>
  <si>
    <t>BEAUTY PINZA ANGULAR DISEÑO 1 UND. ANGULAR TWEEZER</t>
  </si>
  <si>
    <t>BEAUTY SETS CORTA UÑAS DE PINZA 1 UND. LAB. BEAUTY SETS</t>
  </si>
  <si>
    <t>BECITEX PARGEVERINA CLORHIDRATO 5MG X20ML LAB. PRATER</t>
  </si>
  <si>
    <t>BEDIATIL FORTE IBUPROFENO 200MG X100ML LAB. PASTEUR</t>
  </si>
  <si>
    <t>BEEF STICK</t>
  </si>
  <si>
    <t>BELLADONNA COMPUESTA GOTAS ORALES X30ML KNOP</t>
  </si>
  <si>
    <t>BELLEKISS COLONIA BLUE 1000ML</t>
  </si>
  <si>
    <t>BENCILPECINA POLVO PARA SOLUCION INYECTABLE 2000000 U.I INY X 50</t>
  </si>
  <si>
    <t>BENCILPENICILINA BENZATINA 1.200.000U.I. 1 AMPOLLA LAB. OPKO</t>
  </si>
  <si>
    <t>BENTLEY ANILLO VIB D/PLEASURE</t>
  </si>
  <si>
    <t>BENTLEY CLASSIC GEL X 120 GR</t>
  </si>
  <si>
    <t>BENTLEY GEL LUB CLIMAX CONT.50GR.</t>
  </si>
  <si>
    <t>BENTLEY LUBRICANTE CLASICO 50G</t>
  </si>
  <si>
    <t>BENTLEY LUBRICANTE INTIMO GEL FRUTILLA 50 G</t>
  </si>
  <si>
    <t>BENTLEY LUBRICANTE INTIMO HOT GEL 50G</t>
  </si>
  <si>
    <t>BENTLEY LUBRICANTE INTIMO ICE GEL X 50G</t>
  </si>
  <si>
    <t>BENTLEY LUBRICANTE INTIMO PLAY GEL 50G</t>
  </si>
  <si>
    <t>BENTLY ANILLO 3 VELOCIDADES BENTLEY</t>
  </si>
  <si>
    <t>BENZAC AC PEROXIDO DE BENZOILO</t>
  </si>
  <si>
    <t>BENZAC AC PEROXIDO DE BENZOILO 5G X15G LAB. GALDERMA</t>
  </si>
  <si>
    <t>BEPANTHOBEPHANTOL CREMA REPARADORA X30G LAB. BAYER</t>
  </si>
  <si>
    <t>BEPANTHOL 3G</t>
  </si>
  <si>
    <t>BEPANTHOL DEXPANTENOL 50MG X50G LAB. BAYER</t>
  </si>
  <si>
    <t>BEQUIUM PSEUDOEFEDRINA CLORHIDRATO CODEINA FOSFATO CLORFENAMINA MALEATO JARABE X120ML LS</t>
  </si>
  <si>
    <t>BERODUAL HFA BROMURO DE IPRATROPIO + BROMHIDRATO DE FENETEROL 20MCG + 50MCG 200DOSIS LAB. BOEHRINGE</t>
  </si>
  <si>
    <t>BERSEN PREDNISONA 20MG X20COMP LAB.PASTEUR</t>
  </si>
  <si>
    <t>BERSEN PREDNISONA 20MG X60ML LAB. PASTEUR</t>
  </si>
  <si>
    <t>BEST HOUSE MORDEDOR CON CASCABEL 1UN</t>
  </si>
  <si>
    <t>BESTHOUSE CHUPETE REDONDO</t>
  </si>
  <si>
    <t>BETA CAROTENO X60CAPS NATURALFARMA</t>
  </si>
  <si>
    <t>BETACAR SOLAR ACEITE DE BETACAROTENO + VITAMINA E 200MG + 1MG X60CAPS LAB. AURA VITALIS</t>
  </si>
  <si>
    <t>BETALOC ZOK METOPROLOL SUCCINATO 50 MG 30</t>
  </si>
  <si>
    <t>BETALOC ZOK METROPROLOL SUCCINATO 25MG X30COMP LAB. ASTRA ZENECA</t>
  </si>
  <si>
    <t>BETAMETASONA 0.05% 15 GRS CREMA TOPICA LAB. CURAESPRING</t>
  </si>
  <si>
    <t>BETAMETASONA 0.05. 15 GRS. UNGUENTO. LAB. CHILE</t>
  </si>
  <si>
    <t>BETAMETASONA 4MG 1ML LAB. VITALIS</t>
  </si>
  <si>
    <t>BETAMETASONA 4MG 5 AMPOLLAS LAB. VITALIS</t>
  </si>
  <si>
    <t>BETAMETASONA AMP 4 MG1 ML X 100 VITALIS</t>
  </si>
  <si>
    <t>BETAMETASONA CR. OPKO</t>
  </si>
  <si>
    <t>BETAMETASONA CREMA TOPICA 15G0.05 HOSPIFARMA</t>
  </si>
  <si>
    <t>BETAMETASONA SODIO FOSFATO 4 MG x5AMPOLLAS LAB. BIOSANO</t>
  </si>
  <si>
    <t>BETAMETASONA SOL. ORAL PARA GOTAS 0.5 MGML. CIDOTEN</t>
  </si>
  <si>
    <t>BETAMETASONA-NEOMICINA LCH</t>
  </si>
  <si>
    <t>BETASOLAR BETACAROTENO 6.5MG X60CAPS LAB. FUENTE VITAL</t>
  </si>
  <si>
    <t>BETAVOL BETAMETASONA DIPROPIONATO + BETAMETASONA FOSFATO DISODICO 5MG +2MG X1ML LAB.EUROFARMA</t>
  </si>
  <si>
    <t>BETINA BETAHISTINA DICLORHIDRATO 16MG. X30COMP. LAB. EUROFARMA</t>
  </si>
  <si>
    <t>BETINA BETAHISTINA DICLORHIDRATO 24MG. X30COMP. LAB. EUROFARMA</t>
  </si>
  <si>
    <t>BETIS CLOTIAZEPAM 10MG X30COMP. SYNTHON</t>
  </si>
  <si>
    <t>BETIS CLOTIAZEPAN 5MG X30COMP SYNTHON</t>
  </si>
  <si>
    <t>BEVITEX 5MG/ML 20ML</t>
  </si>
  <si>
    <t>BEVITEX FORTE PARGEVERINA CLORHIDRATO GOTAS ORALES 10MGML X20ML PRATER B</t>
  </si>
  <si>
    <t>BEVITEX METAMIZOL MAGNESICO + OARGEVERINA CLORHIDRATO 300MG + 6MG X30ML LAB. PRATER</t>
  </si>
  <si>
    <t>BIBERON 260ML/9OZ PHILIPS</t>
  </si>
  <si>
    <t>BIBERON 330ML 11OZ PHILIPS AVENT</t>
  </si>
  <si>
    <t>BIBERON SOFTOUCH240ML 8OZ</t>
  </si>
  <si>
    <t>BIC CONFORT 2 MAQUINA DES. X 5 UNID.</t>
  </si>
  <si>
    <t>BICARBONATO DE SODIO 200GR. DROGUERIA NUNOA</t>
  </si>
  <si>
    <t>BICARBONATO DE SODIO 250 GR.</t>
  </si>
  <si>
    <t>BICARBONATO DE SODIO 250G QUIMMATURA</t>
  </si>
  <si>
    <t>BICARBONATO SODIO 150 G. QUIMNATURA</t>
  </si>
  <si>
    <t>BILATEN CANDESARTAN CILEXETILO + HIDROCLOROTIAZIDA 16MG + 12.5MG X30COMP LAB. EUROFARMA</t>
  </si>
  <si>
    <t>BILIDREN 10MG BILASTINA X30 COMP. FAES FARMA</t>
  </si>
  <si>
    <t>BILIDREN BILASTINA 2.5 MG X120ML LAB. FAES</t>
  </si>
  <si>
    <t>BILIDREN BILASTINA 20MG. X30COMP. LAB.FAES FARMA</t>
  </si>
  <si>
    <t>BILLBERRY-CE SUPLEMENTO VITAMINICO X90CAPS LAB. VALLE D SOL</t>
  </si>
  <si>
    <t>BILLBERRY-CE X90CAPS VALLE DE SOL</t>
  </si>
  <si>
    <t>BIO COTONITOS DE ALGODON VARITAS DE PAPEL</t>
  </si>
  <si>
    <t>BIO GAIA PROBIOTICOS X30 COMP. LAB. ABBOTT</t>
  </si>
  <si>
    <t>BIO GAIA SUPLEMENTO EN VITAMINA D 13.5G X30COMP MASTICABLES SABOR NARANJA ABBOTT</t>
  </si>
  <si>
    <t>BIO OIL 125 ML</t>
  </si>
  <si>
    <t>BIO OIL ACEITE PARA EL CUIDADO DE LA PIEL X25ML</t>
  </si>
  <si>
    <t>BIO OIL LOCION DE CUERPO X250ML</t>
  </si>
  <si>
    <t>BIO-OIL ACEITE 60ML</t>
  </si>
  <si>
    <t>BIO-OIL ACEITE PARA CUIDADO DE LA PIEL 25 ML. 1 UND. LAB. UNION SWISS</t>
  </si>
  <si>
    <t>BIO-OIL ACEITE PARA EL CUIDADO DE LA PIEL NATURAL X125ML</t>
  </si>
  <si>
    <t>BIO-OIL ACEITE PARA EL CUIDADO DE LA PIEL X200 ML LAB. UMBRELLA 7</t>
  </si>
  <si>
    <t>BIO-POWER LACTOBACILLUS ACIDOPHILUS + BIFIDOBACTERIUM BIFIDUM + ENTEROCOCCUS 50000000 UFC X3 X100G</t>
  </si>
  <si>
    <t>BIOACTIV E GOTAS ORALES X30ML KNOP</t>
  </si>
  <si>
    <t>BIOACTIV I GOTAS ORALES X30ML KNOP</t>
  </si>
  <si>
    <t>BIOACTIV N GOTAS X30ML KNOP</t>
  </si>
  <si>
    <t>BIOACTIV O GOTAS ORALES X30ML KNOP</t>
  </si>
  <si>
    <t>BIOACTIV P GOTAS ORALES X30ML KNOP</t>
  </si>
  <si>
    <t>BIOACTIV R GOTAS ORALES X30ML KNOP</t>
  </si>
  <si>
    <t>BIOACTIV S GOTAS ORALES X30ML KNOP</t>
  </si>
  <si>
    <t>BIOACTIV V GOTAS ORALES KNOP</t>
  </si>
  <si>
    <t>BIOACTIV Z GOTAS ORALES X30ML KNOP</t>
  </si>
  <si>
    <t>BIOFLORA SACCHAROMYCES BOULARDII 250MG X10CAPS MAVER</t>
  </si>
  <si>
    <t>BIOFLORA SACCHAROMYCES BOULARDII 250MG X10SOBRES LAB. MAVER</t>
  </si>
  <si>
    <t>BIOGAIA 30 COMP  GTI</t>
  </si>
  <si>
    <t>BIOGAIA GOTAS PROBIOT vit D X5ML ABBOTT</t>
  </si>
  <si>
    <t>BIOGAIA GOTAS PROBIOTICAS SUPLEMENTO EN VITAMINA D X5ML ABBOTT</t>
  </si>
  <si>
    <t>BIOGEL KETOCONAZOL 1 SHAMPOO X150ML PRATER</t>
  </si>
  <si>
    <t>BIOGEL SHAMPOO KETOCONAZOL 2% 150 ML.</t>
  </si>
  <si>
    <t>BIOLACTUS 12 CAPSULASPROB. ANTIDIARREICO</t>
  </si>
  <si>
    <t>BION 3 MINI SUPLEMENTO ALIMENTARIO X30 COMP LAB. PYG</t>
  </si>
  <si>
    <t>BION 3 MULTIVITAMINICO + PROBIOTICO X60COMP LAB. PROCTER</t>
  </si>
  <si>
    <t>BION 3 MULTIVITAMINICO + PROBIOTICOS X30COMP PG</t>
  </si>
  <si>
    <t>BION 3 SENIOR SUPLEMENTO ALIMENTARIO X30COMP LAB. PNG</t>
  </si>
  <si>
    <t>BION 3 VITAMINAS Y MINERALES X30COMP</t>
  </si>
  <si>
    <t>BION BILDOBACTERIUM 0.25G X21GOTAS LAB. NOVOFARMA</t>
  </si>
  <si>
    <t>BIOPSOL 0.25MG PRAMIPEXOL DICLORHIDRATO MONOHIDRATO 30COMP. ABBOTT B</t>
  </si>
  <si>
    <t>BIOPSOL PRAMIPEXOL DICLORHIDRATO MONOHIDRATO 1MG X30COMP LAB. ABBOTT</t>
  </si>
  <si>
    <t>BIOSUL COLAGENO NATIVO 40MG. X30 CAPS. ITF</t>
  </si>
  <si>
    <t>BIOTIC 5 PROBIOTICOS X30 CAPS. LAB. PHARMATECH</t>
  </si>
  <si>
    <t>BIOTIN VITAMIN B7 120 CAP FULLENERGIC</t>
  </si>
  <si>
    <t>BIOTIN VITAMINA B 7120 CAPS</t>
  </si>
  <si>
    <t>BIOTINA 150MCG X60CAPS LAB. SPRINGLIFE</t>
  </si>
  <si>
    <t>BIOTINA 150MCG ZINC + B12 SUPLEMENTO ALIMENTICIO X60GOMITAS LAB. SPRINGLIFE</t>
  </si>
  <si>
    <t>BIOTINA 30 CAPS</t>
  </si>
  <si>
    <t>BIOTINA HAIR AND NAILS 30 CAPS</t>
  </si>
  <si>
    <t>BIOZEN TRANSTORNOS NERVIOSOS 50COMP SL</t>
  </si>
  <si>
    <t>BISGLICINATO DE MAGNESIO 550MG X60CAPS LAB. SPRINGLIFE</t>
  </si>
  <si>
    <t>BISOCOR BISOPROLOL FUMARATO 1.25MG X30COMP LAB MERK</t>
  </si>
  <si>
    <t>BISOLVON BROMHEXINA CLORHIDRATO 8MG X125ML LAB. SANOFI</t>
  </si>
  <si>
    <t>BISOLVON PEDIATRICO BROMEXHINA CLORHIDRATO 4MG X125ML LAB. SANOFI</t>
  </si>
  <si>
    <t>BISOPRIL BISOPROLOL FUMARATO 1.25MG X30COMP LAB. EUROFARMA</t>
  </si>
  <si>
    <t>BISOPRIL BISOPROLOL FUMARATO 2.5MG X30COMP LAB. EUROFARMA</t>
  </si>
  <si>
    <t>BISOPRIL BISOPROLOL FUMARATO 5MG X30COMP LAB. EUROFARMA</t>
  </si>
  <si>
    <t>BISOPROL FUMARATO 2.5MG X30COMP B</t>
  </si>
  <si>
    <t>BISOPROLOL FUMARATO 1.25 MG. 30 COMP. LAB. ASCEND</t>
  </si>
  <si>
    <t>BISOPROLOL FUMARATO 2.5 MG. 30 COMP. LAB. CURAESPING</t>
  </si>
  <si>
    <t>BISOPROLOL FUMARATO 2.5MG LAB CHILE</t>
  </si>
  <si>
    <t>BISOPROLOL FUMARATO 5 MG. 30 COMP. LAB. ASCEND</t>
  </si>
  <si>
    <t>BISOPROLOL FUMARATO 5MG 30 COMP. ETHON</t>
  </si>
  <si>
    <t>BISOPROLOL FUMARATO 5MG. X30COMP LCH</t>
  </si>
  <si>
    <t>BLACK GARLIC SUPLEMENTO ALIMENTICIO X60CAPS LAB.GREEN MEDICAL</t>
  </si>
  <si>
    <t>BLADURIL FLAVOXATO CLORHIDRATO 200MG X20COMP LAB. TECNOFARMA</t>
  </si>
  <si>
    <t>BLADURIL FLAVOXATO CLORHIDRATO 200MG X30COMP TECNOFARMA</t>
  </si>
  <si>
    <t>BLAXITEC 20 MG BILASTINA 20 MG X 30 COMP.</t>
  </si>
  <si>
    <t>BLAXITEC BILASTINA 10MG X30COMP LAB. SAVAL</t>
  </si>
  <si>
    <t>BLISTEX BERRY 4.25G PROTECCION MEDIA 15SPF SYNTHON</t>
  </si>
  <si>
    <t>BLISTEX CLASICO BALSAMO LABIAL 4.25 G BARRA</t>
  </si>
  <si>
    <t>BLISTEX CREMA LABIAL MEDICADA 6 GRS.</t>
  </si>
  <si>
    <t>BLISTEX LIP BIBRANCE</t>
  </si>
  <si>
    <t>BLISTEX MINT 425G PROTECCION MEDIA 15SPF SYNTHON</t>
  </si>
  <si>
    <t>BLIXTERS ULTRA BALSAMO LABIAL</t>
  </si>
  <si>
    <t>BLOQUEADOR SOLAR ANTIOX. 50 GRS. FPS 50. LEBLON</t>
  </si>
  <si>
    <t>BLOX 8MG 30 COMP</t>
  </si>
  <si>
    <t>BLOX-D CANDESARTAN CILEXETILO + HIDROCLOROTIAZINA 32MG + 12.5MG X30COMP LAB. SAVAL</t>
  </si>
  <si>
    <t>BLUE SEDUCTION</t>
  </si>
  <si>
    <t>BLUNDING CABESTRILLO PARA BRAZO TALLA L 1UND BLUNDING</t>
  </si>
  <si>
    <t>BLUNDING CABESTRILLO PARA BRAZO TALLA M 1UND BLUNDING</t>
  </si>
  <si>
    <t>BLUNDING CABESTRILLO PARA BRAZO TALLA S 1UND BLUNDING</t>
  </si>
  <si>
    <t>BLUNDING KIDS CABESTRILLO CALIPSO 4 - 6 1UND. BLUNDING</t>
  </si>
  <si>
    <t>BLUNDING SEPARADOR DE DEDOS EN GEL 1 UND. LAB. BLUNDING</t>
  </si>
  <si>
    <t>BLUNDING SPORT RODILLERA LATEX FREE TALLA L X1UND. BLUNDING</t>
  </si>
  <si>
    <t>BODY LIGHT FIBRAS 60CAP BODY LIGHT PLUS 60CAP AURA VITALIS</t>
  </si>
  <si>
    <t>BOLITAS DE ALGODON 0.5G X100UND</t>
  </si>
  <si>
    <t>BOLSA DE AGUA CALIENTE 1LITRO THERMICA CHILE</t>
  </si>
  <si>
    <t>BOLSA DE AGUA CALIENTE THERMICA 2LTS</t>
  </si>
  <si>
    <t>BOLSA DE GOMA PARA AGUA CALIENTE CON FUNDA SPRING WAY</t>
  </si>
  <si>
    <t>BOLSA DE GOMA PARA AGUA CALIENTE SPRING WAY</t>
  </si>
  <si>
    <t>BOLSA PARA AGUA CALIENTE DE 2LTS THERMICA</t>
  </si>
  <si>
    <t>BOLSA PARA AGUA CALIENTE DISNEY DISENOS.</t>
  </si>
  <si>
    <t>BONAVID COLECALCIFEROL 300000 UI 2ML LAB. PASTEUR</t>
  </si>
  <si>
    <t>BONAVID COLECALCIFEROL 50000UI X4CAP LAB. PASTEUR</t>
  </si>
  <si>
    <t>BORAX EN POLVO X 30 GRAMOS</t>
  </si>
  <si>
    <t>FARMACIA</t>
  </si>
  <si>
    <t>BOTIQUIN  PRIMERO AUXILIO 21 PIEZAS ROKIMEDS</t>
  </si>
  <si>
    <t>BOTIQUIN 16X13X5 CM 33 PIEZAS ISIMED</t>
  </si>
  <si>
    <t>BOTIQUIN NEXCARE MINI 15PZAS</t>
  </si>
  <si>
    <t>BRAVECTO PLUS FLURALANER 250MGMOXIDECTINA 12MG SOLUCION TOPICA 1PIPETA 0.89MLINTERVET</t>
  </si>
  <si>
    <t>BRAVETO GEO ID LOCALIZA MASCOTA PERDIDA X1UND</t>
  </si>
  <si>
    <t>BREATH RIGHT ABRE FOSAS NASALES 10TIRAS NASALES CLASICOS</t>
  </si>
  <si>
    <t>BREATHE RIGHT PARA PIEL SECA ABRE LAS FOSAS NASALES 10 TIRAS NASALES TRANSPARENTES</t>
  </si>
  <si>
    <t>BREVEX CLORZOXAZONA + PARACETAMOL 250MG + 300MG X20COMP LAB. BAGO</t>
  </si>
  <si>
    <t>BREXOTIDE  FLUTICASONA PROPIONATO + SALMETEROL  250MCG +25MCG  120DOSIS  LAB. ETEX</t>
  </si>
  <si>
    <t>BREXOTIDE FLUTICASONA PROPIONATO + SALMETEROL 125MCG +25MCG 120DOSIS LAB. ETEX</t>
  </si>
  <si>
    <t>BRILLANTINA ELITA 60ML</t>
  </si>
  <si>
    <t>BRILLO DE LABIOS MAYBELLINE LIFTER GLOSS 006</t>
  </si>
  <si>
    <t>BRINTELLIX VORTIOXETINA 10MG X28COMP LAB. LUNDBECK</t>
  </si>
  <si>
    <t>BRINTELLIX VORTIOXETINA 20MG</t>
  </si>
  <si>
    <t>BROKAST LEVODROPROPIZINA 30MG X120ML LAB. PASTEUR</t>
  </si>
  <si>
    <t>BROKS SILVER TALCO PIES 120GRS</t>
  </si>
  <si>
    <t>BROMAZEPAN 3MG X30COMP MINTLAB B</t>
  </si>
  <si>
    <t>BROMFIN BROMHEX CLORHIDRATO 8MG X100ML LAB. MINTLAB</t>
  </si>
  <si>
    <t>BROMHEXINA CLORHIDRATO INFANTIL BROMHEXINA CLORHIDRATO 4MG X100ML LAB.SEVEN PHARMA</t>
  </si>
  <si>
    <t>BROMHIDRATO DE FENETEROL + BROMURO DE IPRATROPIO 0.025G + 0.050G 25ML SOL. NEB LAB. ETHON</t>
  </si>
  <si>
    <t>BRONCARD LEVODROPROPIZINA 60MG X120ML LAB. ITF-LABOMED</t>
  </si>
  <si>
    <t>BRONCARD LEVODROPROPIZINA 60MG X20COMP LAB. ITF-LABOMED</t>
  </si>
  <si>
    <t>BRONCARD LEVODROPROPIZINA 60ML X15ML LAB. ITF-LABOMED</t>
  </si>
  <si>
    <t>BRONCATOX LEVODROPROPIZINA 30MG X120ML LAB. SAVAL</t>
  </si>
  <si>
    <t>BRONCHO-VAXOM INMUNOESTIMULANTE X30CAPS LAB. ITF-LABOMED</t>
  </si>
  <si>
    <t>BRONCOT AMBROXOL CLORHIDRATO 15MG X120ML LAB. ABBOTT</t>
  </si>
  <si>
    <t>BRONCOT AMBROXOL CLORHIDRATO 7.5MG X30ML LAB. ABBOTT</t>
  </si>
  <si>
    <t>BRONCOT FORTE AMBROXOL CLORHIDRATO 30MG X5ML LAB. ABBOTT</t>
  </si>
  <si>
    <t>BRONCOTUSILAN ADULTO CARBOCISTEINA 250MG 120ML LAB. PASTEUR</t>
  </si>
  <si>
    <t>BRONCOTUSILAN CARBOCISTEINA 100MG X120ML LAB. PASTEUR</t>
  </si>
  <si>
    <t>BRONCOVID MIEL + PALTO 5ML X125ML LAB. VITALAB</t>
  </si>
  <si>
    <t>BRONTAL ADULTO JARABE BROMEXINA 2 MG+ CLOFENADOL 12.5 MG. 100 ML. SANITAS</t>
  </si>
  <si>
    <t>BRONTAL PEDIATRICO BROMEXHINA + CLOFENADIOL 1MG + 7MG X100ML LAB.SANITAS</t>
  </si>
  <si>
    <t>BRONTEC HEDERA HELIX 35MG X100ML LAB. MILAB</t>
  </si>
  <si>
    <t>BROOKS LADY 42K SPRAY 100G</t>
  </si>
  <si>
    <t>BROOKS SILVER TECK</t>
  </si>
  <si>
    <t>BROOKS SILVER TECK X220G</t>
  </si>
  <si>
    <t>BROOKS TALCO X 80G -</t>
  </si>
  <si>
    <t>BROPAVOL BROMEXHINA CLORHIDRATO 8 MG X100ML LAB. EUROFARMA</t>
  </si>
  <si>
    <t>BROXUL SO JENGIBRE CON MIEL. 120 ML. ARAMA</t>
  </si>
  <si>
    <t>BROXUL SPRAY JENGIBRE Y MIEL 30 ML.</t>
  </si>
  <si>
    <t>BRUT CLASSIC DES 150ML</t>
  </si>
  <si>
    <t>BRUT CLASSIC ESPUMA DE AFEITAR X210ML BRUT</t>
  </si>
  <si>
    <t>BRUT COLONIA XTREME 100ML</t>
  </si>
  <si>
    <t>BUBLINA CIPROFIBRATO 100MG X30COMP LAB. MEGALABS</t>
  </si>
  <si>
    <t>BUBU ABSORBENTE DE LECHE X30 UND. LAB. NOVASALUD</t>
  </si>
  <si>
    <t>BUBU ABSORBENTE DE LECHE X60 UND. LAB. NOVASALUD</t>
  </si>
  <si>
    <t>BUBU ABSORBENTE DE LECHE X90 UND. LAB. NOVASALUD</t>
  </si>
  <si>
    <t>BUBU ACONDICIONADOR 400ML</t>
  </si>
  <si>
    <t>BUBU ASPIRADOR NASAL 0+</t>
  </si>
  <si>
    <t>BUBU CHUPETE ENTRETENCION</t>
  </si>
  <si>
    <t>BUBU COLONIA LILA 240ML</t>
  </si>
  <si>
    <t>BUBU EMULSIONADO 750ML</t>
  </si>
  <si>
    <t>BUBU EMULSIONADO DE VACELINA 400ML</t>
  </si>
  <si>
    <t>BUBU MAMADERA BOCA ANCHA 240ML</t>
  </si>
  <si>
    <t>BUBU ULTRA PREMIUM PAÑALES DESECHABLES XG 13-15KL 14 UND. LAB. SOCOFA</t>
  </si>
  <si>
    <t>BUBU ULTRA PREMIUM PAÑALES DESECHABLES XXG 15K</t>
  </si>
  <si>
    <t>BUBU ULTRA PREMIUM PANALES TALLA M X40UND SOCOFAR</t>
  </si>
  <si>
    <t>BUBU ULTRAPREMIUM PANALES TALLA G X18UND SOCOFAR</t>
  </si>
  <si>
    <t>BUCOGERM TOS NOSCAPINA + CLORHEXIDINA DICLORHIDRATO 10 MG + 5 MG 10 COMPRIMIDOS MASTICABLES LAB. MI</t>
  </si>
  <si>
    <t>BUDESONIDA 200MCG</t>
  </si>
  <si>
    <t>BUDESYNT SYNT BUDESONIDA 0.322G 200DOSIS LAB. FAES</t>
  </si>
  <si>
    <t>BUDU VARITAS DE PAPEL EXTRA SUAVES 200 UND SOCOFAR</t>
  </si>
  <si>
    <t>BUFFER INHALE CHAMBER AEROCAMARA INFANTIL 1 UND BIOMEDIKA</t>
  </si>
  <si>
    <t>BUPREDOL LP BUPROPION 150 MG x30</t>
  </si>
  <si>
    <t>BURTEN SL KETOROLACO TROMETAMOL 30MG X2COMP LAB. CHILE</t>
  </si>
  <si>
    <t>BUSCAPINA N-BUTILBROMURO DE HIOSCINA 10MG 20ML LAB. SANOFI</t>
  </si>
  <si>
    <t>BUSCAPINA SOL OR SAN 20ML</t>
  </si>
  <si>
    <t>BUSTER COLLAR 12.5CM</t>
  </si>
  <si>
    <t>BUTOCORT HFA SULFATO DE SALBUTAMOL + DIPROPIONATO DE BECLOMETASONA  120MCG + 50MCG  250DOSIS  LAB.</t>
  </si>
  <si>
    <t>BUTON ADULTOS COMP. X100COMP MINTLAB</t>
  </si>
  <si>
    <t>BUTRINO ANFEBUTAMONA CLORHIDRATO 150MG X30COMP LAB. EUROFARMA</t>
  </si>
  <si>
    <t>BUTRINO COM.REC.150MG.30 ANFEBUTAMONA CLORHIDRATO</t>
  </si>
  <si>
    <t>BUTRINO XL ANFEBUTAMONA CLORHIDRATO 300MG</t>
  </si>
  <si>
    <t>BUTTERFLY CEPILLO COLOR BUTTERFLY PEQUEÑO 1 UND. LAB. HEXO</t>
  </si>
  <si>
    <t>BUXON ANFEBUTAMONA 150 MG. 30 COMP. LAB. SAVAL</t>
  </si>
  <si>
    <t>C-REBRUM AVENA + ALFALFA + LECITINA 48ML + 48ML + 107MG X60CAPS LAB.AURA VITALIS</t>
  </si>
  <si>
    <t>C-REBRUM SO AVENA. ALFALFA. LECITINA DE SOYA 200G AURA VITALIS</t>
  </si>
  <si>
    <t>C-REBRUM SUPLEMENTO ALIMENTARIO X200G LAB. AURA VITALIS</t>
  </si>
  <si>
    <t>CABATINA FITOMENADIONA 2 SO ANTIHEMORRAGICO DRAG PHARMA</t>
  </si>
  <si>
    <t>CABERTRIX CABERGOLINA 0.50MG X2COMP LAB. TECNOFARMA</t>
  </si>
  <si>
    <t>CABESTRILLO ARM SLING KIDS BLUNDING</t>
  </si>
  <si>
    <t>CABESTRILLO XL BLUNDING</t>
  </si>
  <si>
    <t>CABRESTILLO COLORES 12/14</t>
  </si>
  <si>
    <t>CABRESTILLO SIMPLE TALLA M</t>
  </si>
  <si>
    <t>CACTUS D6 MEDICAMENTO HOMEOPATICO X90 COMP. LAB. KNOP</t>
  </si>
  <si>
    <t>CADENA CON PRENDEDOR DE LUJO</t>
  </si>
  <si>
    <t>CAFFEINE MAX ALIMENTO PARA DEPORTES X60CAPS LAB. SN</t>
  </si>
  <si>
    <t>CAFIASPIRINA 100 COMP ACIDO ACETILSALICILICO 050G CAFEINA 004</t>
  </si>
  <si>
    <t>CAFIASPIRINA 1TIRA DE x 10</t>
  </si>
  <si>
    <t>CAIGUA 300MG X60CAPS LAV.VALLE DE SOL</t>
  </si>
  <si>
    <t>CAJA MASCARILLA CRANBERRY 50 UNIDADES</t>
  </si>
  <si>
    <t>CAJA T.R.O. SALES REHIDRATANTES 10SOBRES LAB. VALMA</t>
  </si>
  <si>
    <t>CALCEFOR D CALCIO + VITAMINA D3 320MG + 125UI X30CAPS LAB. CHILE</t>
  </si>
  <si>
    <t>CALCIO + D CALCIO 500MGVITAMINA D3 800UI X30CAPS SPRINGLIFE</t>
  </si>
  <si>
    <t>CALCIO 500 MG + VITAMINA D 400 U.I. 30 CAPSULAS ELCAL D PLUS</t>
  </si>
  <si>
    <t>CALCIO FORTE - FARMACIA VALLENAR</t>
  </si>
  <si>
    <t>CALCIO FORTE CARBONATO DE CALCIO + OXIDO DE MAGNESIO + VITAMINA C 249MG + 149MG + 90MGX60CAPS FARMA</t>
  </si>
  <si>
    <t>CALCIO MAGNESO VITAMINA C+D3 SUPLEMENTO ALIMENTICIO 100CAPS LAB. AURA VITALIS</t>
  </si>
  <si>
    <t>CALCIO PLUS 60 CAP</t>
  </si>
  <si>
    <t>CALCIO+MAGNESIO+VITAMINA D 100 CAPSULAS</t>
  </si>
  <si>
    <t>CALCITRIOL 0.5MG X30CAPS LAB. VITAFARMA</t>
  </si>
  <si>
    <t>CALCIUM MAGNESIUM + VIT D CALCIO + MAGNESIO + VITAMINA D3 250MG + 100MG + 10.0MG X60COMP LAB. SPRIN</t>
  </si>
  <si>
    <t>CALENDADERM UNGÜENTO CALENDULA USO EXTERNO X 20GR</t>
  </si>
  <si>
    <t>CALENDULA MATICO X30ML GOTAS ORALES</t>
  </si>
  <si>
    <t>CALMATOL JARABE 60ML FQP</t>
  </si>
  <si>
    <t>CALMING COLLAR OBROZA 65CM BEAPHAR</t>
  </si>
  <si>
    <t>CALORUB 35G</t>
  </si>
  <si>
    <t>CALORUB FORTE X35G</t>
  </si>
  <si>
    <t>CALORUB MENTHOLATUM 95 GR. CREMA</t>
  </si>
  <si>
    <t>CALVIPET CALCIO VITAMINADO EN POLVO PARA PERROS X100G DRAG PHARMA</t>
  </si>
  <si>
    <t>CAM BETAMETASONA + DEXCLORFENIRAMINA MALEATO 0.25MG + 2.00MG X30COMP. LAB. TEVA</t>
  </si>
  <si>
    <t>CAM JARABE 120ML</t>
  </si>
  <si>
    <t>CAN-OUT SPRAY AMARGANTE ANTIMORDISQUEOS X100ML DRAG PHARMA</t>
  </si>
  <si>
    <t>CANESTEN CLOTRIMAZOL 1% 20 GRS. CREMA LAB.</t>
  </si>
  <si>
    <t>CANESTEN spr CLOTRIMAZOL 1G X40ML LAB. BAYER</t>
  </si>
  <si>
    <t>CANIGEST COMBI 16 ML PERROS GATOS</t>
  </si>
  <si>
    <t>CANISH ESPUMA  SHAMPOO EN SECO 160G</t>
  </si>
  <si>
    <t>CANISH SHAMPOO BALSAMICO 390ML</t>
  </si>
  <si>
    <t>CANISH SHAMPOO EXTRA BRILLO 390ML</t>
  </si>
  <si>
    <t>CANISH SHAMPOO EXTRACTO DE HIRBAS PARA PERROS X390ML DRAG PHARMA</t>
  </si>
  <si>
    <t>CANISH SHAMPOO HIPOALERGENICO PARA PERROS X390ML DRAG PHARMA</t>
  </si>
  <si>
    <t>CAPRIMIDA D CALCIO CARBONATO + COLECALCIFEROL 320MG + 125UI X30CAPS LAB. ABBOTT</t>
  </si>
  <si>
    <t>CAPRIMIDA D FORTE CALCIO CARBONATADO-COLECALCIFEROL 500MG 400UI 30 CAPS LAB. ABBOT</t>
  </si>
  <si>
    <t>CAPSULA CHINA CHANCAPIEDRA + UVA URSI + ALFALFA X60CAP LAB. FUENTE VITAL</t>
  </si>
  <si>
    <t>CAPTOPRIL 25 MG. 30 COMP. LAB. MINTLAB</t>
  </si>
  <si>
    <t>CARBAMAZEPINA 200 MG. 20 COMP. LAB. DE CHILE</t>
  </si>
  <si>
    <t>CARBAMAZEPINA 200MG X20COMP. ANDROMACO B</t>
  </si>
  <si>
    <t>CARBON SULFAGUANIDINA 127 MG. LAB. VALMA</t>
  </si>
  <si>
    <t>CARBON SULFAGUANIDINA X10 UND</t>
  </si>
  <si>
    <t>CARBON SULFAGUANIDINA X20 COMPR. LAB VALMA</t>
  </si>
  <si>
    <t>CARBON VEGETAL 60 CAP</t>
  </si>
  <si>
    <t>CARBON VEGETAL D6 MEDICAMENTO HOMEOPATICO 90COMP. LAB. KNOP</t>
  </si>
  <si>
    <t>CARBORON 300MG MEGALABS</t>
  </si>
  <si>
    <t>CARBORON CARBONATO DE LITIO 300MG X50COMP LAB. ROYAL PHARMA</t>
  </si>
  <si>
    <t>CARBORON CARBONATO DE LITIO X 400MG X 50 COMP X LAB RETEARD</t>
  </si>
  <si>
    <t>CARBORON RATARD CARBONATO DE LITIO X400MG X30COMP.</t>
  </si>
  <si>
    <t>CARDIOASPIRINA 100EC. ACIDO ACETILSALICILICO 100MG X10COMP. BAYER</t>
  </si>
  <si>
    <t>CARDIOASPIRINA 100EC. ACIDO ACETILSALICILICO 100MG X50COMP. BAYER</t>
  </si>
  <si>
    <t>CARDIOPLUS OLMESARTAN MEDOXOMILO + HIDROCLOROTIAZIDA 40MG + 12.5MG X40COMP LAB. ABBOTT</t>
  </si>
  <si>
    <t>CARDIPRES 405 30 COMPRIMIDOS 40MG 5MG</t>
  </si>
  <si>
    <t>CARDIPRES OLMESARTAN MEDOXOMILO + AMLODIPINO 40MG + 10MG X30COMP LAB. DE CHILE</t>
  </si>
  <si>
    <t>CARDO MARIANO 400MG X90CAPS LAB. MUNDO NATURAL SPA</t>
  </si>
  <si>
    <t>CARDO MARIANO T.M. GOTAS ORALES X30ML FARMACIA MUNDO NATURAL</t>
  </si>
  <si>
    <t>CARDOMARIANO 500MG X60CAPS CNP</t>
  </si>
  <si>
    <t>CARDOSIL SUPLEMENTO ALIMENTARIO X60CAPS LAB.ALQUIMIA VERDE</t>
  </si>
  <si>
    <t>CARDUS MARIANUS T.M. X30ML. XIMENA POLANCO</t>
  </si>
  <si>
    <t>CAREFREE PROTECCION 40PROT CAR</t>
  </si>
  <si>
    <t>CARIAMYL ANTISEPTICO X20G CREMA LAG. PRATER</t>
  </si>
  <si>
    <t>CARIAMYL CREMA 40G</t>
  </si>
  <si>
    <t>CARISTOP 5000 FLORURO DE SODIO 51 GRS. 1 UND LAB. MAVER</t>
  </si>
  <si>
    <t>CARISTOP BI- FLUORADA PASTA DENTAL X 100 G LAB. MAVER</t>
  </si>
  <si>
    <t>CARISTOP FLUORURO DE SODIO 0.2% 250ML LAB. MAVER</t>
  </si>
  <si>
    <t>CARISTOP FLUORURO DE SODIO 005 250 ML</t>
  </si>
  <si>
    <t>CARISTOP SENSITIVE CREMA DENTAL X 100 G LAB. MAVER</t>
  </si>
  <si>
    <t>CARMELOSA SODICA CARBOXIMETILCELULOSA SODICA 5MG 15ML LAB. HOSPIFARMA</t>
  </si>
  <si>
    <t>CARTIDOL SUPLEMENTO ALIMENTICIO X60CAPS LAB. ALQUIMIA VERDE</t>
  </si>
  <si>
    <t>CARTILAGO D6 MEDICAMENTO HOMEOPATICO 50 COMP LAB. KNOP</t>
  </si>
  <si>
    <t>CARVAS COM 20 MG X 30 OLMESARTAN MEDOXOMILO 20MG</t>
  </si>
  <si>
    <t>CARVAS D OLMESARTAN MEDOXOMILO + HIDROCLOROTIZIDA 40MG + 12.5MG X30COMP LAB. DE CHILE</t>
  </si>
  <si>
    <t>CARVAS OLMESARTAN MEDOXOMILO +HIDROCLOROTIZIDA 20MG + 12.5MG X30COMP LAB. DE CHILE</t>
  </si>
  <si>
    <t>CARVEDILOL 12.5 MG. 30 COMP. LAB. CHILE</t>
  </si>
  <si>
    <t>CARVEDILOL 12.5 ML. 30 COMP. LAB. ETHON</t>
  </si>
  <si>
    <t>CARVEDILOL 12.5MG X30COMP DFM B</t>
  </si>
  <si>
    <t>CARVEDILOL 25 MG. 30 COMP. LAB. LCH</t>
  </si>
  <si>
    <t>CARVEDILOL 25MG X30COMP LAB OPKO</t>
  </si>
  <si>
    <t>CARVEDILOL 6.25 MG. 30 COMP. LAB. PHARMA</t>
  </si>
  <si>
    <t>CARVEDILOL 6.25MG X30COMP. DFM PHARMA B</t>
  </si>
  <si>
    <t>CARVEDILOL 6.25MG. X30COMP. LCH B</t>
  </si>
  <si>
    <t>CASEN ENEMA ADULTOS X133ML SYNTHON</t>
  </si>
  <si>
    <t>CASEN ENEMA INFANTIL SOLUCION SALINA LAXANTE X66ML SYNTHON</t>
  </si>
  <si>
    <t>CASENGLICOL POLVO PARA SOLUCION ORAL 16 SOBRES SYNTHON</t>
  </si>
  <si>
    <t>CASMED KETOCONAZOL SHAMPOO 2</t>
  </si>
  <si>
    <t>CASSARA NEUMOCORT BUDESONIDA 200 MCG. 200 DOSIS LAB. CASSARA</t>
  </si>
  <si>
    <t>CASTAÑA CREMA DE MANOS HIDRATANTE X50ML MAVER</t>
  </si>
  <si>
    <t>CASTANO DE INDIAS + HAMAMELIS 200MG + 200MG X60CAPS LAB. MUNDO NATURAL SPA</t>
  </si>
  <si>
    <t>CASTANO DE INDIAS 350MG X60CAPS LAB.MUNDO NATURAL</t>
  </si>
  <si>
    <t>CASTING CREME GLOSS LOREAL 316 CIRUELA</t>
  </si>
  <si>
    <t>CASTING TINTURA CREME GLOSS 670 CHOCOLATE LOREAL</t>
  </si>
  <si>
    <t>CATETER 18G X 1 1/4</t>
  </si>
  <si>
    <t>CATETER 18GA X 1.16IN</t>
  </si>
  <si>
    <t>CATETER INTRAVENOSO 14GX2 2.20X50MM 329MLMIN - NIPRO MEDICAL CJ L</t>
  </si>
  <si>
    <t>CATETER INTRAVENOSO 24GX 34</t>
  </si>
  <si>
    <t>CATETER INTRAVENOSO CON TEFLON</t>
  </si>
  <si>
    <t>CATETER INTRAVENOSO CON TEFLON 16GX 1 1.4 X1UND CRANBERRY CJ L</t>
  </si>
  <si>
    <t>CATETER IV 18GA X 1.16IN 1.3X30MM 105MLMIN INSYTE</t>
  </si>
  <si>
    <t>CATETER IV 20G 1 14</t>
  </si>
  <si>
    <t>CATRAXAL CIPROFLOXACINO 3MG X10ML LAB. FAES FARMA</t>
  </si>
  <si>
    <t>CAVILON PROTECTOR CUTANEO 28ML</t>
  </si>
  <si>
    <t>CEBION VITAMINA C X30ML LAB. NOVOFARMA</t>
  </si>
  <si>
    <t>CEFADROXILO 500 MG. 8 CAP. LAB. MINTLAB B</t>
  </si>
  <si>
    <t>CEFADROXILO 500MG X8CAPS LAB. ANDROMACO</t>
  </si>
  <si>
    <t>CEFADROXILO CEFADROXILO ANHIDRO 250 MG X60ML LAB. ANDROMACO</t>
  </si>
  <si>
    <t>CEFALEXINA 15% SO ANTIBIOTICO X100ML EHLINGER</t>
  </si>
  <si>
    <t>CEFALEXINA MONOHIDRATO 500MG X10 COMP. LAB HOLLIDAY</t>
  </si>
  <si>
    <t>CEFALMIN ANTIJAQUECOSO X10 COMP LAB SANITAS</t>
  </si>
  <si>
    <t>CEFIN SHAMPOO AL 2 KETOCONAZOLN 240ML</t>
  </si>
  <si>
    <t>CEFIRAX CEFPODOXIMA 200MG X10COMP LAB. SAVAL</t>
  </si>
  <si>
    <t>CEFIRAX SO POLVO CEFPODOXIMA 100MG5ML X75ML SAVAL</t>
  </si>
  <si>
    <t>CEFRADINA 500MG X8CAPS LAB. MINTLAB</t>
  </si>
  <si>
    <t>CELEBRA CELECOXIB 200MG X10CAPS LAB. PFIZER</t>
  </si>
  <si>
    <t>CELECOXIB 200 MG. 30 CAPS. LAB. CURAESPRING</t>
  </si>
  <si>
    <t>CELECOXIB 200 MG. 30 CAPS. LAB. SYNTHON B</t>
  </si>
  <si>
    <t>CENTRUM ADULTO MULTIVITAMINICO MULTIMINERAL X30COMP.</t>
  </si>
  <si>
    <t>CENTRUM HOMBRE CMREC 30COMPR</t>
  </si>
  <si>
    <t>CENTRUM HOMBRE MULTIVITAMINICO MULTIMINERAL X30COMP. HEALTHCARE</t>
  </si>
  <si>
    <t>CENTRUM MINI MULTIVITAMINICO Y MULTIMINERAL 30 COMP. LAB. GSK</t>
  </si>
  <si>
    <t>CENTRUM MUJER MULTIVITAMINICO MULTIMINERAL X30COMP. HEALTHCARE</t>
  </si>
  <si>
    <t>CENTRUM SILVER HOM 60COMP</t>
  </si>
  <si>
    <t>CENTRUM SILVER MUJER 30COMPRIMIDOS</t>
  </si>
  <si>
    <t>CENTRUM SILVER MULTIVITAMINICO MULTIMINERAL X30COMP. HEALTHCARE</t>
  </si>
  <si>
    <t>CEPILLO CAREY COJIN CON MANGO GRUESO</t>
  </si>
  <si>
    <t>CEPILLO CAREY METALICO CON MANGO</t>
  </si>
  <si>
    <t>CEPILLO COLOR BUTTERFLY</t>
  </si>
  <si>
    <t>CEPILLO COLOR BUTTERFLY PROFESIONAL</t>
  </si>
  <si>
    <t>CEPILLO COLOR BUTTERFLY PROFESSIONAL</t>
  </si>
  <si>
    <t>CEPILLO CURAPROX 1009 SINGLE</t>
  </si>
  <si>
    <t>CEPILLO CURAPROX 5460</t>
  </si>
  <si>
    <t>CEPILLO DENTAL CARS +2 AÑOS COOL &amp; GOOD X3 PACK</t>
  </si>
  <si>
    <t>CEPILLO DENTAL COOLGOOD DISNEY MONSTERS X1UND KHATAR</t>
  </si>
  <si>
    <t>CEPILLO DENTAL ELECTRICO CARS SUAVE</t>
  </si>
  <si>
    <t>CEPILLO DENTAL HELLO KITTY X1 CON TAPA</t>
  </si>
  <si>
    <t>CEPILLO DENTAL HELLO KITTY X2 UND SUAVE</t>
  </si>
  <si>
    <t>CEPILLO DENTAL HELLO KITTY X3UND COOL &amp;GOOD</t>
  </si>
  <si>
    <t>CEPILLO DENTAL JUNIOR +3</t>
  </si>
  <si>
    <t>CEPILLO DENTAL MOSTERS X2UND SUAVES +4</t>
  </si>
  <si>
    <t>CEPILLO DENTAL MOSTERS X3 UND 2+ SUAVE</t>
  </si>
  <si>
    <t>CEPILLO DENTAL NIÑAS ENCANTO SUAVE 2+ PACK X3UND</t>
  </si>
  <si>
    <t>CEPILLO DENTAL PHB JUNIOR</t>
  </si>
  <si>
    <t>CEPILLO DISNEY ENCANTO COOLGOOD X1UND</t>
  </si>
  <si>
    <t>CEPILLO DOG DENTAL BEAPHAR</t>
  </si>
  <si>
    <t>CEPILLO DURO X2</t>
  </si>
  <si>
    <t>CEPILLO HEXO BRUS -L-</t>
  </si>
  <si>
    <t>CEPILLO HEXO HAIR BRUS -S-</t>
  </si>
  <si>
    <t>CEPILLO MEDIO FRESH X2UND COLGATE</t>
  </si>
  <si>
    <t>CEPILLO NINO PHB PETIT</t>
  </si>
  <si>
    <t>CEPILLO ORAL-B PROCLEAN</t>
  </si>
  <si>
    <t>CEPILLO PARA CABELLO (M) 1UND. HEXO</t>
  </si>
  <si>
    <t>CEPILLO PARA EL CABELLO CUADRADO</t>
  </si>
  <si>
    <t>CEPILLO PARA EL CABELLO KIRAKIRA</t>
  </si>
  <si>
    <t>CEPILLO PARA EL CABELLO PROFESIONAL BUTTERFLY</t>
  </si>
  <si>
    <t>CEPILLO PHB SUPER 8 MEDIO + PASTA DENTIFRICA</t>
  </si>
  <si>
    <t>CEPILLO PHP ORTODONCIA</t>
  </si>
  <si>
    <t>CEPILLO SUAVE PHB SUPER 7 + PASTA CENTIFRICA</t>
  </si>
  <si>
    <t>CEPILLO VITIS DURO</t>
  </si>
  <si>
    <t>CEPOILLOS DE DIENTES FAMSET DURO X2</t>
  </si>
  <si>
    <t>CERA DEPILADORA VGETAL SPRING NAT</t>
  </si>
  <si>
    <t>CERA DEPILATORIA EN PERLAS X100GRS SPRING NATURAl</t>
  </si>
  <si>
    <t>CERA PROTECTORA PARA ORTODONCIA VITIS X2</t>
  </si>
  <si>
    <t>CERA V LOCION HIDRAT 236ML</t>
  </si>
  <si>
    <t>CERAMIDE GEL LIMPIADOR</t>
  </si>
  <si>
    <t>CERAVE 340G. CREMA HIDRATANTE</t>
  </si>
  <si>
    <t>CERAVE CREMA HIDRATANTE POTE 454G</t>
  </si>
  <si>
    <t>CERAVE CREMA REPARADORA DE MANOS 50 ML.</t>
  </si>
  <si>
    <t>CERAVE GEL CREMA</t>
  </si>
  <si>
    <t>CERAVE GEL LIMPIADOR ESPUMOSO 236ML</t>
  </si>
  <si>
    <t>CERAVE GEL.LIM..CONT.236ML</t>
  </si>
  <si>
    <t>CERAVE LOCION HIDRATANTE PIEL SECA A MUY SECA 473 ML</t>
  </si>
  <si>
    <t>CERCIORA T LEVONORGESTREL 1.5MG X1COMP. EXELTIS B</t>
  </si>
  <si>
    <t>CEREPRON ADULTO X60CAPS</t>
  </si>
  <si>
    <t>CEREPRON CON OMEGA 10/40 VALLE Y SOL</t>
  </si>
  <si>
    <t>CEREPRON SENIOR 60CAPS DEU-PR 60GR</t>
  </si>
  <si>
    <t>CERMA PARA PEINAR PANTENE RIZOS X300ML</t>
  </si>
  <si>
    <t>CEROTTO MEDS IPOALLERGENICO TELA 500X5 CM FARMACEROTTO CJ VI</t>
  </si>
  <si>
    <t>CEROTTO MEDS IPOALLERGENICO TELA 5X2.5CM CJ XII</t>
  </si>
  <si>
    <t>CETIREX 10 CETIRIZINA DICLORHIDRATO 10MG X30 COMP LAB. ASCEND</t>
  </si>
  <si>
    <t>CETIRIZINA CLORHIDRATO 10 MG. 30 COMP. LAB. CURASPRING</t>
  </si>
  <si>
    <t>CETIRIZINA DICLORHIDRATO 5MG X5ML X60ML LAB HOSPIFARMA</t>
  </si>
  <si>
    <t>CETIRIZINA DICLORHIDRATO 5MG X60ML LAB. CAPLIN POINT</t>
  </si>
  <si>
    <t>CETRAXAL CIPROFOXACINO + FLUOCINOLONA 3MG + 0.25MG X10ML LAB. FAES FARMA</t>
  </si>
  <si>
    <t>CETRIL BACLOFENO 10MG X50COMP LAB. ROYAL PHARMA</t>
  </si>
  <si>
    <t>CHAMOMILLA COMPUESTA X30ML GOTAS ORALES KNOP</t>
  </si>
  <si>
    <t>CHAMOMILLA T.M</t>
  </si>
  <si>
    <t>CHAMOMILLA T.M. GOTAS ORALES X30ML FCH</t>
  </si>
  <si>
    <t>CHAMOMILLA T.M. GOTAS ORALES X30ML KNOP</t>
  </si>
  <si>
    <t>CHANCAPIEDRA PHYLLANTUS 250MG X60CAPS LAB.GREEN MEDICAL</t>
  </si>
  <si>
    <t>CHELIDONIUM D6 MEDICAMENTO HOMEOPATICO 90 COMP. LAB. KNOP</t>
  </si>
  <si>
    <t>CHELTIN AMP. IV 100MG5ML X5</t>
  </si>
  <si>
    <t>CHELTIN FC HIERRO + ACIDO FOLICO 30MG + 600MCG X30COMP LAB. MEGALAB</t>
  </si>
  <si>
    <t>CHELTIN HIERRO 30 MG X30ML LAB. MEGALABS</t>
  </si>
  <si>
    <t>CHERRY SHINE PROTECTOR LABIAL CEREZA 4.8 GR. 1 UND. BEIERSDORF</t>
  </si>
  <si>
    <t>CHITOSAN 60CAPS VALLE Y SOL</t>
  </si>
  <si>
    <t>CHITOSAN X60CAPS FUENTE VITAL</t>
  </si>
  <si>
    <t>CHUCHUHUASI 340MG X60CAPS LAB.MUNDO NATURAL SPA</t>
  </si>
  <si>
    <t>CHUPETE BESTHOUSE</t>
  </si>
  <si>
    <t>CHUPETE BESTHOUSE S. 0 M+</t>
  </si>
  <si>
    <t>CHUPETE DE ENTRETENCION CON TAPA M 6M</t>
  </si>
  <si>
    <t>CHUPETE DE SILICONA MAM 6+ SILICONA X2UND</t>
  </si>
  <si>
    <t>CHUPETE ENTRETENCION SILICONA BEST HOUSE X1UND</t>
  </si>
  <si>
    <t>CHUPETE MAM STAR 0-2 X2UND</t>
  </si>
  <si>
    <t>CHUPETE MAMADERA 6+ MESES  B/ST BUBU</t>
  </si>
  <si>
    <t>CHUPETE MAMADERA 6M X2UND BUBU</t>
  </si>
  <si>
    <t>CHUPETE MAMADERA BOCA ANCHA FLUJO VARIABLE X 2 UND</t>
  </si>
  <si>
    <t>CHUPETE MAMADERA CHUPETE STANDAR 3MESES 2UNIDADES</t>
  </si>
  <si>
    <t>CHUPETE PACK X2 TWISTSHAKE</t>
  </si>
  <si>
    <t>CHUPETE PARA MAMADERA BOCA ANCHA M. 2 UNDS. BEST HOUSE</t>
  </si>
  <si>
    <t>CHUPETE PIGEON MINI LIGHT X2</t>
  </si>
  <si>
    <t>CHUPETE PIGEON SOF TOUCH LL 9+</t>
  </si>
  <si>
    <t>CHUPETES DE SILICONA CON ESTUCHE 0-3M X2UND BEST HOUSE</t>
  </si>
  <si>
    <t>CHUPETES DE SILICONA PACK B.H.</t>
  </si>
  <si>
    <t>CIALIS TADALAFILO 20MG X2COMP LAB. LILLY</t>
  </si>
  <si>
    <t>CIBLEX 15MG 30 COMP BIOEQUIVALENTE</t>
  </si>
  <si>
    <t>CIBLEX MIRTAZAPINA 30MG X30COMP LAB. ABBOTT</t>
  </si>
  <si>
    <t>CICAPLAST BALSAMO LABIAL BARRERA REPARADORA X7.5ML LA ROCHE POSAY</t>
  </si>
  <si>
    <t>CICAPLAST BALSAMO REPARADOR X40ML LAB LA ROCHE-POSAY</t>
  </si>
  <si>
    <t>CICATRICURE ANTIARRUGAS CREMA GEL 15G</t>
  </si>
  <si>
    <t>CICATRICURE BEAUTI CARE X50G</t>
  </si>
  <si>
    <t>CICATRICURE GEL CICATRICES X60G</t>
  </si>
  <si>
    <t>CICATRICURE GEL CICATRIZANTE 30G</t>
  </si>
  <si>
    <t>CICATRICURE ROSITA CREMA FACIAL ANTIARRUGAS 30G</t>
  </si>
  <si>
    <t>CICATRICURE ROSITA CREMA FACIAL ANTIARRUGAS X60G</t>
  </si>
  <si>
    <t>CICLA PLAS BAUM 5</t>
  </si>
  <si>
    <t>CICLIMEX 75MCG/30MCG ABBOTT</t>
  </si>
  <si>
    <t>CICLMEX-20 75MG/20MCG ABBOTT</t>
  </si>
  <si>
    <t>CICLOBENZAPRINA 10 MG . 20 COMP. LAB.MINTLAB</t>
  </si>
  <si>
    <t>CICLOBENZAPRINA CLORHIDRATO 10 MG. 20 COMP. LAB. CHILE</t>
  </si>
  <si>
    <t>CICLONIC CICLOPIROX 8G 6.6ML LAB. GALENICUMDERMA</t>
  </si>
  <si>
    <t>CIDOTEN RAPI-LENTO BETAMETASONA+ BETAMETASONA ACETATO 3MG+ 3MG X5ML LAB. ORGANON</t>
  </si>
  <si>
    <t>CILIAS TADALAFILO 20MG</t>
  </si>
  <si>
    <t>CILOKARE 12.5MG CARVEDILOL X30COMP DR REDDYS B</t>
  </si>
  <si>
    <t>CILOSVITAE CILOSTAZOL 100MG X28COMP LAB. GALENICUM</t>
  </si>
  <si>
    <t>CILOSVITAE CILOSTAZOL 50MG. X28COMP. LAB. GALENICUM</t>
  </si>
  <si>
    <t>CINERARIA MARITIMA COMPUESTA X30ML KNOP</t>
  </si>
  <si>
    <t>CINTA ADHESIVA 5CMX9.14M</t>
  </si>
  <si>
    <t>CINTA ADHESIVA NEUROMUSCULAR AZUL 5CM X 5MTS HUB SPORT</t>
  </si>
  <si>
    <t>CINTA ADHESIVA PLASTICA 2.50 CM X 9 MTS</t>
  </si>
  <si>
    <t>CINTA ADHESIVA ZINC 2.5X5M</t>
  </si>
  <si>
    <t>CINTA ADHESIVA ZINC LATA 5X5</t>
  </si>
  <si>
    <t>CINTA KINESIOLOGICA TAPE. COLOR NEGRO. 5CM X 5 MTS. RECOVERY</t>
  </si>
  <si>
    <t>CINTA MICROPOROSA BOBINA 5MT X 1.25CM</t>
  </si>
  <si>
    <t>CINTA MICROPOROSA BOBINA 5MT X 2.50CM</t>
  </si>
  <si>
    <t>CINTA MICROPOROSA BOBINA 5MT X 5CM</t>
  </si>
  <si>
    <t>CINTA MICROPOROSA CORTADOR 1.25 X 9.14 18MTS</t>
  </si>
  <si>
    <t>CINTA MICROPOROSA CORTADOR 2.5CMX9.14M ROKYMEDS CJ XII</t>
  </si>
  <si>
    <t>CINTA MICROPOROSA CORTADOR 2.5X9.14</t>
  </si>
  <si>
    <t>CINTA MICROPOROSA CORTADOR 5 X 9.14M PIEL</t>
  </si>
  <si>
    <t>CINTA PAPEL CRANBERRY 5CM 9MTS</t>
  </si>
  <si>
    <t>CINTA PAPEL MICROPORE 24MM-9.1MT</t>
  </si>
  <si>
    <t>CINTA PAPEL MICROPOROSA NEXCARE 24MM 9.1MTS</t>
  </si>
  <si>
    <t>CINTA PLASTICA 2.5X9.14 MTS</t>
  </si>
  <si>
    <t>CINTA PLASTICA BOBINA 1.25CMX9.14 MTS</t>
  </si>
  <si>
    <t>CINTA PLASTICA BOBINA 9.14MT X 5</t>
  </si>
  <si>
    <t>CINTA TRANSPARENTE Y FLEXIBLE NEXCARE</t>
  </si>
  <si>
    <t>CIPRODEX CIPLOXACINO + DEXAMETASONA 3MG + 1MG X7.5ML LAB. SAVAL</t>
  </si>
  <si>
    <t>CIPRODEX CIPROFLOXACINO + DEXAMETASONA 3MG + 1MG X5ML LAB. SAVAL</t>
  </si>
  <si>
    <t>CIPRODEX CIPROFLOZACINO 0.3DEXAMETASONA</t>
  </si>
  <si>
    <t>CIPROFIBRATO 100MG X30CAPS LAB. ALPESCHEMIE</t>
  </si>
  <si>
    <t>CIPROFLOXACINO 500 MG. 6 COMP. LAB. PINNACLE</t>
  </si>
  <si>
    <t>CIPROFLOXACINO 500MG 6 COMP.</t>
  </si>
  <si>
    <t>CIPROFLOXACINO 500MG X6COMP LCH</t>
  </si>
  <si>
    <t>CIPROVAL CIPROFLOXACINO 3MG X3.5G UNGUENTO OFTALMICO LAB. NICOLICK</t>
  </si>
  <si>
    <t>CIPROVAL CIPROFLOXACINO 3MG X5ML SOLUCION OFTALMICA LAB. NICOLICK</t>
  </si>
  <si>
    <t>CIPROVAL CIPROFLOXACIONO 3MG X5ML SOLUCION OTICA LAB. SAVAL</t>
  </si>
  <si>
    <t>CIPROVET LABYES SOLUCION OFTALMICA CICATRIZANTE ANTIBACTERIAL X5ML AGROVET</t>
  </si>
  <si>
    <t>CIRCALIFE MELATONINA 30CAPS</t>
  </si>
  <si>
    <t>CIRCULVEN VITIS VINIFERA + CASTAÑO DE INDIAS + HAMAMELIS 100MG + 100MG + 100MG X60CAPS LAB. ALQUIMI</t>
  </si>
  <si>
    <t>CIRUELAX CASSIA ANGUSTIFOLIA + CASSIA ACUTIFOLIA D 4.4G + 2.2G 150G LAB. GARDEN HOUSE</t>
  </si>
  <si>
    <t>CIRUELAX CASSIA ANGUSTIFOLIA + CASSIA ACUTIFOLIA D 4.4G + 2.2G 600G LAB. GARDEN HOUSE</t>
  </si>
  <si>
    <t>CIRUELAX EN TA.30 BOLSAS. 1500MG.</t>
  </si>
  <si>
    <t>CIRUELAX FORTE CASSIA ANGUSTIFOLIA VAHL 125MG X60COMP LAB. GARDEN HOUSE</t>
  </si>
  <si>
    <t>CIRUELAX FORTE CASSIA ANGUSTIFOLIA VAHL 2G 150G LAB. GARDEN HOUSE</t>
  </si>
  <si>
    <t>CIRUELAX FORTE JALEA LAXANTE 300G</t>
  </si>
  <si>
    <t>CIRUELAX FORTE X24COMP. GARDEN HOUSE</t>
  </si>
  <si>
    <t>CIRUELAX JAL. 300GR</t>
  </si>
  <si>
    <t>CIRUELAX MINITABS 75 MG X 60 COMP.</t>
  </si>
  <si>
    <t>CITALOPRAM 20 MG. 30 COMP. LAB. HETERO</t>
  </si>
  <si>
    <t>CITALOPRAM 20 MG. 30 COMP. LAB. MINTLAB B</t>
  </si>
  <si>
    <t>CITONEURON CITIDIN 5 + URIDIN 5 + HIDROXOCOBALAMINA 2.5MG + 1.5MG + 1MG X30CAPS LAB.FERRER</t>
  </si>
  <si>
    <t>CITRATO DE MAGNESIO 200MG X60CAPS LAB. SPRINGLIFE</t>
  </si>
  <si>
    <t>CITRATO DE MAGNESIO 400MG 30 CAPS</t>
  </si>
  <si>
    <t>CITRATO DE MAGNESIO 400MG X3O CAPS. CNP</t>
  </si>
  <si>
    <t>CITRATO DE MAGNESIO LAB. FARMACIA VALLENAR</t>
  </si>
  <si>
    <t>CITRATO DE MAGNESIO SUPLEM alim valle de sol X90CAPS LAB. FULLENERGIC</t>
  </si>
  <si>
    <t>CITRATO DE POTASIO 500MG X120CAPS LAB.GREEN MEDICAL</t>
  </si>
  <si>
    <t>CITRATO DE POTASIO 600MG</t>
  </si>
  <si>
    <t>CITRATO DE POTASIO SUPLEMENTO ALIMENTICIO X90CAPS LAB. FULLENERGIC</t>
  </si>
  <si>
    <t>CITRATO MAGNESIO 90CAPS CNP</t>
  </si>
  <si>
    <t>CLABASEPTIN AMOXICCILINA + ACIDO CLAVULANICO 400MG + 100MG X10COMP LAB. VETOQUINOL</t>
  </si>
  <si>
    <t>CLARAGINE 16 COMP ANTISEPTICO BUCOFARINGEO</t>
  </si>
  <si>
    <t>CLARIMIR F. NAFAZOLINAFENIRAMIA.15 ML</t>
  </si>
  <si>
    <t>CLARIMIR NAFAZOLINA CLORHIDRATO 0.12MG X15ML LAB. ANDROMACO</t>
  </si>
  <si>
    <t>CLARITROMICINA 500 MG. 14 COMP. LAB. KOPRAN</t>
  </si>
  <si>
    <t>CLARITROMICINA 500MG X14COMP LAB. CHEMO</t>
  </si>
  <si>
    <t>CLARITROMICINA VIA ORAL 14 COMP. 500 MG. LAB. ANDROMACO</t>
  </si>
  <si>
    <t>CLATIC CLARITROMICINA 250 MG X80ML LAB. PASTEUR</t>
  </si>
  <si>
    <t>CLAVAM DUO AMOXICILINA + ACIDO CLAVULANICO 400MG + 57MG X70ML LAB. EUROFARMA</t>
  </si>
  <si>
    <t>CLAVAM DUO AMOXICILINA + ACIDO CLAVULANICO 875MG125MG 14 COMP.</t>
  </si>
  <si>
    <t>CLAVASEPTIN 250MG AMOXICILIA + ACIDO CLAVULANICO 200MG + 50MG X10COMP LAB. VETOQUINOL</t>
  </si>
  <si>
    <t>CLAVASEPTIN AMOXCIXILINA + ACIDO CLAVULANICO 50 MG. + 10 MG 10 COMP. LAB. VETOQUINOL</t>
  </si>
  <si>
    <t>CLAVINEX DUO AMOXICILINA -ACIDO CLAVULANICO 400MG 57MGX 5ML X70ML SAVAL</t>
  </si>
  <si>
    <t>CLAVINEX DUO FORTE AMOXICILINA 800MGACIDO CLAVULANICO 57MG X70ML SAVAL</t>
  </si>
  <si>
    <t>CLINDABONE CLINDAMICINA ANTIBIOTICO ORAL 165MG X20COMPR DRAG PHARMA</t>
  </si>
  <si>
    <t>CLINDAMICINA CLORHIDRATO DE CLIMDAMICINA 300MG X16CAPS LAB. VITAFARMA</t>
  </si>
  <si>
    <t>CLINICAL ADVANCE PIEL SENSIBLE 350ML</t>
  </si>
  <si>
    <t>CLOB X 0.05% SH X 125 ML LAB GALDERMA</t>
  </si>
  <si>
    <t>CLOBETASOL 0.05. UNGUENTO. 25 GRS. HOSPIFARMA</t>
  </si>
  <si>
    <t>CLOBETASOL CREMA 0.05 25G. OPKO</t>
  </si>
  <si>
    <t>CLOBETASOL PROPIONATO 0.05. SOL TOPICA</t>
  </si>
  <si>
    <t>CLOBETASOL PROPIONATO CREMA 25 GR HOSPIFARMA</t>
  </si>
  <si>
    <t>CLOBETAZOL PROPIONATO 0.05</t>
  </si>
  <si>
    <t>CLOE PROTECTORES DIARIOS ULTRAFINO</t>
  </si>
  <si>
    <t>CLOE TOALLA FEM UKTRA FINA X8</t>
  </si>
  <si>
    <t>CLOE TOALLAS FEMENINA X7 UND</t>
  </si>
  <si>
    <t>CLOFEXAN BETAMETASONA + DEXCLORFENAMINA MALEATO 0.25MG + 2MG X120ML LAB. BAGO</t>
  </si>
  <si>
    <t>CLOFEXAN BETAMETASONA + DEXCLORFENAMINA MALEATO 0.25MG + 2MG X30COMPR</t>
  </si>
  <si>
    <t>CLONAZEPAN 0.5MG X30COMP LCH B</t>
  </si>
  <si>
    <t>CLONAZEPAN 2.0MG X30COMP LCH B</t>
  </si>
  <si>
    <t>CLONEX CD CLONAZEPAM 0.5MG X30COMP LS B</t>
  </si>
  <si>
    <t>CLONEX CD CLONAZEPAM 2MG X30COMP LS B</t>
  </si>
  <si>
    <t>CLONIXINATO CLONIXINATO DE LISINA 125MG X10COMP LAB. MILAB</t>
  </si>
  <si>
    <t>CLONIXINATO DE LISINA 125 MG. 10 COMP.</t>
  </si>
  <si>
    <t>CLOPIDROGREL 75 MG. 30 COMP. LAB CHILE B</t>
  </si>
  <si>
    <t>CLORANFENICOL 1 UNGUENTO OFTALMICO X5G. MEDIOVAFARMA</t>
  </si>
  <si>
    <t>CLORANFENICOL 3+VIOLETA GENCIANA 0.15. SOLUCION SPRAY X62.2G</t>
  </si>
  <si>
    <t>CLORANFENICOL 5MG X10ML LAB.PHARMATECH</t>
  </si>
  <si>
    <t>CLORANFENICOL CLORANFENICOL LEVOGIRO 0.01G X3.5G LAB. NICOLICK</t>
  </si>
  <si>
    <t>CLORANFENICOL GOTAS OFTALMICA 10ML OPKO B</t>
  </si>
  <si>
    <t>CLORFENAMINA 4 MG. 20 COMP. LAB.CHILE</t>
  </si>
  <si>
    <t>CLORFENAMINA JARABE 2.5MG5ML NIPOLEN</t>
  </si>
  <si>
    <t>CLORFENAMINA MALEATO 4MG X20COMP LAB. MINTLAB</t>
  </si>
  <si>
    <t>CLORFERATON CLORFENAMINA MALEATO 2MG X120ML LAB. HOSPIFARMA</t>
  </si>
  <si>
    <t>CLORHEXIDINA 012 150ML CURAESPRING SABOR MENTA</t>
  </si>
  <si>
    <t>CLOROFILA 20MG X60CAPS LAB. VALLE DE SOL</t>
  </si>
  <si>
    <t>CLOROFILA 30 CAPSULAS. ANC</t>
  </si>
  <si>
    <t>CLOROQUINA DISFOSFATO 250 MG. X20COMP. LAB CHILE</t>
  </si>
  <si>
    <t>CLORURO DE MAGNESIO</t>
  </si>
  <si>
    <t>CLORURO DE MAGNESIO 200MG X60COMP LAB. SPRINGLIFE</t>
  </si>
  <si>
    <t>CLORURO DE MAGNESIO REFORZADO CLORURO DE MAGNESIO + CARBONO DE MAGNESIO 200MG +300MG X90CAP LAB. VA</t>
  </si>
  <si>
    <t>CLORURO DE SODIO / SUERO FIOLOGICO 20 ML.</t>
  </si>
  <si>
    <t>CLORURO DE SODIO 0.9 X1000 APIROFLEX</t>
  </si>
  <si>
    <t>CLORURO DE SODIO 0.9% SOL.INY.</t>
  </si>
  <si>
    <t>CLORURO DE SODIO 0.9% X500ML</t>
  </si>
  <si>
    <t>CLORURO DE SODIO X500ML CS PISA SOLUCION INYECTABLE</t>
  </si>
  <si>
    <t>CLORURO DE SOFDIO 250ML</t>
  </si>
  <si>
    <t>CLORURO MAGNESIO SUPLEMENTO ALIMENTARIO X90CAPS LAB. ANC</t>
  </si>
  <si>
    <t>CLOTAKEM CLORTALIDONA 50MG X30COMP LAB. ASCEND</t>
  </si>
  <si>
    <t>CLOTRIMAZOL 100MG X6OVULOS LAB. CHILE</t>
  </si>
  <si>
    <t>CLOTRIMAZOL 100MG X6OVULOS LAB. SEVEN PHARMA</t>
  </si>
  <si>
    <t>CLOTRIMAZOL 500MG 1UND LAB HOSPIFARMA</t>
  </si>
  <si>
    <t>CLOTRIMAZOL BETAMETASONA 1 / 0.05 X15GRS CREMA TOPICA LAB. CURAESPRING</t>
  </si>
  <si>
    <t>CLOTRIMAZOL BETAMETASONA 15 G. HOSPIFARMA</t>
  </si>
  <si>
    <t>CLOTRIMAZOL BETAMETASONA DIPROPIONATO CREMA TOPICA X15G LAB OPKO</t>
  </si>
  <si>
    <t>CLOTRIMAZOL CREMA TOPICA 1% 20 GRS. LAB. CURAESPRING</t>
  </si>
  <si>
    <t>CLOTRIMAZOL CREMA TOPICA 1% X20G LAB SCL</t>
  </si>
  <si>
    <t>CLOTRIMAZOL OVULOS 500MG X1 UND LAB PASTEUR</t>
  </si>
  <si>
    <t>CLOXACILINA SAL SODICA 500MG X12CAPS LAB. OPKO</t>
  </si>
  <si>
    <t>CNP SELENIO 200MCG</t>
  </si>
  <si>
    <t>COBEFEN BETAMETASONA + DEXCLORFENIRAMINA MALEATO 0.25MG +2.00MG X30COMP LAB. SANITAS</t>
  </si>
  <si>
    <t>COBEFEN JARABE 120ML SANITAS</t>
  </si>
  <si>
    <t>CODETOL PM ADULTO JARABE X120ML LCH TEVA</t>
  </si>
  <si>
    <t>COL VITALIS AURA VITALIS 30ML</t>
  </si>
  <si>
    <t>COL VITALIS MANZANILLA LLANTEL SALVIA 90 CAPS</t>
  </si>
  <si>
    <t>COLAGENO + Q10 1000MG + 15MG X60CAPS LAB. SPRINGLIFE</t>
  </si>
  <si>
    <t>COLAGENO 1000MG X60CAPS LAB. SPRINGLIFE</t>
  </si>
  <si>
    <t>COLAGENO FLEX</t>
  </si>
  <si>
    <t>colageno hidrolizado 30 sobres</t>
  </si>
  <si>
    <t>COLAGENO HIDROLIZADO 9 GR + CALCIO 500 MG + VITAMINA D3 800 U.I. 30 SOBRES</t>
  </si>
  <si>
    <t>COLAGENO HIDROLIZADO BERRIES CAJ 30SOB SPL 318G</t>
  </si>
  <si>
    <t>COLAGENO HIDROLIZADO MARACUYA 30SOB SP-LIF 12GR</t>
  </si>
  <si>
    <t>COLAGENO HIDROLIZADO NARANJA 30 SOBRES10G CU SPRINGLIFE</t>
  </si>
  <si>
    <t>COLAGENO PLUS SUPLEMENTO ALIMENTICIO X60CAPS LAB. FUENTEVITAL</t>
  </si>
  <si>
    <t>COLCHICINA COMPRIMIDOS 0.5 MG X 40</t>
  </si>
  <si>
    <t>COLECTOR ORINARIO 2LTS</t>
  </si>
  <si>
    <t>COLGATE CEP DEN TWISTER FRESH SUAVE X 2 UND</t>
  </si>
  <si>
    <t>COLGATE CREAMA DENTAL LUMINUOS WHITE X90G</t>
  </si>
  <si>
    <t>COLGATE KIDS 3X2</t>
  </si>
  <si>
    <t>COLGATE KIDS PLAX 250ML</t>
  </si>
  <si>
    <t>COLGATE LUMINOUS WHITE CARBON ACTIVADO X90G</t>
  </si>
  <si>
    <t>COLGATE PASTA DENTAL TRIPLE ACCION MENTA X75ML</t>
  </si>
  <si>
    <t>COLGATE PLAX ICE INFINITY X180ML</t>
  </si>
  <si>
    <t>COLGATE SABOR BUBBLE FRUIT 75ML PASTA DE DIENTE MI VILLANO FAVORITO</t>
  </si>
  <si>
    <t>COLGATE SENSITIVE PRO ALIVIO X110</t>
  </si>
  <si>
    <t>COLGATE TOTAL 12 CARBON 75ML</t>
  </si>
  <si>
    <t>COLGATE TOTAL PREVENCION ACTIVA</t>
  </si>
  <si>
    <t>COLGATE TRIPLE ACCION  100ML</t>
  </si>
  <si>
    <t>COLGATE TRIPLE ACCION 50 G. CREMA DENTAL</t>
  </si>
  <si>
    <t>COLGATE TRIPLE ACCION PASTA DENTAL 75ML X3UND COLGATE PALMOLIVE</t>
  </si>
  <si>
    <t>COLGENO HIDROLIZADO PLUS NARANJA</t>
  </si>
  <si>
    <t>COLINA CELESTE NINOS. 210 ML.</t>
  </si>
  <si>
    <t>COLMAX 125MG CLONIXINATO DE LISINA 10COMP. ANDROMACO</t>
  </si>
  <si>
    <t>COLMAX CLONIXINATO DE LISINA 10COMP ANDR 125MG</t>
  </si>
  <si>
    <t>COLMAX T 60CAPS FUENTE VITAL</t>
  </si>
  <si>
    <t>COLMIBE ATORVASTATINA EZETIMIBA 10MG/10MG</t>
  </si>
  <si>
    <t>COLMIBE ATORVASTATINA/EZETIMIBA 20MG 10MG</t>
  </si>
  <si>
    <t>COLOCYNTHIS D6 MEDICAMENTO HOMEOPATICO X90 COMP LAB. KNOP</t>
  </si>
  <si>
    <t>COLONIA AMARILLA BABYLAND BEBE. 210 ML.</t>
  </si>
  <si>
    <t>COLONIA BABY HIPOALERGENICA AMMENS X190ML</t>
  </si>
  <si>
    <t>COLONIA BRUT CLASSIC 100ML</t>
  </si>
  <si>
    <t>COLONIA BUBU HIPOALERGENICA X240ML</t>
  </si>
  <si>
    <t>COLONIA CLASICA REFRESCANTE ELITE X1000CC</t>
  </si>
  <si>
    <t>COLONIA FRESCA KADUS X750ML</t>
  </si>
  <si>
    <t>COLONIA GREEN 240ML BUBU</t>
  </si>
  <si>
    <t>COLONIA INGLESA 400ML</t>
  </si>
  <si>
    <t>COLONIA INGLESA CADUS X750ML</t>
  </si>
  <si>
    <t>COLONIA INGLESA ELITE X1000</t>
  </si>
  <si>
    <t>COLONIA INGLESA FRES X1000ML</t>
  </si>
  <si>
    <t>COLONIA INGLESA REFRESCANTE ANALIA X1000CC</t>
  </si>
  <si>
    <t>COLONIA NATALIE MIST DREAM 250ML</t>
  </si>
  <si>
    <t>COLONIA PARA HOMBRE. MUSK. 75 ML.</t>
  </si>
  <si>
    <t>COLONIA REFRESCANTE ANALIA X250CC</t>
  </si>
  <si>
    <t>COLONIA RODRIGO FLAÑO 100ML</t>
  </si>
  <si>
    <t>COLONIA SPRAY AVENGERS X175ML</t>
  </si>
  <si>
    <t>COLONIA SPRAY FROZEN 140 ML</t>
  </si>
  <si>
    <t>COLONIA SPRAY MINNIE MOUSE 140ML</t>
  </si>
  <si>
    <t>COLONIA SPRAY PAW PATROL X175ML</t>
  </si>
  <si>
    <t>COLONIA VERDE NINOS. 210 ML.</t>
  </si>
  <si>
    <t>COLORANTE ROJO 1GR QUIM NATURA</t>
  </si>
  <si>
    <t>COLPOTROPHINE PROMESTRIENO 10MG</t>
  </si>
  <si>
    <t>COMBO ENCRESPADOR Y PINZA DE CEJAS</t>
  </si>
  <si>
    <t>COMBODART 0.5MG0.4MG X30COMP GSK</t>
  </si>
  <si>
    <t>COMPLEJO B -FARMACIA VALLENAR</t>
  </si>
  <si>
    <t>COMPLEJO B MULTIVITAMINICO 300MG X60 CAPS AURA VITALIS</t>
  </si>
  <si>
    <t>COMPRESA FRIO CALOR 10X18</t>
  </si>
  <si>
    <t>COMPRESA FRIO CALOR 13X23</t>
  </si>
  <si>
    <t>COMPULXINE 37.5MG FENTERMINA CLORHIDRATO X30COMP BAGO B</t>
  </si>
  <si>
    <t>CONCENTRACION FLORES DE BACH 30ML</t>
  </si>
  <si>
    <t>CONCOR BISOPROLOL FUMARATO 2.5MG X28COMP LAB. MERCK</t>
  </si>
  <si>
    <t>CONDON ALL PROTECTION X3UND</t>
  </si>
  <si>
    <t>CONDONES TRANSPARENTES DE LATEX X3UND DUREX</t>
  </si>
  <si>
    <t>CONDROVET SUPL. NUTRICIONAL 60 COMP</t>
  </si>
  <si>
    <t>CONDROVET SUPLEMENTO ALIMENTICIO X30COMP. LAB. DRAG PHARMA</t>
  </si>
  <si>
    <t>CONTORNO DE OJOS CERAMIDE SKIN BARRIER COMPLEX X15ML</t>
  </si>
  <si>
    <t>CONTRALMOR BEATMETASONA + LIDOCAINA + OXIDO DE ZINC 1MG + 20MG + 250MG X6SUP LABORATOIO CHILE</t>
  </si>
  <si>
    <t>CONTUMAX MACROGOL 3350 SO EN POLVO 17GR TECNOFARMA</t>
  </si>
  <si>
    <t>COOLIPS CETIRIZINA DICLORHIDRATO 10COMP MINT 10MG</t>
  </si>
  <si>
    <t>COPON GEL CAPILAR X220ML</t>
  </si>
  <si>
    <t>COPON GEL x220ml</t>
  </si>
  <si>
    <t>COPOS DE ALGODON MULTIUSOS</t>
  </si>
  <si>
    <t>CORASOL D 8012.5MG 30 COMP. REC. TELMISARTAN 80HIDROCLOROTIAZIDA 125 MG</t>
  </si>
  <si>
    <t>CORDIAX AM TELMISARTAN + AMLODIPINO 80MG + 5MG X40COMP LAB.ABBOTT</t>
  </si>
  <si>
    <t>CORDIAX TELMISARTAN 80MG X40COMP LAB. ABBOTT</t>
  </si>
  <si>
    <t>COREGA CREMA SABOR MENTA40 G</t>
  </si>
  <si>
    <t>COREGA CREMA SIN SABOR 70 G</t>
  </si>
  <si>
    <t>COREGA SABOR MENTA 20 G</t>
  </si>
  <si>
    <t>COREGA SIN SABOR 40 G</t>
  </si>
  <si>
    <t>COREGA TABS TABLETAS LIMPIADORAS 30 UND. LAB. GSK</t>
  </si>
  <si>
    <t>COREGA ULTRA FIJADOR DENTADURAS EN POLVO 50 G</t>
  </si>
  <si>
    <t>COREGA ULTRA MAXIMA FIJACION Y COMODIDAD 40G</t>
  </si>
  <si>
    <t>CORENTEL 5 BISOPROLOL FUMARATO 5MG X30COMP LAB. MEGALABS</t>
  </si>
  <si>
    <t>CORENTEL COMPRIMIDOS 2.50 MG X 30 BISOPROLOL FUMARATO</t>
  </si>
  <si>
    <t>CORITEX FORTE BETAMETASONA 1MG X30ML LAB. BAGO</t>
  </si>
  <si>
    <t>CORPLUS SUPLEMENTO ALIMENTICIO X30CAPS LAB. BAGO</t>
  </si>
  <si>
    <t>CORRECTOR LIQUIDO BROWN DOLCE BELLA 9G</t>
  </si>
  <si>
    <t>CORRECTOR LIQUIDO TAN DOLCE BELLA 9G</t>
  </si>
  <si>
    <t>CORTA CALLOS CON REPUESTOS</t>
  </si>
  <si>
    <t>CORTA CALLOS PREFACE</t>
  </si>
  <si>
    <t>CORTA CUTICULA PROLEVEL</t>
  </si>
  <si>
    <t>CORTA PASTILLAS BH</t>
  </si>
  <si>
    <t>CORTA UÑAS CHICO</t>
  </si>
  <si>
    <t>CORTA UNAS GRANDE</t>
  </si>
  <si>
    <t>CORTADOR DE PASTILLAS</t>
  </si>
  <si>
    <t>CORTAUNAS CURVO PEQUENO</t>
  </si>
  <si>
    <t>CORTAUNAS GRANDE</t>
  </si>
  <si>
    <t>CORTAUNAS PARA MANOS ANTIDESLIZANTE</t>
  </si>
  <si>
    <t>CORTIPREX PREDNISONA 20MG X20COMP LAB. TEVA</t>
  </si>
  <si>
    <t>CORTIPREX PREDNISONA 20MG X60ML LAB. TEVA LCH</t>
  </si>
  <si>
    <t>CORTYK DEXAMETASONA 4 MG X10COMP LAB. PASTEUR</t>
  </si>
  <si>
    <t>COSMAIC SEPARADOR DE DEDOS ROSA CELESTE N.106 2 UND. LAB. COSMAIC</t>
  </si>
  <si>
    <t>COTIDIAM PREMIUM X20</t>
  </si>
  <si>
    <t>COTIDIAN SABANILLA 8 UNIDADES</t>
  </si>
  <si>
    <t>COTONES 100UND</t>
  </si>
  <si>
    <t>COTONITOS ALGODON 200 UNIDADES</t>
  </si>
  <si>
    <t>COTONITOS BASTONCITOS CON ALGODON 100 UNI. LASTRADE HNOS</t>
  </si>
  <si>
    <t>COTONITOS SIMONDS BARILLA DE PAPEL 200UND</t>
  </si>
  <si>
    <t>COTRIMOXAZOL 20 COMP MILAB</t>
  </si>
  <si>
    <t>COTRIMOXAZOL SULFAMETOXAZOL + TRIMETOPRIMA 200MG + 40MG X100ML LAB. MINTLAB</t>
  </si>
  <si>
    <t>COXIRA 200 CELOCOXIB 200MG</t>
  </si>
  <si>
    <t>COXTOR ETORICOXIB 120MG X7COMP LAB.HETERO</t>
  </si>
  <si>
    <t>COXTOR ETORICOXIB 60MG X14COM LAB. HETERO</t>
  </si>
  <si>
    <t>COXTOR ETORICOXIB 90MG X14 COMP LAB. HETERO</t>
  </si>
  <si>
    <t>CRACUL CAPSICUM OLEORRESINA X20COMP DRAG PHARMA</t>
  </si>
  <si>
    <t>CRANBERRY 30 COMP.</t>
  </si>
  <si>
    <t>CRANBERRY 5000MG GUMINES 60G</t>
  </si>
  <si>
    <t>CRANBERRY 7500 MG 30COMP SPRINGLIFE</t>
  </si>
  <si>
    <t>CRANBERRY APOSITO 13X23CM UND</t>
  </si>
  <si>
    <t>CRANBERRY APOSITO ALGINATO DE CALCIO 10 x 10 CM. 1 UND. LAB. REUTTER</t>
  </si>
  <si>
    <t>CRANBERRY APOSITO TRANSPARENTE DE FIJACION 6.5 x 7 CM. 1 UND. LAB REUTTER</t>
  </si>
  <si>
    <t>CRANBERRY ARANDANO ROJO X60CAPS GREEN MEDICAL</t>
  </si>
  <si>
    <t>CRANBERRY CRANBERRIES 210MG X60CAPS LAB. AURA VITALIS</t>
  </si>
  <si>
    <t>CRANBERRY GASA HIDROFILA ESTERIL</t>
  </si>
  <si>
    <t>CRANBERRY GASA NO TEJIDA 5X5</t>
  </si>
  <si>
    <t>CRANBERRY JERINGA DESECHABLE X20ML X1UND REUTTER</t>
  </si>
  <si>
    <t>CRANBERRY MASCARILLA CON ELASTICO 50 UND.</t>
  </si>
  <si>
    <t>CRANBERRY PARCHE ADHESIVO REDONDO ESTERIL 100UND LAB. REUTTER</t>
  </si>
  <si>
    <t>CRANBERRY PERA DE GOMA No.4 1 UND. LAB. REUTTER</t>
  </si>
  <si>
    <t>CRANBERRY SET DE ADMINISTRACION DE SOLUCION MACROGOTA</t>
  </si>
  <si>
    <t>CRANBERRY TELA ADHESIVA 5X9 PAPEL MICROP</t>
  </si>
  <si>
    <t>CRANBERRY TELA ADHESIVA PAPEL MICROPOROSA 25CMS X 9MTS X1UND. REUTER</t>
  </si>
  <si>
    <t>CRANBERRY TERMOMETRO CLINICO DIGITAL 1 UND.</t>
  </si>
  <si>
    <t>CRANBERRY TERMOMETRO CLINICO DIGITAL 1 UND. LAB. REUTTER</t>
  </si>
  <si>
    <t>CRANBERRY X470MG X60CAPS FUENTE VITAL</t>
  </si>
  <si>
    <t>CRATACAR SUPLEMENTO ALIMENTICIO X60CAP LAB. ALQUIMIA VERDE</t>
  </si>
  <si>
    <t>CRATAEGUS COMPUESTO GOTAS ORALES X30ML KNOP</t>
  </si>
  <si>
    <t>CRATAEGUS T.M. MEDICAMENTO HOMEOPATICO 50 COMP. LAB. KNOP</t>
  </si>
  <si>
    <t>CREATINA 500MG X60 CAPS LAB. GREEN MEDICAL</t>
  </si>
  <si>
    <t>CREATINA X300GR</t>
  </si>
  <si>
    <t>CREATINE 100CAPS FU-EN 60G</t>
  </si>
  <si>
    <t>CREATINE GUMMIES SUPLEMENTO ALIMENTICIO X60GOMITAS LAB.GREEN MEDICAL</t>
  </si>
  <si>
    <t>CREATINE MICRONIZED CREATINA MONHIDRATO + ARANDANO + L- LEUCINA 80% + 18% + 2% X220G LAB. FULL ENER</t>
  </si>
  <si>
    <t>CREATINE MONOHYDRATE X300G NUTRA PHARM</t>
  </si>
  <si>
    <t>CREATINE MONOHYDRATED X150GR GREEN MEDICAL</t>
  </si>
  <si>
    <t>CREATINE X300GRS FULL ENERGIC</t>
  </si>
  <si>
    <t>CRECERSAN SUPLEMENTO ALIMENTICIO X200ML ALQUIMIA VERDE</t>
  </si>
  <si>
    <t>CREM DEPILATORIA NORMAL 100ML VEE6</t>
  </si>
  <si>
    <t>CREM. DEPILATORIA PARA DUCH150ML VEET</t>
  </si>
  <si>
    <t>CREM. DEPILATORIA PIEL SENS. 100ML VEET</t>
  </si>
  <si>
    <t>CREMA 10 UREA 250 G. DIABET TX X250G</t>
  </si>
  <si>
    <t>CREMA ADHESIVA COREGA SSABOR 20G</t>
  </si>
  <si>
    <t>CREMA ADHESIVA MAYON ULTRA 40GR</t>
  </si>
  <si>
    <t>CREMA ALISADORA ANTI-RUGOSIDADES CERAVE X 340MG</t>
  </si>
  <si>
    <t>CREMA ANTIARRUGAS 200 GRS.</t>
  </si>
  <si>
    <t>CREMA ANTIARRUGAS ROSITA 60G CICATRICURE</t>
  </si>
  <si>
    <t>CREMA ANTITRANSPIRANTE FULL PROTECT</t>
  </si>
  <si>
    <t>CREMA AZUFRADA AL 6 50 G</t>
  </si>
  <si>
    <t>CREMA CLOTRIMAZOL 1 20 G. LAB CHILE</t>
  </si>
  <si>
    <t>CREMA COREGA SABOR MENTA 70 G</t>
  </si>
  <si>
    <t>CREMA CORPORAL COLAGENO REAFIRMANTE HIDRATANTE X750ML</t>
  </si>
  <si>
    <t>CREMA CORPORAL CON DEXPANTENOL Y MANTECA DE KARITE X400ML</t>
  </si>
  <si>
    <t>CREMA CORPORAL DERMO CREAM SIMONDS X400ML</t>
  </si>
  <si>
    <t>CREMA CORPORAL HIDRATACION EXPRESS 5 EN 1 X1000ML</t>
  </si>
  <si>
    <t>CREMA CORPORAL NIVEA REGENERACION INTENSA X1000ML</t>
  </si>
  <si>
    <t>CREMA CORPORAL NUTRITIVA X400ML</t>
  </si>
  <si>
    <t>CREMA CORPORAL SOFT MILK 5 EN 1 X1000</t>
  </si>
  <si>
    <t>CREMA DE AFEITAR NIVEA MEN 100 ML.</t>
  </si>
  <si>
    <t>CREMA DE AFEITAR NIVEA MEN SENSITIVE 100 ML.</t>
  </si>
  <si>
    <t>CREMA DE AFEITAR REFRESCANTE WILLIAMS MENTOL</t>
  </si>
  <si>
    <t>CREMA DE AFEITAR SENSITIVE SKINBRACER MENCARE 100G</t>
  </si>
  <si>
    <t>CREMA DE AFEITAR SUAVIZANTE ALOE VERA WILLIAMS</t>
  </si>
  <si>
    <t>CREMA DE DIA Y DE NOCHE DOLCE BELLA SKIN CARE DUO</t>
  </si>
  <si>
    <t>CREMA DE JOJOBA+ ACEITE DE JOJOA 50 ML. + 13 ML. LAB. ETTERNA</t>
  </si>
  <si>
    <t>CREMA DE LECHUGA SOFT CON PANTENOL Y VITAMINA E DUO 110ML+55ML</t>
  </si>
  <si>
    <t>CREMA DE MANOS CASTANA PIELARMINA HIPOALERGENICA X 70G</t>
  </si>
  <si>
    <t>CREMA DE MANOS CON EXTRACTO DE TE VERDE X70G</t>
  </si>
  <si>
    <t>CREMA DE MANOS DERMO CREAM SIMONDS X80ML</t>
  </si>
  <si>
    <t>CREMA DE MANOS MAQUI PIELARMINA 70G.</t>
  </si>
  <si>
    <t>CREMA DE MANOS MIA ACEITE DE COCO</t>
  </si>
  <si>
    <t>CREMA DE MANOS MORA</t>
  </si>
  <si>
    <t>CREMA DE MANOS PIELARMINA ROSA MOSQUETA 70 G.</t>
  </si>
  <si>
    <t>CREMA DE NOCHE REGENERADORA TODO TIPO DE PIEL NIVEA 50ML</t>
  </si>
  <si>
    <t>CREMA DE PEINAR SEDAL CON CELULAS MADRE 300ML</t>
  </si>
  <si>
    <t>CREMA DE VASELINA EMULSIONADA SIMONDS BABY X650ML</t>
  </si>
  <si>
    <t>CREMA EMULSIONADA DE VASELINA SIMOND1S BABY 270ML</t>
  </si>
  <si>
    <t>CREMA EMULSIONADA DE VASELINA SIMONDS BABY 360 ML.</t>
  </si>
  <si>
    <t>CREMA FACIAL ACLARADORA. 100 GRS.</t>
  </si>
  <si>
    <t>CREMA FACIAL DE DIA MATIFICANTE 24HRS ALOE VERA PIEL MIXTA Y GRASA X50ML NIVEA</t>
  </si>
  <si>
    <t>CREMA FACIAL DE DIA NUTRITIVA 24H HIDRATACION X50ML NIVEA</t>
  </si>
  <si>
    <t>CREMA FACIAL DE DIA REFRESCANTE 24HRS X50ML NIVEA</t>
  </si>
  <si>
    <t>CREMA FACIAL HIDRATANTE EN GEL CERAMIDE X50ML</t>
  </si>
  <si>
    <t>CREMA FACIAL HIDRATANTE. 250ML. NIVEA</t>
  </si>
  <si>
    <t>CREMA HIDRA TOTAL 5 DIA ANTI-ARRUGAS X50ML LOREAL PARIS</t>
  </si>
  <si>
    <t>CREMA HIDRA TOTAL 5 DIA HUMECTANTE LOREAL PARIS X50ML</t>
  </si>
  <si>
    <t>CREMA HIDRA TOTAL 5 FPS17 X50ML LOREAL PARIS</t>
  </si>
  <si>
    <t>CREMA HIDRAPLUS ESENCIA COCO PREFACE MANOS Y CUERPO X220ML</t>
  </si>
  <si>
    <t>CREMA HIDRATANTE CERAMIDE 454ML</t>
  </si>
  <si>
    <t>CREMA HIDRATANTE GOICOECHEA DIABET TX X50G</t>
  </si>
  <si>
    <t>CREMA HIDRATANTE REPARADORA DE PIES BROOKS X75ML</t>
  </si>
  <si>
    <t>CREMA HIDRATANTE SENIOR CARE DERMICA X500G</t>
  </si>
  <si>
    <t>CREMA HUMECTACION DELICADA LUBRIDERM X400ML</t>
  </si>
  <si>
    <t>CREMA HUMECTACION DIARIA LUBRIDERM X200ML</t>
  </si>
  <si>
    <t>CREMA HUMECTANTE TEATRICAL CON CELULAS MADRE Y AGUACATE 200GR.</t>
  </si>
  <si>
    <t>CREMA HYALURON FILLER DIA EUCERIN ANTI EDAD X51G</t>
  </si>
  <si>
    <t>CREMA ISDIN WOMAN ANTIESTRIAS ANTI-STRETCH MARKS X245ML</t>
  </si>
  <si>
    <t>CREMA LECHUGA</t>
  </si>
  <si>
    <t>CREMA LECHUGA 60ML</t>
  </si>
  <si>
    <t>CREMA LUBRIDERM 200ML + 120ML DUO</t>
  </si>
  <si>
    <t>CREMA LUBRIDERM HUMECTACION DELICADA X200ML</t>
  </si>
  <si>
    <t>CREMA MEN. 400 ML. LUBRIDERM</t>
  </si>
  <si>
    <t>CREMA NATURAL PEPINO SOFI PREFACE X220ML</t>
  </si>
  <si>
    <t>CREMA NATURAL PEPINO SOFT 60ML PREFACE</t>
  </si>
  <si>
    <t>CREMA NIVEA 60 ML.</t>
  </si>
  <si>
    <t>CREMA NUTRITIVA - HIDRATANTE CON VITAMINA A BAGOVIT</t>
  </si>
  <si>
    <t>CREMA NUTRITIVA NOCHE DOLCE BELLA X60G</t>
  </si>
  <si>
    <t>CREMA PARA CABELLO ELVIVE CABELLO LARGOCON FRIZZ 300ML</t>
  </si>
  <si>
    <t>CREMA PARA LAS MANOS 5 UREA EUCERIN UREA REPAIR</t>
  </si>
  <si>
    <t>CREMA PARA LAS MANOS MIA 50ML MIA</t>
  </si>
  <si>
    <t>CREMA PARA LAS MANOS PH5 EUCERIN X75ML 5 DEXPANTENOL</t>
  </si>
  <si>
    <t>CREMA PARA MANOS LECHUGA 75G ANTIMANCHAS MAVER</t>
  </si>
  <si>
    <t>CREMA PARA MANOS LECHUGA ARGAN HIDRATANTE</t>
  </si>
  <si>
    <t>CREMA PARA MANOS PIELARMINA COLAGENOMANTECA KARITE 70 G.</t>
  </si>
  <si>
    <t>CREMA PARA MANOS PIELARMINA PARAFINA HIPOALERGENICOS X70G</t>
  </si>
  <si>
    <t>CREMA PARA MANOS REPARACION INTENSA PIELARMINA UREA 10 X70G</t>
  </si>
  <si>
    <t>CREMA PARA MANOS REPARADORA CICALFATE X100ML</t>
  </si>
  <si>
    <t>CREMA PARA MANOS Y UNAS HUMECTANTE PREFACE 100G</t>
  </si>
  <si>
    <t>CREMA PARA PEINAR 3X MENOS FRIZZ X300ML LOREAL</t>
  </si>
  <si>
    <t>CREMA PARA PEINAR PANTENE PRO V KERATINA X300ML</t>
  </si>
  <si>
    <t>CREMA PARA PEINAR SEDAL CON OLEO DE ALMENDRAS VITAMINA C Y KERATINA X300ML</t>
  </si>
  <si>
    <t>CREMA PARA PEINAR SEDAL RIZOS DEF 300ML</t>
  </si>
  <si>
    <t>CREMA PARA PIERNAS ARNICA EFECTO DESCANSO X1000 GOICOECHEA</t>
  </si>
  <si>
    <t>CREMA PARA PIERNAS DOBLE MENTOL Y CENTELLA ASIATICA GOICOECHEA X400ML</t>
  </si>
  <si>
    <t>CREMA PARA PIERNAS GOICOCHEA ARNICA Y MANZANILLA 400ML</t>
  </si>
  <si>
    <t>CREMA PARA PIES HUMECTANTE X75G</t>
  </si>
  <si>
    <t>CREMA PARAFINA Y UREA. MANOS Y UNAS</t>
  </si>
  <si>
    <t>CREMA PATRICIZZIO DERMO ITALIA ANTIAGE PRO X2UND DIA Y NOCHE</t>
  </si>
  <si>
    <t>CREMA PROTECTORA ANTIOXIDANTE RAYITO DE SOL X50G</t>
  </si>
  <si>
    <t>CREMA RELIPIDIZANTE 200ML FOUCHARD</t>
  </si>
  <si>
    <t>CREMA REPARADORA DE PIES PIELARMINA CLINICAL X75G</t>
  </si>
  <si>
    <t>CREMA REPELEX HIPOALERGENICO X80GRS KIDS SANITAS</t>
  </si>
  <si>
    <t>CRONOTAN 20 COMPRIMIDOS EFERVESCENTES</t>
  </si>
  <si>
    <t>CRONUS PARACETAMOL + TRAMADOL CLORHIDRATO 325MG + 37.5MG X20COMP LAB. TECNOFARMA</t>
  </si>
  <si>
    <t>CS PISA CLORURO DE SODIO X250ML</t>
  </si>
  <si>
    <t>CUAJO 100GR. DROGUERIA NUNOA</t>
  </si>
  <si>
    <t>CUAJO 50 GR. PHARMASAN</t>
  </si>
  <si>
    <t>CURAPLAST VENDAS ADHESIVAS X100UND. LAB. DIFEM</t>
  </si>
  <si>
    <t>CURAPROX ORTHODONTIC ULTRA SOFT</t>
  </si>
  <si>
    <t>CURAPROX SOFT 1560</t>
  </si>
  <si>
    <t>CURCUMA CON PIMIENTA   CURCUMA LONGA L + PIMIENTA  400MG + 75MG   X60CAP  VALLE DE SOL</t>
  </si>
  <si>
    <t>CURCUMA CON PIMIENTA NEGRA</t>
  </si>
  <si>
    <t>CUTICELL CLASSIC 10CM X 10 CM</t>
  </si>
  <si>
    <t>CV-DIABET SUPLEMENTO ALIMENTICIO X90CAPS LAB. VALLE Y SOL</t>
  </si>
  <si>
    <t>CYNARA COMPUESTA MEDICAMENTO HOMEOPATICO X30 ML LAB. XIMENA POLANCO</t>
  </si>
  <si>
    <t>D-HISTAPLUS SO DESLORATADINA 2.55ML 100ML PASTEUR</t>
  </si>
  <si>
    <t>D-TOX CURE SUPLEMENTO ALIMENTICIO NATURAL X90CAPS LAB. AURA VITALIS</t>
  </si>
  <si>
    <t>D.VIDAMAX VITAMINA D3 POLVO SUSP. ORAL 11 G. 4 SOBRES ANDROMACO</t>
  </si>
  <si>
    <t>D6 ACIDUM PHOSPHORICUM D4 2MG X 90 COMP. LAB. KNOP</t>
  </si>
  <si>
    <t>DACAM RAPI LENTO BETAMETASONA ACETATO MICRONIZADA INYECTABLE 3MG7ML</t>
  </si>
  <si>
    <t>DAFLON FRACCION FLAVONOICA PURIFICADA Y MICRONIZADA 500MG X60COMP LAB. SERVIER</t>
  </si>
  <si>
    <t>DAGOTIL RISPERIDONA</t>
  </si>
  <si>
    <t>DAGOTIL RISPERIDONA X 1MG X 3COMP LAB</t>
  </si>
  <si>
    <t>DAILY 300+60TAB STEV 16.2G</t>
  </si>
  <si>
    <t>DAILY 90+10ML STEV 100ML</t>
  </si>
  <si>
    <t>DAILY GOTAS SUCRALOSA 400ML</t>
  </si>
  <si>
    <t>DAILY STEVIA ENDULZANTE A BASE DE STEVIA Y SUCRALOSA 180ML DAILY FOODS</t>
  </si>
  <si>
    <t>DAILY SWEET STEVIA 440 TAB</t>
  </si>
  <si>
    <t>DAILY TRADICIONAL ENDULZANTE A BASE DE SACARINA Y SUCRALOSA 270ML DAILY FOODS</t>
  </si>
  <si>
    <t>DAKTARIN MICONAZOL 2 0MG X40G LA.B JANSSEN</t>
  </si>
  <si>
    <t>DAMIZEL SERRAPEPTASA 5MG X30COMP LAB. FQP</t>
  </si>
  <si>
    <t>DANCE SHAKIRA RED MIDNIGHT 50ML</t>
  </si>
  <si>
    <t>DANCE SKAIRA</t>
  </si>
  <si>
    <t>DANIELE DIENOGEST 2MGETINILESTRADIOL 0.03MG X28COMP. EXELTIS B</t>
  </si>
  <si>
    <t>DAPPvL2+ Cv NOBIVAC® VACUNA OCTUPLE 1DOSIS LAB. MSD</t>
  </si>
  <si>
    <t>DEBLAX VITAMINA D3 100.000 2 CAPSULAS BLANDAS</t>
  </si>
  <si>
    <t>DEBLAX VITAMINA D3 100.000 UI</t>
  </si>
  <si>
    <t>DECA DURABOLIN 50MG X 1 AMPOLLA</t>
  </si>
  <si>
    <t>DECOLORANTE ILICIT COLOR FULKIT DECOLORANTE</t>
  </si>
  <si>
    <t>DEGRALER LEVOCETIRIZINA DICLORHIDRATO 2.5MG X100ML LAB. BAGO</t>
  </si>
  <si>
    <t>DEGRALER LEVOCETIRIZINA DICLORHIDRATO 5MG X15ML LAB. BAGO</t>
  </si>
  <si>
    <t>DELGADIEZ SUPLEMENTO ALIMENTICIO X60CAPS LAB. FUENTE VITAL</t>
  </si>
  <si>
    <t>DELINEADOR GEL DE LABIOS TERRACOTA BRICK</t>
  </si>
  <si>
    <t>DELINEADOR GEL PARA LABIOS</t>
  </si>
  <si>
    <t>DELINEADOR NEGRO LIQUIDO. PETRIZZIO</t>
  </si>
  <si>
    <t>DELINEADOR PARA OJOS PUNTA TIPO PLUMON 2ML DOLCE BELLA</t>
  </si>
  <si>
    <t>DELINEADOR PARA OJOS PUNTA TIPO PLUMON 9G</t>
  </si>
  <si>
    <t>DENIM MUSK ESTUCHE COLONIA 75ML+GEL AFTER SHAVE 75ML</t>
  </si>
  <si>
    <t>DENIM ORIGINAL ESTUCHE COLONIA 75ML+GEL AFTER SHAVE 75ML</t>
  </si>
  <si>
    <t>DENIM ORIGINAL FCO X75ML</t>
  </si>
  <si>
    <t>DENTEK PLACA MANDIBULAR ANTIBRUXISMO 1 UN</t>
  </si>
  <si>
    <t>DENTO CEP PLUS MEDIAN 2X1</t>
  </si>
  <si>
    <t>DENTWELL HILO PNINOS X36</t>
  </si>
  <si>
    <t>DEPO-MEDROL 40MG1ML</t>
  </si>
  <si>
    <t>DEPO-MEDROL ACETATO DE METILPREDNISONA 40 MG1ML</t>
  </si>
  <si>
    <t>DEPURATON SUPLEMENTO ALIMENTARIO X200ML LAB. ALQUIMIA VERDE</t>
  </si>
  <si>
    <t>DEPUROL RETARD VENLAFAXINA 37.5 30 CAPS</t>
  </si>
  <si>
    <t>DEPUROL RETARD VENLAFAXINA 37.5MG X20CAPS LAB. ROYAL PHARMA</t>
  </si>
  <si>
    <t>DERCOS ANTICASPA CABELLO NORMAL A GRASO 200ML VICHY</t>
  </si>
  <si>
    <t>DERCOS SHAMPOO ANTICASPA SECO X200ML VICHY</t>
  </si>
  <si>
    <t>DERCOS SHAMPOO DERMATOLOGICO X390ML VICHY</t>
  </si>
  <si>
    <t>DERCOS SHAMPOO ESTIMULANTE AMINEXIL NIACINAMIDA</t>
  </si>
  <si>
    <t>DERMABEL CLINDAMICINA 1G X30G LAB. ROYAL PHARMA</t>
  </si>
  <si>
    <t>DERMATEN MOMETASONA FUROATO 0.1G X15GR. LAB. SANITAS</t>
  </si>
  <si>
    <t>DERMISOLONA PREDNISOLONA ACETATO 4.5MG X30ML LAB. DRAG PHARMA</t>
  </si>
  <si>
    <t>DERMISONA PREDNISOLONA BASE 4.5MG X30ML LAB. DRAG PHARMA</t>
  </si>
  <si>
    <t>DERMO ACTIV DESINFECTANTE X30ML LAB. MEDVETAROM</t>
  </si>
  <si>
    <t>DERMO CREAM CREMA HIDRATANTE + UREA 10 PIEL EXTRA SECA</t>
  </si>
  <si>
    <t>DERMO CREAM CREMA HUMECTANTE PIEL ATOPICA 400ML</t>
  </si>
  <si>
    <t>DERMOCREAM CREMA PORPORAL DIABETIC SKIN 750 ML SIMONDS</t>
  </si>
  <si>
    <t>DERMODAN 0,1% CREMA 15G / TRETINOINA</t>
  </si>
  <si>
    <t>DERMODAN CREMA TOPICA TRETINOINA AL O.05%</t>
  </si>
  <si>
    <t>DERMODAN TRETINOINA 0.025G X30G LAB ITF-LABOMED</t>
  </si>
  <si>
    <t>DERMODAN TRETINOINA CREMA AL 0.1 ITF</t>
  </si>
  <si>
    <t>DERMOSONA MOMENTASONA FUROATO 1MG X10G LAB. SAVAL</t>
  </si>
  <si>
    <t>DERMOVATE CLOBETASOL 0.05G X30G LAB. GSK</t>
  </si>
  <si>
    <t>DERMOVATE POMADA TOPICA CLOBETASOL 0.05</t>
  </si>
  <si>
    <t>DEROXAT CR PAROXETINA 12.5MG X30COMP LAB. ETEX</t>
  </si>
  <si>
    <t>DES. DOVE INVISIBLE DRY SPRAY 150 ML</t>
  </si>
  <si>
    <t>DESDOL PARACETAMOL 300MG+CLORZOXAZONA 250MG. 20COMP. EUROFARMA</t>
  </si>
  <si>
    <t>DESLAFAX DESVENLAFAXINA 50MG X30COMP LAB. GADOR</t>
  </si>
  <si>
    <t>DESLAFAZ 100  DESVENLAFAXINA  100 MG.   30 COMP.  LAB. GADOR</t>
  </si>
  <si>
    <t>DESLORATADINA 2.5 MG5 ML. 120 ML. JRBE.</t>
  </si>
  <si>
    <t>DESLORATADINA 25 MGML IPHSA</t>
  </si>
  <si>
    <t>DESLORATADINA 5MG 30 COMP. CURAESPRING</t>
  </si>
  <si>
    <t>DESLORATADINA 5MG X30COMP ASCEND B</t>
  </si>
  <si>
    <t>DESLORATADINA 5MG X30COMP PRATER B</t>
  </si>
  <si>
    <t>DESLOTATADINA 5MG X30 COM. LAB. HOSPIFARMA</t>
  </si>
  <si>
    <t>DESMAQUILLANTE BIFASICO PETRIZZIO X150ML</t>
  </si>
  <si>
    <t>DESODORANTE AEROSOL MUSK FOR WOMEN 150ML</t>
  </si>
  <si>
    <t>DESODORANTE ANTITRANSPIRANTE ETIQUET WOMEN DUO</t>
  </si>
  <si>
    <t>DESODORANTE AXE BLACK X150ML</t>
  </si>
  <si>
    <t>DESODORANTE BARRA LENA MENTA. OLD SPICE</t>
  </si>
  <si>
    <t>DESODORANTE CREMA 60 GRS. ETIQUET WOMEN</t>
  </si>
  <si>
    <t>DESODORANTE DOVE INVISIBLE DRY</t>
  </si>
  <si>
    <t>DESODORANTE DOVE MEN</t>
  </si>
  <si>
    <t>DESODORANTE KIDS PREFACE ROLL ON</t>
  </si>
  <si>
    <t>DESODORANTE NIVEA MEN 52G DESODORANTE EN BARRA SILVER PROTECT</t>
  </si>
  <si>
    <t>DESODORANTE NIVEA MEN ACTIVE DRY SILVER 0 ALCOHOL</t>
  </si>
  <si>
    <t>DESODORANTE OLD SPICE AROMA AMBAR X150ML</t>
  </si>
  <si>
    <t>DESODORANTE OLD SPICE FRESH SPRAY. 150 ML.</t>
  </si>
  <si>
    <t>DESODORANTE OLD SPIECE LENA 150 ML</t>
  </si>
  <si>
    <t>DESODORANTE PARA PIES BROOKS</t>
  </si>
  <si>
    <t>DESODORANTE PARA PIES SPRAY PREFACE</t>
  </si>
  <si>
    <t>DESODORANTE SPRAY AXE APOLLO 48HR.</t>
  </si>
  <si>
    <t>DESODORANTE SPRAY AXE DARK TEMPTATION 48HRS.</t>
  </si>
  <si>
    <t>DESODORANTE SPRAY NIVEA MEN FRESH ICE .</t>
  </si>
  <si>
    <t>DESODORANTE SPTAY NIVEA MEN ACTIVE DRY STRESS 72HR</t>
  </si>
  <si>
    <t>DESVENLAFAXINA 100MG. X30COMP. MOMENTA</t>
  </si>
  <si>
    <t>DESVENLAFAXINA SUCCINATO MONOHIDRATO 50MG X30COMP LAB. MOMENTA</t>
  </si>
  <si>
    <t>DETRUCALM FLAVOXATO CLORHIDRATO 200MG X10COMP LAB. MEGALABS</t>
  </si>
  <si>
    <t>DETRUCALM FLAVOXATO CLORHIDRATO 200MG X30COMP LAB. MEGALAB</t>
  </si>
  <si>
    <t>DEUCODOL FORTE  IBUPROFENO  200 MG  5ML  LAB EUROFARMA</t>
  </si>
  <si>
    <t>DEUCOTOS JARABE X120ML EUROFARMA B</t>
  </si>
  <si>
    <t>DEVELLOL D CREMA DEPILATORIA CLASSIC X80ML FQP</t>
  </si>
  <si>
    <t>DEVELLOL D CREMA DEPILATORIA MANZANILLA Y VITAMINA E 40ML</t>
  </si>
  <si>
    <t>DEXTROSA 5 1000ML</t>
  </si>
  <si>
    <t>DHA SENIOR 30 CAPS OMEGA 3</t>
  </si>
  <si>
    <t>DHIPOGLOS POMADA 20GR</t>
  </si>
  <si>
    <t>DIABETEX GOICOECHEA CREMA CORPORAL HIDRATANTE 400ML</t>
  </si>
  <si>
    <t>DIAREM NIFUROXAZIDA + ATAPULGITA 200MG + 500 MG X100ML LAB. SAVAL</t>
  </si>
  <si>
    <t>DIAREN NIFUROXAZIDA + ATAPULGITA 200MG + 350 MG X20COMP LAB. SAVAL</t>
  </si>
  <si>
    <t>DIARREPAS ANTIDIARREICA X100ML LAB. DRAG PHARMA</t>
  </si>
  <si>
    <t>DIAVITAL LACTASA X 30 COMPRIMIDOS</t>
  </si>
  <si>
    <t>DIAVOLO BANDERAS</t>
  </si>
  <si>
    <t>DIAZEPAM 10MG X20COMP LCH B</t>
  </si>
  <si>
    <t>DIAZINON 60 GARRAPATICIDA Y PULGUICIDA</t>
  </si>
  <si>
    <t>DIAZINON 60 SOLUCION TOPICA GARRAPATICIDA Y PULGUICIDA X50CC EXIMERK</t>
  </si>
  <si>
    <t>DIAZINON DIMPILATO 60G X10CC LAB. EXIMERK</t>
  </si>
  <si>
    <t>DICHLOREXAN CLORHEXIDINA GLUCONATO 2% X50ML LAB. DIFEM</t>
  </si>
  <si>
    <t>DICLOFENACO 75 MG3 ML 5 AMPOLLAS INYEC.</t>
  </si>
  <si>
    <t>DICLOFENACO DIETILAMINA 116 60GR. DICLAC</t>
  </si>
  <si>
    <t>DICLOFENACO DIETILAMINA GEL</t>
  </si>
  <si>
    <t>DICLOFENACO GEL 1.16. 30 GRS. CURASPRING</t>
  </si>
  <si>
    <t>DICLOFENACO GEL 116 60 G</t>
  </si>
  <si>
    <t>DICLOFENACO SODICO 1.5% X20ML LAB. CHILE</t>
  </si>
  <si>
    <t>DICLOFENACO SODICO 100MG X8CAPS LAB.ANDROMACO</t>
  </si>
  <si>
    <t>DICLOFENACO SODICO 12.5MG 5 SUPOSITORIOS LAB. SEVEN PHARMA</t>
  </si>
  <si>
    <t>DICLOFENACO SODICO 50 MG 10 COMP. LAB OPKO</t>
  </si>
  <si>
    <t>DICLOFENACO SODICO 50MG 5 SUPOSITORIOS LAB. PASTEUR</t>
  </si>
  <si>
    <t>DICLOFENACO SODICO 50MG X10COMP LAB. ANDROMACO</t>
  </si>
  <si>
    <t>DICLOFENACO SODICO 8 COMPRIMIDOS 100MG.</t>
  </si>
  <si>
    <t>DICLOFENACO SODICO ADULTOS 50MG 5 SUPOSITORIOS LCH</t>
  </si>
  <si>
    <t>DICLOFENACO SODICO AMPOLLA 75 MG 3ML X100AMPOLLAS</t>
  </si>
  <si>
    <t>DICLOFENACO SODICO CAPSULAS 100MG</t>
  </si>
  <si>
    <t>DICLOFENACO SODICO INYECTABLE 75MG 3ML</t>
  </si>
  <si>
    <t>DICOGEL DICLOFENACO DETILAMINA 1.16% 30G GEL TOPICO</t>
  </si>
  <si>
    <t>DIECO-GEL 4L LAB DIFEMPHARMA</t>
  </si>
  <si>
    <t>DIENOGEST 200MGETINILESTRADIOL003MG 28COMP</t>
  </si>
  <si>
    <t>DIFEMCAR AGUA OXIGENADA SOLUCION 10 VOLUMENES 1 LTS. LAB. DIFEM CARE</t>
  </si>
  <si>
    <t>DIFEMCARE AGUA OXIGENADA SOLUCION X500ML DIFEM</t>
  </si>
  <si>
    <t>DIFEMPHARMA DICHLOREXAN CLORHEXIDINA GLUCONATO 2% 120ML LAB. DIFEM</t>
  </si>
  <si>
    <t>DIFEMPHARMA POVISEPT POLIVIDONA YODADA 10% X50ML LAB. DIFEM</t>
  </si>
  <si>
    <t>DIFLAM DICLOFENACO DIETILAMINA 1.16%</t>
  </si>
  <si>
    <t>DIG-HERBAL DIGESTIVO 60 COMP</t>
  </si>
  <si>
    <t>DIGENIL PANCRETINA 230MG SIMETICONA 80MG 20</t>
  </si>
  <si>
    <t>DIGENIL X 10 CAPS.PANCREATINA +SIMETICONA</t>
  </si>
  <si>
    <t>DIGOXINA 0.25MG LCH</t>
  </si>
  <si>
    <t>DIGOXINA 0.25MG. X30COMP. LAB CHILE</t>
  </si>
  <si>
    <t>DILASEDAN 10MG x 30COMP</t>
  </si>
  <si>
    <t>DIMENOX VITEX AGNUS CASTUS 8MG</t>
  </si>
  <si>
    <t>DIMODROL MEDROXIPROGESTERONA ACETATO 50MG X50ML LAB. VETERQUIMICA</t>
  </si>
  <si>
    <t>DIMUXON MOMETASONA 0.05%</t>
  </si>
  <si>
    <t>DINAFLEX DUO 500mg cap x60</t>
  </si>
  <si>
    <t>DINAFLEX DUO FORTE sobres GLUCOSAMINACONDROITINAx30</t>
  </si>
  <si>
    <t>DIONDEL FLECAINIDA ACETATO 100MG X20COMP LAB. MEGALABS</t>
  </si>
  <si>
    <t>DIPATROPIN PAPAVERINA + ATROPINA 40MG + 0.50MG 10 COMP LAB. PASTEUR</t>
  </si>
  <si>
    <t>DIPEMINA 60 FRACCION FLAVONOICA PURIFICADA MICRONIZADA 500MG X60COMP RAFFO</t>
  </si>
  <si>
    <t>DIPEMINA FRACCION FLAVONOICA PURIFICADA MICRONIZADA 500MG X30COMP LAB. LAZAR</t>
  </si>
  <si>
    <t>DIPIRONA 300MG BLISTE</t>
  </si>
  <si>
    <t>DIPRAMIDA METOCLOPRAMIDA CLORHIDRATO MONOHIDRATO 5.27MG X20ML LAB. DRAG PHARMA</t>
  </si>
  <si>
    <t>DISAC TADALAFILO 20MG 4COMP LAB OPKO</t>
  </si>
  <si>
    <t>DISAC TADALAFILO 5MG 30COMP. OPKO B</t>
  </si>
  <si>
    <t>DISFLAX COMP. 30MG DEFLAZACORT-DCI- X10COMP. FAES FARMA B</t>
  </si>
  <si>
    <t>DISFLAX DEFLAZACORDT 6MG X20COMP LAB. FAES FARMA</t>
  </si>
  <si>
    <t>DISFRUTA 100 MG. CLASICO</t>
  </si>
  <si>
    <t>DISFRUTA LIMON CAJA SAL EFERV MAV 60SOB</t>
  </si>
  <si>
    <t>DISFRUTA LIMON FRASCO 100G</t>
  </si>
  <si>
    <t>DISFRUTA SAL REFRESCANTE</t>
  </si>
  <si>
    <t>DISFRUTA SOBRE 5G SABOR LIMON X8UND</t>
  </si>
  <si>
    <t>DISFRUTA SOBRE 5G X8</t>
  </si>
  <si>
    <t>DISGREN AAS 81 ACIDO ACETILSALICILICO 81 MG. X30 COMP. LAB</t>
  </si>
  <si>
    <t>DISILDEN SILDENAFIL 100MG X20COMP LAB.IPHS</t>
  </si>
  <si>
    <t>DISILDEN SILDENAFIL 10COMP IPHS 100MG</t>
  </si>
  <si>
    <t>DISILDEN SILDENAFIL 50MG X20COMP LAB. IPHSA</t>
  </si>
  <si>
    <t>DISLEP LEVOSULPIRIDA 25MG X20COMP LAB. FERRER</t>
  </si>
  <si>
    <t>DISPOSABLE 3-LAYER MASK</t>
  </si>
  <si>
    <t>DIVANON CLINDAMICINA 100MG 3CAPS BLANDAS VAGINALES</t>
  </si>
  <si>
    <t>DIVANON CLINDAMICINA 100MG X7CAPS LAB TECNOFARMA</t>
  </si>
  <si>
    <t>DOCIVIN DOMPERIDONA 10MG 15ML LAB. MINTLAB</t>
  </si>
  <si>
    <t>DOGUIVIT ADULTO SUPLEMENTO MULTIVITAMINICO Y MINERALES X30 COMP. DRAG PHARMA</t>
  </si>
  <si>
    <t>DOGUIVIT CACHORRO SUPLEMENTO MULTIVITAMINICO X60COMP. LAB.DRAG PHARMA</t>
  </si>
  <si>
    <t>DOGUIVIT SENIOR SUPLEMENTO MULTIVITAMINICO X30COMP. LAB. DRAG PHARMA</t>
  </si>
  <si>
    <t>DOLCE BELLA EYESHADOW</t>
  </si>
  <si>
    <t>DOLCOPIN BROMURO+ METAMIZOL SODICO MONOHIDRATO 6.67MG + 333.4MG X16ML LAB. PASTEUR</t>
  </si>
  <si>
    <t>DOLDENT BENZOCAINA 7.5MG X10G LAB. MAVER</t>
  </si>
  <si>
    <t>DOLGENAL KETEROLACO TROMATEMOL 30MG X3AMPOLLAS LAB TECNOFARMA</t>
  </si>
  <si>
    <t>DOLGENAL KETOROLACO TROMATAMINA 30MG X4COMP LAB</t>
  </si>
  <si>
    <t>DOLIDER PARACETAMOL + ACIDO ACETILSALICILICO + CAFEINA 250MG + 250MG + 65MG X10COMP LAB. PASTEUR</t>
  </si>
  <si>
    <t>DOLO-NEUROBIONTA ANTIFLAMATORIO NO ESTEROIDE X10COMP LAB. NOVOFARMA</t>
  </si>
  <si>
    <t>DOLO-NEUROBIONTA X20COMP. MERCK</t>
  </si>
  <si>
    <t>DOLOMERPAL VITAMINAS COMPLEJO B X20CAPSULAS</t>
  </si>
  <si>
    <t>DOLORUB IBUPROFENO 5 CREMA. 45 GRS</t>
  </si>
  <si>
    <t>DOLORUB PARCHE</t>
  </si>
  <si>
    <t>DOLORUB. IBUPROFENO 5 60G. CON APLICADOR</t>
  </si>
  <si>
    <t>DOLORUD GEL ANALGESICO Y ANTINFLAMATORIO</t>
  </si>
  <si>
    <t>DOLOSPAM ATROPINA SULFATO MONOHIDRATO 0.5MGPAPAVERINA CLORHIDRATO 40MG LCH TEVA</t>
  </si>
  <si>
    <t>DOLOSTAT BI KETOPROFENO 150MG X10COMP LAB. EUROFARMA</t>
  </si>
  <si>
    <t>DOLOTEN PARACETAMOL +TRAMADOL CLORHIDRATO 325MG + 37.5 MG 30COMP LAB. BAGO</t>
  </si>
  <si>
    <t>DOLOVERINA 200MG X20COMP</t>
  </si>
  <si>
    <t>DOLPIC TRIMEBUTINA MALEATO 200MG X10COMP. PASTEUR B</t>
  </si>
  <si>
    <t>DOMPERIDONA 10 MG. 20 CAPS. LAB. CHILE</t>
  </si>
  <si>
    <t>DOMPERIDONA 10 MG. 20 COMP. LAB. OPKO</t>
  </si>
  <si>
    <t>DONAP DONEPEZILO CLORHIDRATO 10MG X30 COMP LAB. ASCEND</t>
  </si>
  <si>
    <t>DONEPEZILO CLORHIDRATO 10 MG. 30 COMP. LAB. HETERO</t>
  </si>
  <si>
    <t>DONOMIX CREM DER 1005MGG LCH TEV 15G</t>
  </si>
  <si>
    <t>DONTER TERBINAFINA CLORHIDRATO 1 CREMA DERMICA X15G MINTLAB</t>
  </si>
  <si>
    <t>DORAZEL PERMETRINA 1. SHAMPOO ANTIPARASITARIO X100ML DRAG PHARMA</t>
  </si>
  <si>
    <t>DORAZEL PLUS SHAMPOO PARA PERROS PERMETRINA 1+PIPERONIL 2.5 X300ML DRAG PHARMA</t>
  </si>
  <si>
    <t>DORMIR FLORES DE BACH SPRAY 30ML</t>
  </si>
  <si>
    <t>DOVE  DESODORANTE AEROSOL SENSITIVE 48 HRS 150ML</t>
  </si>
  <si>
    <t>DOVE ACO BRILLO NUTR-OLEO MICELAR 400ML</t>
  </si>
  <si>
    <t>DOVE ACO NUT FUSION OLEOS X 400ML</t>
  </si>
  <si>
    <t>DOVE ACONDICIONADOR HIDRA LISO HIALURONICO X400 ML UNILEVER</t>
  </si>
  <si>
    <t>DOVE ACONDICIONADOR RECONSTRUCION+KERATINA X400 ML UNILEVER</t>
  </si>
  <si>
    <t>DOVE ACONDICIONADOR REGENERACION EXTREMA X 400 ML UNILEVER</t>
  </si>
  <si>
    <t>DOVE DERMO ACLARANT ANTITR AER UNI 89G-150ML</t>
  </si>
  <si>
    <t>DOVE DESODORANTE ORIGINAL DAMA 45GR</t>
  </si>
  <si>
    <t>DOVE DESODORANTE SPRAY INVISIBLE DRY 72H 150ML VARON</t>
  </si>
  <si>
    <t>DOVE DESODORANTE TONO UNIFORME X1UND</t>
  </si>
  <si>
    <t>DOVE GO FRESH 72HRS CREMA HUMECTANTE X150ML</t>
  </si>
  <si>
    <t>DOVE HIDRAT INTENSA SHAMPOO UNI 400ML</t>
  </si>
  <si>
    <t>DOVE JABON EN BARRA CON CREMA HUMECTANTE 90GR UNILEVER</t>
  </si>
  <si>
    <t>DOVE JABON LIQUIDO</t>
  </si>
  <si>
    <t>DOVE KARITEJAB.LIQ.CR 700</t>
  </si>
  <si>
    <t>DOVE LARGOS FORTALECIDOS SHAMPOO 400ML</t>
  </si>
  <si>
    <t>DOVE MEN + CARE PROTECCION TOTAL ANTITRANSPIRANTE SPRAY</t>
  </si>
  <si>
    <t>DOVE MEN CARE SPRAY SPORT FRESH 150ML</t>
  </si>
  <si>
    <t>DOVE MEN INVISIBLE DRY BARRA 45 G.</t>
  </si>
  <si>
    <t>DOVE MEN SPRAY EXTRA FRESH 72 HRSA 150 ML</t>
  </si>
  <si>
    <t>DOVE NUTRITIVE SOLUTIONS ACONDIC HIDR INT UNI 400ML</t>
  </si>
  <si>
    <t>DOVE ORIGINAL ANTITR ROLL UNI 50ML</t>
  </si>
  <si>
    <t>DOVE RECONSTRUCCION COMPLETA SHAMP UNI 400ML</t>
  </si>
  <si>
    <t>DOVE REGENERACION EXTREMA SHAMP UNI 400ML</t>
  </si>
  <si>
    <t>DOVE SHAMPOO ANTICASPA CONTROL X400ML</t>
  </si>
  <si>
    <t>DOVE SPRAY ORIGINAL 150 ML X 3U.</t>
  </si>
  <si>
    <t>DOXICICLINA 100 MG. 10 CAPS . LAB. OPKO BE</t>
  </si>
  <si>
    <t>DOXIMICIN DOXICICLINA HICLATO 100MG X10COMP LAB. DRAG PHARMA</t>
  </si>
  <si>
    <t>DOXIMICIN DOXICICLINA HICLATO 11.54MG X60ML LAB. DRAG PHARMA</t>
  </si>
  <si>
    <t>DOXITHAL DOXICICLINA 100MG X10CAPS LAB. ROYAL PHARMA</t>
  </si>
  <si>
    <t>DOXIUM 500 DOBESILATO DE CALCIO 60 CAPS</t>
  </si>
  <si>
    <t>DOXIUM DOBESILATO DE CALCIO 500MG X30CAPS LAB. IFT-LABOMED</t>
  </si>
  <si>
    <t>DROLSAN HIDROXICLORQUINA SULFATO 200MG X30COMP LAB. MILAB</t>
  </si>
  <si>
    <t>DRONTAL CATS  EMBONATO DE PIRANTEL + PRAZIQUANTEL  230MG + 20MG  1UNIDAD  LAB. ELANCO</t>
  </si>
  <si>
    <t>DRONTAL PLUS FEBANTEL 525MGEMBONATO DE PIRANTEL504MGPRAZINQUANTEL 175MG 1 TABLETA 35KILOS</t>
  </si>
  <si>
    <t>DRONTAL PUPPY PAMOATO DE PIRANTEL FEBANTEL 1.44G + 1.5 G X20ML LAB. ELANCO</t>
  </si>
  <si>
    <t>DROPOL PARACETAMOL USO ORAL 1 GR. 20 COMP. LAB. PASTEUR</t>
  </si>
  <si>
    <t>DULCE BELLA EYESSHADOW 9 COLORES</t>
  </si>
  <si>
    <t>DULCOLAX PICOSULFATO DE SODIO 7.5MG</t>
  </si>
  <si>
    <t>DULOXETINA 30 MG. 28 CAPS. LAB HETERO</t>
  </si>
  <si>
    <t>DULOXETINA 30 MG. 30 CAP. LAB ASCEND</t>
  </si>
  <si>
    <t>DULOXETINA 30MG</t>
  </si>
  <si>
    <t>DULOXETINA 60 MG 30 CAPS. LAB. HETERO</t>
  </si>
  <si>
    <t>DULOXETINA 60MG X30 CAPS LAB ALEMBIC</t>
  </si>
  <si>
    <t>DUO FIJADOR FUERTE FIJ 165ML LABOCOCH</t>
  </si>
  <si>
    <t>DUO FIJADOR NORMAL 330ML</t>
  </si>
  <si>
    <t>DUO FIJADOR NORMAL X165</t>
  </si>
  <si>
    <t>DUO GEL FOR MEN FIJACION EXTRA FUERTE</t>
  </si>
  <si>
    <t>DUO LACA EXTRA FUERTE X330</t>
  </si>
  <si>
    <t>DUODART 0.5MG0.4MG</t>
  </si>
  <si>
    <t>DUOMO DOXAZOSINA BIOEQUIVALENTE</t>
  </si>
  <si>
    <t>durex  x 3</t>
  </si>
  <si>
    <t>DUREX CLASICO PRESERVATIVOS 12 UND. RECKITT BENCKISER</t>
  </si>
  <si>
    <t>DUREX CLASICO PRESERVATIVOS 3 UND. RECKITT BENCKISER</t>
  </si>
  <si>
    <t>DUREX INTENSE DIABLILLO ESTIMULADOR VIBRANTE X1UND</t>
  </si>
  <si>
    <t>DUREX INTENSE VIBRATIONS X1UND</t>
  </si>
  <si>
    <t>DUREX INVISIBLE X3</t>
  </si>
  <si>
    <t>MARCA 2</t>
  </si>
  <si>
    <t>DUREX MAXIMO PLACER X3UND CON PUNTOS COMAS Y ESTRIAS</t>
  </si>
  <si>
    <t>DUREX PRESERVATIVO PLACER PROLONGADO X3UND</t>
  </si>
  <si>
    <t>DUREX REAL FEEL S/LATEX X3UND</t>
  </si>
  <si>
    <t>DUREX SENSITIVO DELG. X 12</t>
  </si>
  <si>
    <t>DUREX SENSITIVO DELGADO. 3 UNIDADES</t>
  </si>
  <si>
    <t>DUTAMSUVITAE DUTASTERIDA + TAMSULOSINA CLORHIDRATO 0.5MG +0.4 MG X30CAPS LAB.GALENICUM</t>
  </si>
  <si>
    <t>DUTASVITAE DUTASTERIDA 0.5MG X30CAPS LAB. GALENICUM</t>
  </si>
  <si>
    <t>DVIDA MAX 100.000 U.I.</t>
  </si>
  <si>
    <t>DVIDAMAX COLECALCIFEROL 100UI 1G LAB.ABDRINACO</t>
  </si>
  <si>
    <t>DVIDAMAX COLECALCIFEROL 50.000 U.I. 4.4 G LAB. ANDROMACO</t>
  </si>
  <si>
    <t>EAU DE TOILETTE. CITRIK 100 ML.</t>
  </si>
  <si>
    <t>EBATENE TIOCOLHICOSIDO 8MG X20COMP LAB. MEGALABS</t>
  </si>
  <si>
    <t>ECHINACEA+VIT C 20COMP KNOP</t>
  </si>
  <si>
    <t>ECO TRAPER SHAMPOO 250ML AVENA</t>
  </si>
  <si>
    <t>ECO-CAT COLLAR REPELENTE DE PULGAS PARA GATOS X1UND DRAG PHARMA</t>
  </si>
  <si>
    <t>ECO-DOG REPELENTE DE PULGAS COLLAR X1UNIDAD LAB. DRAG PHARMA</t>
  </si>
  <si>
    <t>EFICACINA CLINDAMICINA 1G X30G LAB. HELEVCIA PHARMA</t>
  </si>
  <si>
    <t>EL VIVE.ACO.MATIZ.MORADO .150ML</t>
  </si>
  <si>
    <t>ELASTOMULL4CMX4M</t>
  </si>
  <si>
    <t>ELBRUS RASAGILINA 1MG X30COMP LAB. DEUTCHE</t>
  </si>
  <si>
    <t>ELCALD CALCIO + VITAMINA D3 320MG + 125UO X30COMP LAB. ANDROMACO</t>
  </si>
  <si>
    <t>ELCALD FORTE CALCIO +VITAMINA D 450MG + 175UI X30 CAPS. LAB. ANDROMACO</t>
  </si>
  <si>
    <t>ELCALD FORTE CALCIO 450MG + VITAMINA D 175 U.I.</t>
  </si>
  <si>
    <t>ELCALKID CALCIO + VITAMINA D 5ML X180ML LAB. ANDROMACO</t>
  </si>
  <si>
    <t>BEBIDAS REFRIGERADOR</t>
  </si>
  <si>
    <t>ELECTROLIT BLUE RASPBERRY SABOR FRAMBUESA X625ML</t>
  </si>
  <si>
    <t>ELECTROLIT FRUTILLA KIWI X 625 ML</t>
  </si>
  <si>
    <t>ELECTROLIT FRUTILLA X 625 ML</t>
  </si>
  <si>
    <t>ELECTROLIT HIDRATACION PREMIUM SABOR MARACUYA X625ML</t>
  </si>
  <si>
    <t>ELECTROLIT HIDRATACION PREMIUM SABOR NARANJA X625ML</t>
  </si>
  <si>
    <t>ELECTROLIT UVA X 625 ML</t>
  </si>
  <si>
    <t>ELECTROVET SUPLEMENTO NUTRICIONAL X500ML FRAG PHARMA</t>
  </si>
  <si>
    <t>ELIQUIS APIXABAN 2.5MG X60COMP LAB. PFIZER</t>
  </si>
  <si>
    <t>ELITE ALCOHOL DESNATURALIZADO 130ML</t>
  </si>
  <si>
    <t>ELITE ALCOHOL GATILLO 70'' 1000 CC. LAB . ELITE</t>
  </si>
  <si>
    <t>ELITE ALCOHOL GATILLO 95 '' 1000 CC. LAB. ELITE</t>
  </si>
  <si>
    <t>ELITE ALCOHOL GEL 60CC 70</t>
  </si>
  <si>
    <t>ELITE ALCOHOL GEL NEUTRO 70 % 500 ML. MAQUIPACK</t>
  </si>
  <si>
    <t>ELITIRAN DICLOFENACO SODICO 15MG X25ML LAB. MINTLAB</t>
  </si>
  <si>
    <t>ELIXINE LENTOCAPS TOFILINA 250MG 20CAPS LAB. SAVAL</t>
  </si>
  <si>
    <t>ELMEX ANTICARIES PROFESSIONAL  DENTAL 110GR</t>
  </si>
  <si>
    <t>ELMEX CREMA DENT SENSITIVE WHITENING 110G</t>
  </si>
  <si>
    <t>ELMEX SENSITIVE PROFESSIONAL 11OGR</t>
  </si>
  <si>
    <t>ELONTRIL XL X30 COMP</t>
  </si>
  <si>
    <t>ELTOVEN 2 TOLTERODINA L TARTRATO 2MG X30COMP. LAB MEGALABS</t>
  </si>
  <si>
    <t>ELVENIR 37.5MG FENTERMINA CLORHIDRATO X30COMP ABBOTT B</t>
  </si>
  <si>
    <t>ELVIVE ACEITE OLEO EXTRAORDINARIO 100 ML. LOREAL PARIS</t>
  </si>
  <si>
    <t>ELVIVE ACONDICIONADOR ANTI QUIEBRE CAIDA RESIST 370 ML LOREAL PARIS</t>
  </si>
  <si>
    <t>ELVIVE ACONDICIONADOR ELVIVE DREAM LISO X370 ML LOREAL PARIS</t>
  </si>
  <si>
    <t>ELVIVE ACONDICIONADOR ELVIVE GLYCOLIC GLOSS 370 ML LOREAL PARIS</t>
  </si>
  <si>
    <t>ELVIVE ACONDICIONADOR HIALURONICO PURE X370 ML LOREAL PARIS</t>
  </si>
  <si>
    <t>ELVIVE ACONDICIONADOR HIDRA HIALURONICO X370 ML LOREAL</t>
  </si>
  <si>
    <t>ELVIVE ACONDICIONADOR REPARADOR CON KERATIN X370 ML LOREAL PARIS</t>
  </si>
  <si>
    <t>ELVIVE ACONDICIONADOR REPARADOR CON KERATIN X370ML LOREAL PARIS</t>
  </si>
  <si>
    <t>ELVIVE CAIDA RESIST 370ML</t>
  </si>
  <si>
    <t>ELVIVE CAIDA RESIST CREMA PARA PEINAR ANTI QUIEBRE X300ML LOREAL</t>
  </si>
  <si>
    <t>ELVIVE COLOR VIVE LOREAL PARIS ACONDICIONADOR X370</t>
  </si>
  <si>
    <t>ELVIVE COLOR VIVE SHAMPOO 380ML</t>
  </si>
  <si>
    <t>ELVIVE CREMA PARA PEINAR CON ACIDO HIALURONICO X294G LOREAL</t>
  </si>
  <si>
    <t>ELVIVE CREMA PARA PEINAR DREAM LONG</t>
  </si>
  <si>
    <t>ELVIVE OLEO EXTRAORDINARIO CREMA PARA PEINAR 300ML LOREAL</t>
  </si>
  <si>
    <t>ELVIVE SERUM STOP FRIZZ DREAM LONG 100ML</t>
  </si>
  <si>
    <t>ELVIVE SHAMPOO HIDRA RELLENADOR 370ML</t>
  </si>
  <si>
    <t>ELVIVE SHAMPOO NUTRITIVO 370ML</t>
  </si>
  <si>
    <t>EMINENCE BLACK 50ML</t>
  </si>
  <si>
    <t>EMINENCE BLUE</t>
  </si>
  <si>
    <t>EMUBABY PAÑALES PREMIUM TALLA XG. 14 UNDS. EMUCHILE</t>
  </si>
  <si>
    <t>EMUBABY PAÑALES PREMIUM TALLA XXG 14 UNDS. EMUCHILE</t>
  </si>
  <si>
    <t>EMUBABY TOALLAS HUMEDAS CACE DE EMU X 50</t>
  </si>
  <si>
    <t>EMUBABY TOALLITAS 80 UNDS.</t>
  </si>
  <si>
    <t>EMULSION HIDRATANTE CERADERM HANDS CARE X50G</t>
  </si>
  <si>
    <t>EMULSIONADO NEUTRO 410 ML</t>
  </si>
  <si>
    <t>EMULSIONADO NEUTRO HIPOALERGENICO BABYLAND X270ML</t>
  </si>
  <si>
    <t>EMUMED ROPA INTERIOR DESECHABLE TALLA M X18</t>
  </si>
  <si>
    <t>EMUUWIP.TOA.HUM.BOS/T (2X1)</t>
  </si>
  <si>
    <t>ENALAPRIL MALEATO 10 MG. 20 COMP. LAB .OPKO</t>
  </si>
  <si>
    <t>ENALAPRIL MALEATO 10MG X20COMP. LAB. ANDROMACO</t>
  </si>
  <si>
    <t>ENALAPRIL MALEATO 20 MG. 20 COMP. LAB. OPKO</t>
  </si>
  <si>
    <t>ENCLYNA 10MG LAB. BAGO</t>
  </si>
  <si>
    <t>ENCLYNA DUO 12,5 /1000MG</t>
  </si>
  <si>
    <t>ENCRESPADOR</t>
  </si>
  <si>
    <t>ENCRESPADOR DE PESTANAS</t>
  </si>
  <si>
    <t>ENDULSANTE ESTEVIA DAILY 270ML</t>
  </si>
  <si>
    <t>ENDULZANTE DAILY SUCRALOSA 150 TABLETAS</t>
  </si>
  <si>
    <t>ENDULZANTE DAILY SUCRALOSA 90+10ML</t>
  </si>
  <si>
    <t>ENDULZANTE DAILY SUCRALOSA X180ML</t>
  </si>
  <si>
    <t>ENDULZANTE LIQUIDO 270ML SUCRALOSA</t>
  </si>
  <si>
    <t>ENDULZANTE TABLETAS 110 STEVIA DAILY</t>
  </si>
  <si>
    <t>ENHORA SILDENAFILO 100MG X20COMP LAB OPKO</t>
  </si>
  <si>
    <t>ENHORA SILDENAFILO 50MG X10 COMP LAB OPKO</t>
  </si>
  <si>
    <t>ENHORA SILDENAFILO 50MG X20COMP LAB. OPKO</t>
  </si>
  <si>
    <t>ENJUAGUE BUCAL VITIS SENSIBLE 500ML</t>
  </si>
  <si>
    <t>ENO LIMON SAL DE FRUTA CAJA 30SOB GSK 5G</t>
  </si>
  <si>
    <t>ENO LIMON SAL DE FRUTA FRASC GSK 100G</t>
  </si>
  <si>
    <t>ENO LIMON SAL DE FRUTA SOB 1UNI GSK 5G</t>
  </si>
  <si>
    <t>ENO LIMON X60 SOBRES</t>
  </si>
  <si>
    <t>ENO REGULAR SAL DE FRUTA CAJA 30SOB GSK 5G</t>
  </si>
  <si>
    <t>ENO REGULAR SAL DE FRUTA FRASC GSK 100G</t>
  </si>
  <si>
    <t>ENO SAL DE FRUTA</t>
  </si>
  <si>
    <t>ENO SAL DE FRUTA XUND</t>
  </si>
  <si>
    <t>ENSURE ADVANCE SABOR CHOCOLATE. 850 GRS.</t>
  </si>
  <si>
    <t>ENSURE ADVANCE SABOR FRUTILLA - PLATANO 850G.</t>
  </si>
  <si>
    <t>ENSURE ADVANCE SABOR VAINILLA.850 GRS.</t>
  </si>
  <si>
    <t>ENSURE CHOCOLATE 850 G</t>
  </si>
  <si>
    <t>ENSURE FRUTILLA 850 G</t>
  </si>
  <si>
    <t>ENSURE SABOR FRUTILLA X850G ABBOTT</t>
  </si>
  <si>
    <t>ENSURE SABOR VAINILLA 850G.</t>
  </si>
  <si>
    <t>ENSURE VAINILLA 850 g</t>
  </si>
  <si>
    <t>ENTEROL SACCHAROMYCES BOULARDII 250MG X10SOBRES LAB. SANITAS</t>
  </si>
  <si>
    <t>ENTRESTO 100MG 56 COMP</t>
  </si>
  <si>
    <t>ENTRESTO SACUBITRILO VALSARTAN ACIDO LIBRE ANHIDRO 200MG</t>
  </si>
  <si>
    <t>EPIDERMIS DE SEMILLA DE PSYLLIUM 18 SOBRES DE 5G</t>
  </si>
  <si>
    <t>EPIDUO FORTE GEL TOPICO 0.3/2.5 30G</t>
  </si>
  <si>
    <t>EPIGENETIC SERUM 30ML EUCERIN</t>
  </si>
  <si>
    <t>ERITROFER COMPLEJO DE HIERRO 50ML X20ML LAB. DEUTSCHE</t>
  </si>
  <si>
    <t>ERITROMICINA ETILSUCCINATO 500MG X8COMP LAB.MILAB</t>
  </si>
  <si>
    <t>ESANTEST PLUS TEST DE EMBARAZO X1UND</t>
  </si>
  <si>
    <t>ESC ESCITALOPRAM 20MG X30 COMP. LAB EUROFARMA</t>
  </si>
  <si>
    <t>ESCAPEL 1 LEVONORGESTREL 15 MG.</t>
  </si>
  <si>
    <t>ESCAPEL 2 LEVONORGESTREL 0.75MG X2UND</t>
  </si>
  <si>
    <t>ESCITALOPRAM 10 MG X30 COMP. LAB. ETHON</t>
  </si>
  <si>
    <t>ESCITALOPRAM 10 MG. 30 COMP. LAB. SEVENPHARMA</t>
  </si>
  <si>
    <t>ESCITALOPRAM 10MG 30COMP. OPKO</t>
  </si>
  <si>
    <t>ESCITALOPRAM 10MG X30 COMP. LCH B</t>
  </si>
  <si>
    <t>ESCITALOPRAM 20 MG. 30 COMP. LAB. SEVEN PHARMA</t>
  </si>
  <si>
    <t>ESCITAVIAE ESCITALOPLAN 20MG X28COMP LAB. GALENICUM</t>
  </si>
  <si>
    <t>ESMALTE DE UNAS AZUL PETROLEO PZZO</t>
  </si>
  <si>
    <t>ESMALTE DE UNAS DANS GLOW 15ML</t>
  </si>
  <si>
    <t>ESMALTE DE UNAS EMPODERADA 10ML VOGUE</t>
  </si>
  <si>
    <t>ESMALTE LASTING PRO SAMY 14.5ML 122 ZIMBABUE</t>
  </si>
  <si>
    <t>ESMALTE LASTING PRO SAMY 14.5ML 258 SIRIA</t>
  </si>
  <si>
    <t>ESMALTE VOGUE GEL FIESTA X14ml</t>
  </si>
  <si>
    <t>ESOMEPRAZOL 20 MG. 30 CAPS. LAB. SEVEN PHARMA</t>
  </si>
  <si>
    <t>ESOMEPRAZOL 20MG X30CAPS ASCEND B</t>
  </si>
  <si>
    <t>ESOMEPRAZOL 40 MG. 30 CAPS. LAB.HETERO</t>
  </si>
  <si>
    <t>ESOMEPRAZOL 40 MG. 30 COMP. LAB. OPKO</t>
  </si>
  <si>
    <t>ESOMEPRAZOL 40MG 30CAPS LAB. BIOEQUIVALENTE</t>
  </si>
  <si>
    <t>ESOMEPRAZOL CAPSULAS 40 MG X 30</t>
  </si>
  <si>
    <t>ESPERCIL ACIDO TRANEXAMICO 500MG X20COMP LAB. GRUMENTHAL</t>
  </si>
  <si>
    <t>ESPIRONOLACTONA 25 MG. 20 COMP. LAB. ANDROMACO</t>
  </si>
  <si>
    <t>ESPIRONOLACTONA 25MG X20COMP. LAB. LCH</t>
  </si>
  <si>
    <t>ESPUMA TOPICA XINDER CLOBETASOL PROPIONATO 60G AL 0.05</t>
  </si>
  <si>
    <t>ESPUNA MOUSSE RIZOS DEFINIDOS PANTENE X227G</t>
  </si>
  <si>
    <t>ESTREVA GEL TOPICO ESTRADIOL 0.1</t>
  </si>
  <si>
    <t>ESTUCHE BABYLAND SHAMPOO NEUTROCOLONIAEMULSIONADO NEUTRO</t>
  </si>
  <si>
    <t>ESTUCHE SIMONDS BABY EMULSIONADO DE VASELINA GOLDEN LOCION BABY SHAMPOO NEUT.</t>
  </si>
  <si>
    <t>ESZOPLICONA 3 MG. 30 COMP. RECUBIERTOS. LAB CHILE</t>
  </si>
  <si>
    <t>ETHONAZOL CLOTRIMAZOL 1 GR CREMA 20 GR LAB ETHON</t>
  </si>
  <si>
    <t>ETIENNE DELINEADOR DE OJOS XUND</t>
  </si>
  <si>
    <t>ETIENNE ENCRESPADOR DE PESTANAS 1 UND. LAB. ETIENNE PROFESSIONAL</t>
  </si>
  <si>
    <t>ETIENNE FIJADOR DE MAQUILLAJE FIX XTRA 100ML</t>
  </si>
  <si>
    <t>ETIQUET ACTION CREMA 60GR</t>
  </si>
  <si>
    <t>ETIQUET MEN ROLLON 60G</t>
  </si>
  <si>
    <t>ETIQUET WOM DESODORANTE CREMA X30GRS</t>
  </si>
  <si>
    <t>ETIQUET WOMEN CLASICO ROLL-ON 60G</t>
  </si>
  <si>
    <t>ETORICOXIB 120 MG. SEVEN PHARMA 7 COMP.</t>
  </si>
  <si>
    <t>ETOVITAE 90MG ETORICOXIB X14COMP. GALENICUM B</t>
  </si>
  <si>
    <t>ETOVITAE ETORICOXIB X60MG X14 COMP</t>
  </si>
  <si>
    <t>EUCERIN ACEITE CORPORAL ANTI-ESTRIAS X125ML LAB BEIERSDORF</t>
  </si>
  <si>
    <t>EUCERIN AQUAPHOR REPAIR OINT EUC 49G</t>
  </si>
  <si>
    <t>EUCERIN ATOP CREM FAC.50ML</t>
  </si>
  <si>
    <t>EUCERIN ATOP.CR.FAC.50ML</t>
  </si>
  <si>
    <t>EUCERIN BABY BANO Y SHAMPOO CON DEXPANTENOL Y MANTECA DE KARITE 400ML</t>
  </si>
  <si>
    <t>EUCERIN BLOQUIADOR TOQUE SECO</t>
  </si>
  <si>
    <t>EUCERIN DEODORANT 24 HRAS.</t>
  </si>
  <si>
    <t>EUCERIN DERM.FLU.HD.MA 50ML 52G</t>
  </si>
  <si>
    <t>EUCERIN DERMO CAPILLAIRE ANTI CASPA SECA SHAMPOO CREMA X250ML BEIERSDORF</t>
  </si>
  <si>
    <t>EUCERIN DERMO CAPILLAIRE ANTICASPA SHAMPOO GEL X250ML</t>
  </si>
  <si>
    <t>EUCERIN GEL CR OIL CONTROL  TOQUE SECO F50 50ML</t>
  </si>
  <si>
    <t>EUCERIN HYALURON-FILLER NOCHE 50 Ml</t>
  </si>
  <si>
    <t>EUCERIN OIL C TIN F50 50ML</t>
  </si>
  <si>
    <t>EUCERIN OIL GEL 150+PSOL 50</t>
  </si>
  <si>
    <t>EUCERIN PH5 PIEL SENCIBLE LOCION LIGERA X400ML BEIERSDORF</t>
  </si>
  <si>
    <t>EUCERIN PHOT CON F50 MD 50</t>
  </si>
  <si>
    <t>EUCERIN PIGM CONTROL F50 50ML TEXTURA LIGERA</t>
  </si>
  <si>
    <t>EUCERIN POMADA REPARADORA</t>
  </si>
  <si>
    <t>EUCERIN PROTECTOR SOLAR ANTI-BRILLO TONO CLARO</t>
  </si>
  <si>
    <t>EUCERIN PROTECTOR SOLAR KIDS SPRAY 50FPS 200ML</t>
  </si>
  <si>
    <t>EUCERIN SUN FL PROT F50 50ML</t>
  </si>
  <si>
    <t>EUCERIN UREA REPAIR PIEL SECA EXTRE. SECA 10 UREA LOCION X400ML BEIERSDORF</t>
  </si>
  <si>
    <t>EUROGESIC ADULTO NAPROXENO SODICO 275 MG X10 COMP. LAB SABAL</t>
  </si>
  <si>
    <t>EUROGESIC FORTE NAPROXENO SODICO 550MG X 10COMP. LS</t>
  </si>
  <si>
    <t>EUROGESIC INFANTIL NAPROXENO SODICO 125MG5ML X60ML SAVAL</t>
  </si>
  <si>
    <t>EUROGESIC INFANTIL NAPROXENO SODICO 50MG 6 SUPOSITORIOS LAB. SAVAL</t>
  </si>
  <si>
    <t>EUROVIR 200MG 100ML</t>
  </si>
  <si>
    <t>EUTIROX LEVOTIROXINA 100MCG X100COMP LAB. MERCK</t>
  </si>
  <si>
    <t>EUTIROX LEVOTIROXINA 25MCG X50COMP LAB.MERCK</t>
  </si>
  <si>
    <t>EUTIROX LEVOTIROXINA 50MCG X50COMP LAB. MERCK</t>
  </si>
  <si>
    <t>EUTIROX LEVOTIROXINA 75MCG X50COMP LAB.MERCK</t>
  </si>
  <si>
    <t>EUTIROX LEVOTIROXINA SODICA 112MCG X50COMP LAB. MERCK</t>
  </si>
  <si>
    <t>EUTIROX LEVOTIROXINA SODICA 125MCG X50 COMP LAB. MERCK</t>
  </si>
  <si>
    <t>EUTIROX LEVOTIROXINA SODICA 137MCG 50COMP LAB. MERCK</t>
  </si>
  <si>
    <t>EUTIROX LEVOTIROXINA SODICA 150MCG X50COMP LAB. MERCK</t>
  </si>
  <si>
    <t>EUTIROX LEVOTIROXINA SODICA 175 MCG X50COMP LAB. MERCK</t>
  </si>
  <si>
    <t>EUTIROX LEVOTIROXINA SODICA 200MCG X50 COMP LAB MERK</t>
  </si>
  <si>
    <t>EUTIROX LEVOTIROXINA SODICA 88MCG X50COMP LAB. MERCK</t>
  </si>
  <si>
    <t>EUTROGENA ANTIEDAD 100G</t>
  </si>
  <si>
    <t>EVISSA JABO JARDIN LAVANDA X3UND</t>
  </si>
  <si>
    <t>EVISSA JARDIN DE ROSAS 4X70G</t>
  </si>
  <si>
    <t>EVITTA-1 COMP GEOD RICH 15MG</t>
  </si>
  <si>
    <t>EXACTA 2 DELICADA X 3UND</t>
  </si>
  <si>
    <t>EXELRING ANTICONCEPTIVO 1 UND. ANILLO LAB. EXELTIS</t>
  </si>
  <si>
    <t>EXFOLIANTE FACIAL OIL FREE CLEAR WASH NEUTROGENA X124ML</t>
  </si>
  <si>
    <t>EXFOLIANTE ISDIN GLICOISDIN 10 X50G</t>
  </si>
  <si>
    <t>EXPANSION PLUS HILO DENTAL MENTA 50M JOHNSON Y JOHNSON</t>
  </si>
  <si>
    <t>EXTOSEN JARABE X100ML SANITAS B</t>
  </si>
  <si>
    <t>EXTRACTO DE GINKO BILOBA NOKATAR 40MG</t>
  </si>
  <si>
    <t>EXTRACTOR DE LECHE BOCA ESTANDAR PIGEON</t>
  </si>
  <si>
    <t>EXTRACTOR DE LECHE MANUAL BEST HOUSE</t>
  </si>
  <si>
    <t>EYEBROW TIJERA UÑAS PUNT FINA 1 UND LAB.BEAUTY</t>
  </si>
  <si>
    <t>EYESHADOW 1O COLORES</t>
  </si>
  <si>
    <t>EYKOSACOL ACEITE MARINO EPADHA 300MG X60 CAPS LAB.PROCAPS</t>
  </si>
  <si>
    <t>EYKOSACOL OMEGA 3 ACEITE MARINO EPADHA 300MG KNOP</t>
  </si>
  <si>
    <t>EZETROL EZETIMIBA 10MG X30COMP LAB. ORGANON</t>
  </si>
  <si>
    <t>EZOPICLONA 3 MG 30 COMP. HETERO</t>
  </si>
  <si>
    <t>EZTIM EZETIMIBA 10MG 28 COMP</t>
  </si>
  <si>
    <t>F.L.T. SHAMPOO MEDICADO PERROS Y GATOS AZUFRE 2+PEROXIDO DE BENZOILO 2.5 X150ML DRAG PHARMA</t>
  </si>
  <si>
    <t>FACIMIN OXIMETAZOLINA CLORHIDRATO 50MG 10ML LAB. MILAB</t>
  </si>
  <si>
    <t>FAM SET ALGODON HIDROFILO EN ZIG ZAG X100GRS SOCOFAR</t>
  </si>
  <si>
    <t>FAM SET ALGODON HIDROFILO NAPA PR 100GR</t>
  </si>
  <si>
    <t>FAM SET PACK 10 PANUELOS DESECHABLES SUAVES. OFERTA 10X18UND.</t>
  </si>
  <si>
    <t>FAM SET TAPONES DE OIDOS</t>
  </si>
  <si>
    <t>FAMIDAL TINIDAZOL-NITRATO DE MICONAZOL</t>
  </si>
  <si>
    <t>FAMILAND SHAMPOO DETOX 750ML</t>
  </si>
  <si>
    <t>FAMILAND TODO TIPO DE CABELLO BIO SHAMPOO</t>
  </si>
  <si>
    <t>FAMILLAND SHAMPOO DETOX BRILLO 750ML</t>
  </si>
  <si>
    <t>FAMILY SET ALMENDRAS 3X90GRS</t>
  </si>
  <si>
    <t>FAMILY SET APOSITO TRANSPARENTE + PAD 6X10CMS 3 APOSITOS SOCOFAR</t>
  </si>
  <si>
    <t>FAMILY SET APOSITOS TRANSPARENTES 6X7CM X3UND. FAMILY SET</t>
  </si>
  <si>
    <t>FAMILY SET BOTIQUIN 25 ARTICULOS</t>
  </si>
  <si>
    <t>FAMILY SET CINTA ADHESIVA 2.50 CMS. SOCOFAR</t>
  </si>
  <si>
    <t>FAMILY SET CINTA ADHESIVA TIPO PAPEL 9.1MTS SOCOFAR</t>
  </si>
  <si>
    <t>FAMILY SET CINTA PAPEL 1.25 CM X 9.1 M-FAMILY SET</t>
  </si>
  <si>
    <t>FAMILY SET CINTA PLA /D1.25X9,1</t>
  </si>
  <si>
    <t>FAMILY SET CLASICO TALLA M X 8</t>
  </si>
  <si>
    <t>FAMILY SET GASA ESTERILIZADA X10 UNI</t>
  </si>
  <si>
    <t>FAMILY SET GASA NO ADHERENTE ESTERILIZADA 10 UNDS. SOCOFAR</t>
  </si>
  <si>
    <t>FAMILY SET PACK VARITAS DE ALGODON 2X200 SOCOFAR</t>
  </si>
  <si>
    <t>FAMILY SET PARCHE ANTIROCES PARA PIES X12UNIDADES SOCOFAR</t>
  </si>
  <si>
    <t>FAMILY SET PARCHE CURITA HIDROCOLOIDE X10UND. SOCOFAR</t>
  </si>
  <si>
    <t>FAMILY SET PARCHE CURITA NEON X30UNIDADES SOCOFAR</t>
  </si>
  <si>
    <t>FAMILY SET PARCHES CLASICOS SURTIDOS X30UND SOCOFAR</t>
  </si>
  <si>
    <t>FAMILY SET PARCHES CLASICOS X20UND LAB. SOCOFAR</t>
  </si>
  <si>
    <t>FAMILY SET PARCHES CURITA DISENO NIÑAS X30UNIDADES SOCOFAR</t>
  </si>
  <si>
    <t>FAMILY SET PARCHES CURITA DISENO NIÑOS X30UNIDADES SOCOFAR.</t>
  </si>
  <si>
    <t>FAMILY SET PARCHES CURITAS TRANSPARENTES X60UNIDADES SOCOFAR</t>
  </si>
  <si>
    <t>FAMILY SET SUTURAS ADHESIVAS 10X32CM X9UND. SOCOFAR</t>
  </si>
  <si>
    <t>FAMILY SET TALCO DESODORANTE PARA PIES X 200G</t>
  </si>
  <si>
    <t>FAMILY SET TERMOMETRO DIGITAL PUNTA FLEXIBLE</t>
  </si>
  <si>
    <t>FAMILY SET VENDA ELASTICA 10CMX4.5M X1UND. SOCOFAR</t>
  </si>
  <si>
    <t>FAMILY SET VENDA ELASTICA 7.5CM X 4.5M X1UND SOCOFAR</t>
  </si>
  <si>
    <t>FAMILY SET VENTA GASA ELASTICA DE FIJACION 10CM X 4 MTS</t>
  </si>
  <si>
    <t>FAMILYSET PARCHE OCULAR 5,8X8,3CM</t>
  </si>
  <si>
    <t>FAMOTIDINA 20MG X20 COMP. LAB SEVEN PHARMA</t>
  </si>
  <si>
    <t>FAMOTIDINA 20MG. X20COMP. LAB LCH</t>
  </si>
  <si>
    <t>FAMOTIDINA 40MG X10COMP LAB. DE CHILE</t>
  </si>
  <si>
    <t>FAMOTIDINA 40MG X10COMP. OPKO B</t>
  </si>
  <si>
    <t>FAMSET APOSITO LARGO UNISEX ADULTOS Y NINOS X20UND</t>
  </si>
  <si>
    <t>FAMSET CEPILLO DENTAL SUAVE PACK X2</t>
  </si>
  <si>
    <t>FAMSET FRESH MINT ENJUAGUE BUCAL MENTA FRESCA 250ML SOCOFAR</t>
  </si>
  <si>
    <t>FAMSET PANTS GXG PANAL TIPO CALZON 8</t>
  </si>
  <si>
    <t>FAMSET ROPA INTERIOR DESECHABLE PANTS GXG X16UND</t>
  </si>
  <si>
    <t>FAMSET STRONG MINT ENJUAGUE BUCAL MENTA FUERTE 250ML SOCOFAR</t>
  </si>
  <si>
    <t>FAMSET TAPONES DE OIDO DESECHABLES X 4 PARES SOCOFAR</t>
  </si>
  <si>
    <t>FAMYLI SET GASA NO ADHERENTE ESTERILIZADA 10UND SOCOFAR</t>
  </si>
  <si>
    <t>FAMYLI SET KARITE Y VERBENA 3X90GRS</t>
  </si>
  <si>
    <t>FAPRIS DESVENLAFAXINA 100MG TECNOFARMA B</t>
  </si>
  <si>
    <t>FAPRIS DEVELAFAXINA 50MG X30COMP LAB. TECNOFARMA</t>
  </si>
  <si>
    <t>FARMACEROTO</t>
  </si>
  <si>
    <t>FARMACEROTTO APOSITO IMPERMEABLE TRASPARENTE X20UND FARMAC ZABBAN</t>
  </si>
  <si>
    <t>FARMACEROTTO KIDS APOSITO DE POLIETILENO TRANSPARENTE 40UND FARMAC ZABBAN</t>
  </si>
  <si>
    <t>FARMACTIVE HIDROGEL 15GR X1UND</t>
  </si>
  <si>
    <t>FASARAX HIDROXIZIA 20MG X20COMP LAB. PRATER</t>
  </si>
  <si>
    <t>FASARAX JARABE HIDROXIZINA 10 MG5 ML. 120ML PRATER B</t>
  </si>
  <si>
    <t>FE-RROVIT SUPLEMENTO ALIMENTICIO X200ML LAB. ALQUIMIA VERDE</t>
  </si>
  <si>
    <t>FEMELLE DROSPIRENONA 3MGETINILESTRADIOL 0.03 MG. 28 COMP. ABBOUTT</t>
  </si>
  <si>
    <t>FEMELLE FOL 3MG 28COM</t>
  </si>
  <si>
    <t>FEMELLE20 3MG/2OMCG ABBOTT</t>
  </si>
  <si>
    <t>FENITOINA SODICA 100MG. X30COMP. LAB. CH</t>
  </si>
  <si>
    <t>FENOKOMP 39 MEDICAMENTO HOMEOPATICO 90 COMP. LAB. KNOP</t>
  </si>
  <si>
    <t>FENTEX FENTERMINA CLORHIDRATO 37.5MG X30CAPS SANITAS B</t>
  </si>
  <si>
    <t>FERBEX FENOFIBRATO 200MG X30CAP LAB. CHILE</t>
  </si>
  <si>
    <t>FERRANEM ACIDO ASCORBICO + ACIDO FOLICO + CIANOBALAMINA 100MG + 2MG + 330MG X30COMP LAB. CHEMO</t>
  </si>
  <si>
    <t>FERRANIM 30CAPS SAN</t>
  </si>
  <si>
    <t>FERRANIM ANTIANEMICO X30CAPS LAB. SANITAS</t>
  </si>
  <si>
    <t>FERRIGOT SULFATO FERROSO 125MG X30ML LAB. PASTEUR</t>
  </si>
  <si>
    <t>FERULA DE DEDO TIPO C CON VELCRO TALLA M</t>
  </si>
  <si>
    <t>FERULA DEDO TIPO C</t>
  </si>
  <si>
    <t>FESANIL JARABE LEVODROPROPIZINA 30MG 5ML X120ML EUROFARMA B</t>
  </si>
  <si>
    <t>FESEMA SABUTAMOL 100MCG 200DOSIS LAB. CFT</t>
  </si>
  <si>
    <t>FEXOFENADINA CLORHIDRATO FEXOFENADINA CLORHIDRATO 30 MG X100ML LAB. CAPLIN POINT</t>
  </si>
  <si>
    <t>FIBORAN PIRFENIDONA 267MG X30CAPS LAB. ABBOTT</t>
  </si>
  <si>
    <t>FIBRASOL EPIDERMIS DE SEMILLA DE PSYLLIUM 200 GRS LAB. MAVER</t>
  </si>
  <si>
    <t>FIBRINOPET CONCENTRADO DE PAPAYA 300MG X10COMP LAB. IMPORTVET</t>
  </si>
  <si>
    <t>FIBROLOW LIDOSE FENOFIBRATO 200MG 30CAPS</t>
  </si>
  <si>
    <t>FIBROTINA LIDOSE FENOFIBRATO + RAVASTATINA 160MG + 40MG X30COMP LAB. SAVAL</t>
  </si>
  <si>
    <t>FIECTANE NAPROXENO 500 MG + ESOMEPRAZOL 20 MG. 10 COMP.</t>
  </si>
  <si>
    <t>FIJADOR FUERTE PARA EL CABELLO DUO X330ML</t>
  </si>
  <si>
    <t>FILCOS ETORICOXIB 90MG 14 COMP. RAFFO</t>
  </si>
  <si>
    <t>FIN ARTRIT GLUCOSAMINA+CONDROITINA X30SOBRES SABOR NARANJA GARDEN HOUSE</t>
  </si>
  <si>
    <t>FINAFLUX 5 FINASTERIDA 5MG X30 COMP. LAB. ASCEND</t>
  </si>
  <si>
    <t>FINAFLUX FINASTERIDA 1MG X90COMP LAB. ASCEND</t>
  </si>
  <si>
    <t>FINAGRIP IBUPROFENO + PSEUDOEFEDRINA CLORHIDRATO + CLORFENAMINA 200MG + 30MG + 2MG X100ML IPHSA</t>
  </si>
  <si>
    <t>FINAPET FENTERMINA CLORHIDRATO 37.5MG X30CAPS ANDROMACO B</t>
  </si>
  <si>
    <t>FINARTRIT FORTE GLUCOSAMINA + CONDROITINA 750MG + 600MG X60 COMP. LAB. GARDEN HOUSE</t>
  </si>
  <si>
    <t>FINARTRIT GLUCOSAMINA 500MG+CONDROITINA 400MG. X60COMP. GARDEN HOUSE</t>
  </si>
  <si>
    <t>FINDALER CETIRIZINA DICLORHIDRATO 5MG X100ML LAB. EUROFARMA</t>
  </si>
  <si>
    <t>FINDER SHAMPOO 100ML</t>
  </si>
  <si>
    <t>FIPRODRAG GATOS FIPRONIL 10 1 POMO DE 0.5ML ANTIPARASITARIO EXTERNO DRAG PHARMA</t>
  </si>
  <si>
    <t>FIPROKILL CONTRA PULGAS Y GARRAPATAS PERROS Y GATOS SOLUCION SPRAY FIPRONIL 0.25 X100ML DRAG PHARMA</t>
  </si>
  <si>
    <t>FIPROKILL CONTRA PULGAS Y GARRAPATAS PERROS Y GATOS SOLUCION SPRAY FIPRONIL 0.25 X50ML DRAG PHARMA</t>
  </si>
  <si>
    <t>FIPRONIL 10 PIPETA GATOS FRONTLINE PLUS X1UND PIPETA</t>
  </si>
  <si>
    <t>FISH OIL OMEGA 3 100G 30 CAPS LAB. CNP</t>
  </si>
  <si>
    <t>FISIOFER PROTEINSUCCINILATO DE HIERRO 40MG X120ML LAB. ITF</t>
  </si>
  <si>
    <t>FISIOFER PROTEINSUCCINILATO DE HIERRO 800 MG 10 FRASCOS MONODOSIS DE 15ML SOLUCION ORAL LAB. ITF</t>
  </si>
  <si>
    <t>FISIOLIMP PED.0.9 SOL.NAS.X30ML - PASTEUR</t>
  </si>
  <si>
    <t>FISIOLIMP soluc 0.9 50 ml</t>
  </si>
  <si>
    <t>FISIOMAR SOLUCION ISOTONICA DE AGUA DE MAR X125ML LAB. PASTEUR</t>
  </si>
  <si>
    <t>FIT SABANITAS 60-60CM X 10 UN</t>
  </si>
  <si>
    <t>FITOTRIT 90 CAPSULAS</t>
  </si>
  <si>
    <t>FITTIG COBRE SPRAY DESODORANTE 100G</t>
  </si>
  <si>
    <t>FITTIG EXPERT TALCO 60G</t>
  </si>
  <si>
    <t>FITTIG TALC DES LAB DUK 100G</t>
  </si>
  <si>
    <t>FITTING WILD BERRIES DESODORANTE SPRAY PARA PIES Y CALZADO 90G LAB ANDROMACO</t>
  </si>
  <si>
    <t>FIXODENT ADHESIVO DENTAL</t>
  </si>
  <si>
    <t>FIXOMULL GASA STRETCH 5-10 MT X 1 UNID -DM-</t>
  </si>
  <si>
    <t>FIXOMULL STRETCH TEJIDO AUTOADHESIVO 10CM X 10M X1UND BSN MEDICAL</t>
  </si>
  <si>
    <t>FLAMIR ADAPALENO 0.1% 30GRS GEL DERMICO LAB BAGO.</t>
  </si>
  <si>
    <t>FLAMIR GEL ADAPALENO X30G</t>
  </si>
  <si>
    <t>FLANO LOCION HOMBRE.200ML</t>
  </si>
  <si>
    <t>FLAPEX 4%SOLUCION ORAL GOTAS 15ML/ SIMETICONA</t>
  </si>
  <si>
    <t>FLAPEX E SIMETICONA 60MG X20 CAPS LAB. ANDROMACO</t>
  </si>
  <si>
    <t>FLAPEX SIMETICONA 4G 15ML LAB. ANDROMACO</t>
  </si>
  <si>
    <t>FLAPEXEX10 CAPS</t>
  </si>
  <si>
    <t>FLECTANE NAPROXENO + ESOMEPRAZOL 500MG + 20MG X10COMP LAB. SANITAS</t>
  </si>
  <si>
    <t>FLEMEX J.A.T. FORTE JARABE X120ML ABBOTT B</t>
  </si>
  <si>
    <t>FLEMEX J.A.T. JARABE X120ML ABBOTT</t>
  </si>
  <si>
    <t>FLEXFULL GEL DICLOFENACO DIETILAMINA 1.16G X35G LAB. GENOMMA</t>
  </si>
  <si>
    <t>FLEXIBLE BIBERON VIDRIO 120ML4OZ PIGEON</t>
  </si>
  <si>
    <t>FLEXIBLE BIBERON VIDRIO 50ML2OZ PIGEON</t>
  </si>
  <si>
    <t>FLEXIBLE BOTELLA VIDRIO 240ML8OZ PIGEON</t>
  </si>
  <si>
    <t>FLEXIVE CREMA</t>
  </si>
  <si>
    <t>FLIXONASE FLUTICASONA PROPIONATO 50MCG 120DOSIS LAB. GSK</t>
  </si>
  <si>
    <t>FLIXOTIDE  FÑUTICASONA POPIONATO  125MCG  120DOSIS  LAB. GSK</t>
  </si>
  <si>
    <t>FLIXOTIDE FLUTICASONA PROPIONATO 250MCG 120DOSIS LAB. GSK</t>
  </si>
  <si>
    <t>FLORA FIX PET</t>
  </si>
  <si>
    <t>FLORES DE BACH CONCENTRACION KIDS 30ML</t>
  </si>
  <si>
    <t>FLORES DE BACH HIPERACTIVIDAD 30ML KIDS</t>
  </si>
  <si>
    <t>FLORES DE BACH RELAX 30ML</t>
  </si>
  <si>
    <t>FLORES DE BACH SUENO KIDS</t>
  </si>
  <si>
    <t>FLOSSER APLICADOR DE HILO DENTAL X30UND. LAB. DENTAID</t>
  </si>
  <si>
    <t>FLOVOVERMIC ANTIPARASITARIO INTERNO 1COMPRIMIDO CAJA X60UND XXC20</t>
  </si>
  <si>
    <t>FLOVOVERMIC ANTIPARASITARIO INTERNO X60COMP 10KG DRAG PHARMA XXU20</t>
  </si>
  <si>
    <t>FLOVOVERMIC RAZA GRANDE X20COMP DRAG PHARMA XXU21</t>
  </si>
  <si>
    <t>FLOVOVERMIC RAZA GRANDE X20COMPR DRAG PHARMA XXC21</t>
  </si>
  <si>
    <t>FLUCLOXACILINA SAL SODICA 500MG X12CAPS LAB.CURAESPRING</t>
  </si>
  <si>
    <t>FLUCLOXACILINA SAL SODICA MONOHIDRATO 500MG X12CAPS LAB. MINTLAB</t>
  </si>
  <si>
    <t>FLUCONAZOL 150 MG X2 CAPS LAB. ETHON</t>
  </si>
  <si>
    <t>FLUCONAZOL 150 MG. 4 CAPS. LAB CHILE</t>
  </si>
  <si>
    <t>FLUCONAZOL 150MG</t>
  </si>
  <si>
    <t>FLUCONAZOL 150MG X2CAPS LAB. DE CHILE</t>
  </si>
  <si>
    <t>FLUCONAZOL 150MG X2CAPS LAB. OPKO</t>
  </si>
  <si>
    <t>FLUNARIZINA 10 MG. 30 COMP. PASTEUR B</t>
  </si>
  <si>
    <t>FLUNARIZINA 10MG 30 COMPRIMIDOS FLUXUS</t>
  </si>
  <si>
    <t>FLUNARIZINA DICLORHIDRATO 5 MG. 30 COMP. LAB.PASTEUR</t>
  </si>
  <si>
    <t>FLUO CARDENT KIDS</t>
  </si>
  <si>
    <t>FLUOMIZIN CLORURO DE DECAULINIO 10MG X6OVULOS LAB. MEDINOVA</t>
  </si>
  <si>
    <t>FLUOXETINA</t>
  </si>
  <si>
    <t>FLUOXETINA 20MG X20COMP MINTLAB B</t>
  </si>
  <si>
    <t>FLURELLE CRANBERRY+VITAMINA C X60 CAPS ANC</t>
  </si>
  <si>
    <t>FLUSACORT SALMETEROL + FLUTICASONA PROPIONATO 25MCG + 125MCG 120DOSIS LAB. HETERO</t>
  </si>
  <si>
    <t>FLUTICASYNT HFA FLUTICASONA PROPIONATO 250MGSALMETEROL 25MCG</t>
  </si>
  <si>
    <t>FLUTICORT FLUTICASONA PROP. inh 125 ug 120d</t>
  </si>
  <si>
    <t>FLUTIVATE FLUTICASONA PROPIONATO 0.05G X15G LAB. GSK</t>
  </si>
  <si>
    <t>FLUXAMOL 25025 AER INH 120DOS DM</t>
  </si>
  <si>
    <t>FLUXUS FLUNARIZINA 10MG X60COMP LAB. TECNOFARMA</t>
  </si>
  <si>
    <t>FOILLE UNG TOP BLIS 28G</t>
  </si>
  <si>
    <t>FOLIFER 30 CAPS</t>
  </si>
  <si>
    <t>FOLIFER 60CAPS SYNTHON</t>
  </si>
  <si>
    <t>FOLIFER ANTIANEMICO X30CAPS LAB. SYNTHON</t>
  </si>
  <si>
    <t>FOLISANIN ACIDO FOLICO 1MG. X30COMP LAB. SANITAS</t>
  </si>
  <si>
    <t>FOLISANIN ACIDO FOLICO 5MG. X30COMP. SANITAS B</t>
  </si>
  <si>
    <t>FORFLOW SOLUCION PARA ENEMA X133ML FAES FARMA</t>
  </si>
  <si>
    <t>FORLIP 10 ROSUVASTATINA 10MG X30COMP. LAB. ASCEND</t>
  </si>
  <si>
    <t>FORLIP 20 ROSUVASTATINA 20MG X30COMP. ASCEND B</t>
  </si>
  <si>
    <t>FORMADOR DE PEZON PIGEON</t>
  </si>
  <si>
    <t>FORMULA 1 30ML KNOP</t>
  </si>
  <si>
    <t>FORMULA II EXTRACTO FLUIDO 30ML</t>
  </si>
  <si>
    <t>FORTOTAL ACTIVE+ MULTIVITAMINICO+MINERALES X30CAP SIRIO PHARMA</t>
  </si>
  <si>
    <t>FORXIGA DAPAGLIFOZINA 10MG X28COMP LAB.ASTRAZENECA</t>
  </si>
  <si>
    <t>FOSFOSODA SABOR LIMON JENGIBRE X45ML RECORDATI</t>
  </si>
  <si>
    <t>FOSVAL ACIDO ALENDRONICO 70MG X12COMP LAB. SAVAL</t>
  </si>
  <si>
    <t>FOTOPROTECTOR HYDRO LOTION. SFP 50. 200 ML.</t>
  </si>
  <si>
    <t>FOTOPROTECTOR PEDIATRICO. FUSION FLUID MINERAL BABY. SPF 50. 50 ML.</t>
  </si>
  <si>
    <t>FRASCO ORINA ESTERIL GRADUADO 60ML</t>
  </si>
  <si>
    <t>FREEGEN 0.5% SOLUCION OFTALMICA</t>
  </si>
  <si>
    <t>FREEGEN GEL CARBOXIMETILCELULOSA SODICA 10MG X15ML LAB. OPHTHA</t>
  </si>
  <si>
    <t>FRENALER-D LORATADINA + PSEUDOEFEDRINA CLORHIDRATO 2.5 MG + 15MG X100ML LAB. DE CHILE</t>
  </si>
  <si>
    <t>FRESHMEL CLORHEXIDINA DICLORHIDRATO MIEL Y LIMON 5MG 12</t>
  </si>
  <si>
    <t>FRESHMEL MENTA FRESCA x 12 COMPRIMIDOS MASTICABLES</t>
  </si>
  <si>
    <t>FRONTLINE FIPRONIL 0.25 SPRAY PERROS Y GATOS X100ML BOEHRINGER I</t>
  </si>
  <si>
    <t>FRONTLINE FIPRONIL 0.25 SPRAY PERROS Y GATOS X250ML.</t>
  </si>
  <si>
    <t>FRONTLINE PIPETA ANTIPULGAS PERROS 10 KILOS 1 UND LAB. BOEHRINGER</t>
  </si>
  <si>
    <t>FRONTLINE PLUS PERROS ENTRE 20 Y 40 KILOS X1UND PIPETA BOEHRINGER</t>
  </si>
  <si>
    <t>FRONTLINE PLUS PERROS ENTRE 40 Y 60 KILOS</t>
  </si>
  <si>
    <t>FRONTLINE PLUS PIPETA PERRO 10-20 KG</t>
  </si>
  <si>
    <t>FRUCTIS GEL STYLE INVIS FTE X600 GARNIER</t>
  </si>
  <si>
    <t>FRUCTIS.GE.FIJ.HARD 600G</t>
  </si>
  <si>
    <t>FUCICORT ACIDO FUSIDICO + BETAMETASONA 20MG + 1MG X15G LAB. LEO</t>
  </si>
  <si>
    <t>FUCIN ACIDO FUSIDICO 2% X15G LAB DUBLIN</t>
  </si>
  <si>
    <t>FUCUS ESPECIAL COMP. KNOP</t>
  </si>
  <si>
    <t>FUNGOS 500 CLOTRIMAZOL 500MG. X1UND OVULO PASTEUR</t>
  </si>
  <si>
    <t>FUROSEMIDA 40MG X12COMP LCH B</t>
  </si>
  <si>
    <t>FUSIMED B ACIDO FUSIDICO 2% BETAMETASONA 0,1% EMULSION TOPICA 15G CASARA</t>
  </si>
  <si>
    <t>FUSIMED B ACIDO FUSIDICO 2BETAMETASONA 0.1</t>
  </si>
  <si>
    <t>GABATA GABAPENTINA 300MG X30CAPS LAB. ASCEND</t>
  </si>
  <si>
    <t>GABEX GABAPENTINA 300MG X30CAPS LAB. ANDROMACO</t>
  </si>
  <si>
    <t>GALVUS MET 501000MG VILDAGLIPTINAMETFORMINA CLORHIDRATO 28COMP. NOVARTIS</t>
  </si>
  <si>
    <t>GALVUS MET 50850MG VILDAGLIPTINAMETFORMINA CLORHIDRATO 28COMP NOVARTIS</t>
  </si>
  <si>
    <t>GALVUS MET50/500MG LAB. NOVARTIS</t>
  </si>
  <si>
    <t>GALVUS VILDAGLIPTINA 50MG X28COMP LAB.NOVARTIS</t>
  </si>
  <si>
    <t>GAMALATE B6 X60COMP. ANDROMACO</t>
  </si>
  <si>
    <t>GAMALATE COMPLEJO VITAMINICO B X30COMP. LAB. ANDROMACO</t>
  </si>
  <si>
    <t>GANDHA PLUS CON MAGNESIO SUPLEMENTO ALIMENTICIO X120CAPS LAB. AURA VITALIS</t>
  </si>
  <si>
    <t>GARNI SERUM ACLA VIT C50M</t>
  </si>
  <si>
    <t>GARNIER 3.16</t>
  </si>
  <si>
    <t>GARNIER 4.15</t>
  </si>
  <si>
    <t>GARNIER 4.6</t>
  </si>
  <si>
    <t>GARNIER 5.3</t>
  </si>
  <si>
    <t>GARNIER 5.52</t>
  </si>
  <si>
    <t>GARNIER 6.1</t>
  </si>
  <si>
    <t>GARNIER 6.46</t>
  </si>
  <si>
    <t>GARNIER 7.0</t>
  </si>
  <si>
    <t>GARNIER 7.3</t>
  </si>
  <si>
    <t>GARNIER AGUA MICELAR  400ML</t>
  </si>
  <si>
    <t>GARNIER AGUA MICELAR 100ML</t>
  </si>
  <si>
    <t>GARNIER FRUCTIS ACONDICIONADOR ALOE HIDRA BOMB X350 ML LOREAL</t>
  </si>
  <si>
    <t>GARNIER FRUCTIS ACONDICIONADOR OIL REPAIR LISO COCO 350 ML LOREAL PARIS</t>
  </si>
  <si>
    <t>GARNIER FRUCTIS ACONDICIONADOR STOP CAIDA CRECE FUERTE X350 ML LOREAL</t>
  </si>
  <si>
    <t>GARNIER FRUTCTIS ACONDICIONADOR GOODBYE DANOS LARGO PERFECTO GARNIER FRUTCTIS X350ML</t>
  </si>
  <si>
    <t>GARNIER OBAO DERMO EFICACIA ANTITRANSPIRANTE X150ML LOREAL</t>
  </si>
  <si>
    <t>GARNIER OBAO DERMO EFICACIA HIALURONICO ANTITRANSPIRANTE X65G</t>
  </si>
  <si>
    <t>GARNIER OBAO DERMO EFICACIA NIACINAMIDA INVISIBLE X65G GARNIER</t>
  </si>
  <si>
    <t>GARNIER OBAO DERMO EFICACIA VITAMINA C ACLARANTE ANTITRANSPIRANTE X65G GRANIER</t>
  </si>
  <si>
    <t>GARNIER SKINACTIVE NOCHE</t>
  </si>
  <si>
    <t>GARNIER SKINACTIVE VITAMINA C 50ML</t>
  </si>
  <si>
    <t>GARNIER VIT C AGUA MICELAR LIMPIA Y DESMAQUILLA 100ML</t>
  </si>
  <si>
    <t>GARNIER VITAMINA C ACLARA SERUM 30ML</t>
  </si>
  <si>
    <t>GASA 5 X 5 CMS. UND. CRAMBERRY</t>
  </si>
  <si>
    <t>GASA ESTERIL 7.5 X 7.5 CRANBERRY</t>
  </si>
  <si>
    <t>GASA ESTERIL BOLSA 90 X 90</t>
  </si>
  <si>
    <t>GASA ESTERIL CRANBERRY 7.5 X 7.5 CAJA 50 UNDS</t>
  </si>
  <si>
    <t>GASA ESTERILIZADA 10UND 5X5 8PLIEGUES</t>
  </si>
  <si>
    <t>GASA FIXOMULL STRETCH 15-10 MTS NO TEJIDA</t>
  </si>
  <si>
    <t>GASA FIXOMULL STRETCH 5-10 MT NO TEJ X1</t>
  </si>
  <si>
    <t>GASA HIDROFILA ESTERIL CRANBERRY 1UNIDAD</t>
  </si>
  <si>
    <t>GASA HIDROFILA PURA ESTERILIZADA 1X12YARDA</t>
  </si>
  <si>
    <t>GASA NO TEJIDA 10X10CM CRANBERRY</t>
  </si>
  <si>
    <t>GASA NO TEJIDA CRAMBERRY10X10 50 SOBRES X 2 UND</t>
  </si>
  <si>
    <t>GASA PARAFINADA FARMACTIVE 10X10CM X1UND MEDS CJ X</t>
  </si>
  <si>
    <t>GASA PARAFINADA UNIDAD</t>
  </si>
  <si>
    <t>GASA QUIRURGICA 1/4X1YD.</t>
  </si>
  <si>
    <t>GASOPAX 24COMP GMP</t>
  </si>
  <si>
    <t>GASTO ALIV 10 COMP MASTICABLE</t>
  </si>
  <si>
    <t>GASTRO ALIV 20 COMPRIMIDOS MASTICABLES</t>
  </si>
  <si>
    <t>Bodega 3 Jarabes (Segundo Piso)</t>
  </si>
  <si>
    <t>GASTRO ALIV 480ML MAVER</t>
  </si>
  <si>
    <t>GASTRO ALIV SO X240ML MAVER</t>
  </si>
  <si>
    <t>GASTROALIV SUSP. 120 ML.</t>
  </si>
  <si>
    <t>GASTROENTERIL METRONIDAZOL 2.5G 120ML LAB. DRAG PHARMA</t>
  </si>
  <si>
    <t>GASTROLEN 30COMP. CHEMA PHARMA</t>
  </si>
  <si>
    <t>GAVISCON 8 COMP. MASTICABLES</t>
  </si>
  <si>
    <t>GAVISCON ALGINATO DE SODIO/ CARBONATO DE CALCIO/BICARBONATO DE SODIO X 500MG X 267MG X 160 X150ML</t>
  </si>
  <si>
    <t>GAVISCON DOBLE ACCION 8 COMPRIMIDOS MASTICABLES</t>
  </si>
  <si>
    <t>GAVISCON DOBLE ACCION CAJA 12SACH REC-BE</t>
  </si>
  <si>
    <t>GAVISCON DOBLE ACCION SABOR MENTA JARABE X150ML LAB RECKITT BENCKISER</t>
  </si>
  <si>
    <t>GAVISCON DOBLE ACCION SACHET X10ML</t>
  </si>
  <si>
    <t>GAVISCON MENTA 250</t>
  </si>
  <si>
    <t>GAVISCON SAB MENTA CAJA 12SACH REC-BE</t>
  </si>
  <si>
    <t>GAVISCON SABOR MENTA SACHET X10ML</t>
  </si>
  <si>
    <t>GAVISCON SABOR MENTA SO X150ML REKITT</t>
  </si>
  <si>
    <t>GAZA STERILE COTTON GAUZE 20X24 90X90CM</t>
  </si>
  <si>
    <t>GAZA X2</t>
  </si>
  <si>
    <t>GEL AFTER SUN ALOE VERA X220G</t>
  </si>
  <si>
    <t>GEL ANTITRANSPIRANTE 82G GILLETTE</t>
  </si>
  <si>
    <t>GEL COMPUESTO 90GR PIERNAS CANSADAS</t>
  </si>
  <si>
    <t>GEL CREMA HIDRATANTE ALIVIANTE Y REPARADOR ISDIN ACNIBEN X40ML</t>
  </si>
  <si>
    <t>GEL DE BANO SYNDET AVENA SIMONDS DERMO CREAM</t>
  </si>
  <si>
    <t>GEL DE BANO SYNDET DERMO CREAM SIMONDS X400ML</t>
  </si>
  <si>
    <t>GEL FIJADOR DE FIJACION CAPILAR SPRING NATURAL X400G</t>
  </si>
  <si>
    <t>GEL FIJADOR EXTRA FUERTE 500G</t>
  </si>
  <si>
    <t>GEL FIJADOR GARNIER FRUCTIS STYLE EXTRA FUERTE 600G</t>
  </si>
  <si>
    <t>GEL LIMPIADOR ESPUMOSO CERAMIDE X400ML</t>
  </si>
  <si>
    <t>GEL LIMPIADOR ESPUMOSO CERAVE X473ML</t>
  </si>
  <si>
    <t>GEL LIMPIADOR PH5 PIEL SECA Y SENSIBLE X400 EUCERIN</t>
  </si>
  <si>
    <t>GEL LUBRICANTE CEREZAS DE PASION. DUREX 50 GRS.</t>
  </si>
  <si>
    <t>GEL LUBRICANTE COSQUILLAS DE PLACER. DUREX 50 GRS.</t>
  </si>
  <si>
    <t>GEL REPELENTE DE INSECTOS OFF DEFENSE BEBE+3ANOS X100ML</t>
  </si>
  <si>
    <t>GELACNE ADAPALENO + PERIOXIDO DE BENZOILO 0.10G + 2.50 X30G LAB. DEUTSCHE</t>
  </si>
  <si>
    <t>GEMFIBROZILO 300MG X30COMP LAB.MINTLAB</t>
  </si>
  <si>
    <t>GEMFIBROZILO 600MG X30COMP. LAB. PASTEUR</t>
  </si>
  <si>
    <t>GENGIGEL ACIDO HIALURONICO 0.2% X20ML LAB. RICERFARMA</t>
  </si>
  <si>
    <t>GENGIGEL ACIDO HIALURONICO 0.54% X20ML LAB. RICERFARMA</t>
  </si>
  <si>
    <t>GENGIGEL ACIDO HIALURONICO 10ML X150ML LAB. RICERFARMA</t>
  </si>
  <si>
    <t>GENIOL ANTIGRIPAL X30 SOBRES CALIENTE NOCHE POLVO LAB. MINTLAB</t>
  </si>
  <si>
    <t>GENIOL COMPUESTO CALIENTE DIA X30 SOBRES</t>
  </si>
  <si>
    <t>GENIOL COMPUESTO CALIENTE NOCHE POLVO PARA SOLUCION X3UND</t>
  </si>
  <si>
    <t>GENIOL COMPUESTO POLVO PARA SOLUCION CALIENTE DIA X3UND</t>
  </si>
  <si>
    <t>GENIOL FLU DN PARACETAMOL + PSEUDOEFRDRINA SULFATO +CLORFENAMINA MALEATO 500MG + 4MG+ 60MG X20 COMP</t>
  </si>
  <si>
    <t>GENIOL FLU PARACETAMOL + PREUDOEFEDRINA SULFATO + CLORFENAMINA MALEATO 125MG + 30MG + 2MG X100ML LA</t>
  </si>
  <si>
    <t>GENIOL INFANTIL PARACETAMOL 80MG X16COMP LAB. MINTLAB</t>
  </si>
  <si>
    <t>GENIOL INFANTIL PARACETAMOL SO GOTAS 100MGML X15ML MINTLAB</t>
  </si>
  <si>
    <t>GENIOL NIÑOS PARACETAMOL 160MG X16COMP LAB. MINTLAB</t>
  </si>
  <si>
    <t>GENTAMICINA 0.1 CREMA. 10 GRS. LAB CHILE</t>
  </si>
  <si>
    <t>GENTAMICINA 0.3. UNGUENTO OFTALMICO 3.5. ETHON</t>
  </si>
  <si>
    <t>GENTAMICINA 01</t>
  </si>
  <si>
    <t>GENTAMICINA 1.0 MG + BETAMETASONA 0.5 MG. CREMA 15 GRS.</t>
  </si>
  <si>
    <t>GENTAMICINA 80MG X5 AMPOLLAS LAB. BIOSANO</t>
  </si>
  <si>
    <t>GENTAMICINA GENTAMICINA 0.3G X5ML LAB. ASCEND</t>
  </si>
  <si>
    <t>GENTAMICINA SOL. OFT. 03 HOSPIFARMA</t>
  </si>
  <si>
    <t>GESIDOL PARACETAMOL 120 MG X100ML LAB.EUROFARMA</t>
  </si>
  <si>
    <t>GESIPROCT TRIBENOSIDO 5 GRLIDOCAINA 2MG 30GR</t>
  </si>
  <si>
    <t>GIABRIL CIPROFIBRATO 100MG X30COMP. LAB.MERCK</t>
  </si>
  <si>
    <t>GILLETTE AFTER SHAVE GEL 75ML</t>
  </si>
  <si>
    <t>GILLETTE MACH 3 REPUESTO PARA AFEITAR</t>
  </si>
  <si>
    <t>GILLETTE VENUS SUAVE ALOE VERA</t>
  </si>
  <si>
    <t>GINECOPAST DUAL OVULOS-10- Y CREMA VAGINAL-20GRS- TINIDAZOL+MICONAZOL PASTEUR</t>
  </si>
  <si>
    <t>GINECOPAST MICONAZOL NITRATO + TINIDAZOL 100MG + 150MG X10OVULOS LAB. PASTEUR</t>
  </si>
  <si>
    <t>GINEDAZOL DUAL TINIDAZOL + MICONAZOL 150MG + 100MG X10OVULOS LAB. DE CHILE</t>
  </si>
  <si>
    <t>GINEDAZOL TINIDAZOL + MICANAZOL 150MG + 100MG X10OVULOS LAB. TEVA</t>
  </si>
  <si>
    <t>GINEMAXIM 40 MG. CIMICIFUGA RACEMOSA 60 COM</t>
  </si>
  <si>
    <t>GINKO BILOBA 80 MG. 60 CAPS.</t>
  </si>
  <si>
    <t>GINKO BILOBA L. 80 MG. 30 CAPS.</t>
  </si>
  <si>
    <t>GINKOMAX GINKGOBILOBAL L. 120CAP MEGAL 80MG</t>
  </si>
  <si>
    <t>GINODERM GEL</t>
  </si>
  <si>
    <t>GINSENG 300 60 CAPSULAS</t>
  </si>
  <si>
    <t>GINSENG T.M. GOTAS ORALES X30ML KNOP</t>
  </si>
  <si>
    <t>GLAFORNIL 850MG LAB. MERCK</t>
  </si>
  <si>
    <t>GLAFORNIL XR METFORMINA CLORHIDRATO 1000MG X30COMP LAB. MERCK</t>
  </si>
  <si>
    <t>GLAFORNIL XR METFORMINA CLORHIDRATO 500MG X30COMP LAB.MERCK</t>
  </si>
  <si>
    <t>GLAFORNIL XR METFORMINA CLORHIDRATO 750MG X30COMP LAB. MERCK</t>
  </si>
  <si>
    <t>GLANDTIROID SUPLEMENTO ALIMENTICIO X60CAPS LAB. ALQUIMIA VERDE</t>
  </si>
  <si>
    <t>GLAUPAX METFORMINA CLORHIDRATO 1000MG X30COMP LAB. PASTEUR</t>
  </si>
  <si>
    <t>GLAUPAX X500</t>
  </si>
  <si>
    <t>GLAUPAX XR METFORMINA CLORHIDRATO 500 MG X30COMP. LAB. PASTEUR</t>
  </si>
  <si>
    <t>GLAUPAX XR METFORMINA CLORHIDRATO 750MG X30 COMP LAB.PASTEUR</t>
  </si>
  <si>
    <t>GLEMAZ GLIMEPIRIDA 4MG X30COMP LAB.BAGO</t>
  </si>
  <si>
    <t>GLIBENCLAMIDA 5MG. X60COMP. LAB LCH B</t>
  </si>
  <si>
    <t>GLICENEX METFORMINA 500MG X30COMP LAB.BAGO</t>
  </si>
  <si>
    <t>GLICERINA PURA 1000ML DROGUERIA NUNOA</t>
  </si>
  <si>
    <t>GLICERINA PURA X60ML. LAB. RAVEPHARMA</t>
  </si>
  <si>
    <t>GLICOMIC PET SUPLEMENTO ALIMENTICIO 125ML LAB. MICROSULES</t>
  </si>
  <si>
    <t>GLICOPAN PET SUPLEMENTO VITAMINICO X125ML LAB. VETNIL</t>
  </si>
  <si>
    <t>GLICOSOL 750XR METFORMINA CLORHIDRATO 750MG 30COMP OPKO</t>
  </si>
  <si>
    <t>GLICOSOL XR METFORMINA CLORHIDRATO 500MG X30COMP LAB. OPKO</t>
  </si>
  <si>
    <t>GLIMEFOR XR METFORMINA CLORHIDRATO 500MG X30COMP LAB. ASCEND</t>
  </si>
  <si>
    <t>GLITTER EYELINER PETRIZZO</t>
  </si>
  <si>
    <t>GLITTER EYELINER PINK DOLCE BELLA 8ML</t>
  </si>
  <si>
    <t>GLOBIFER FORTE 40 TAB</t>
  </si>
  <si>
    <t>GLOBIFER FORTE PLUS 40 TABL</t>
  </si>
  <si>
    <t>GLOBULO 7 COMPUESTOS KNOP</t>
  </si>
  <si>
    <t>GLOBULO COMPUESTO 46 X15G KNOP</t>
  </si>
  <si>
    <t>GLOBULOS 1 COMPUESTOS X15G KNOP</t>
  </si>
  <si>
    <t>GLOBULOS 104 HOMEOPATIA ALEMAN</t>
  </si>
  <si>
    <t>GLOBULOS 105 KNOP</t>
  </si>
  <si>
    <t>GLOBULOS 108 COMPLEJOS X15GR KNOP</t>
  </si>
  <si>
    <t>GLOBULOS 11 COMPUESTOS KNOP</t>
  </si>
  <si>
    <t>GLOBULOS 128 COMPUESTOS X15GR KNOP</t>
  </si>
  <si>
    <t>GLOBULOS 129 COMPLEJOS 15GR KNOP</t>
  </si>
  <si>
    <t>GLOBULOS 13 COMPUESTOS X15GR KNOP</t>
  </si>
  <si>
    <t>GLOBULOS 130 COMPLEJOS X15GR KNOP</t>
  </si>
  <si>
    <t>GLOBULOS 14 COMPUESTOS KNOP</t>
  </si>
  <si>
    <t>GLOBULOS 146 COMPLEJOS X15GR KNOP</t>
  </si>
  <si>
    <t>GLOBULOS 15 COMPUESTOS X15GR KNOP</t>
  </si>
  <si>
    <t>GLOBULOS 151 COMPLEJOS X15GR KNOP</t>
  </si>
  <si>
    <t>GLOBULOS 152 HOMEOPATIA ALEMAN</t>
  </si>
  <si>
    <t>GLOBULOS 18 COMPUESTOS X15GR KNOP</t>
  </si>
  <si>
    <t>GLOBULOS 2 COMPUESTOS X15GR KNOP</t>
  </si>
  <si>
    <t>GLOBULOS 21 COMPUESTOS KNOP</t>
  </si>
  <si>
    <t>GLOBULOS 25 COMPUESTOS KNOP</t>
  </si>
  <si>
    <t>GLOBULOS 26 COMPUESTOS KNOP</t>
  </si>
  <si>
    <t>GLOBULOS 28 COMPUESTOS X15GR KNOP</t>
  </si>
  <si>
    <t>GLOBULOS 29 COMPUESTOS X15GR KNOP</t>
  </si>
  <si>
    <t>GLOBULOS 3 COMPUESTOS X15G KNOP</t>
  </si>
  <si>
    <t>GLOBULOS 30 KNOP</t>
  </si>
  <si>
    <t>GLOBULOS 33 COMPUESTOS KNOP</t>
  </si>
  <si>
    <t>GLOBULOS 4 COMPUESTOS X15GR KNOP</t>
  </si>
  <si>
    <t>GLOBULOS 5 COMPUESTO X15GR KNOP</t>
  </si>
  <si>
    <t>GLOBULOS 50 KNOP</t>
  </si>
  <si>
    <t>GLOBULOS 51 COMPUESTOS KNOP</t>
  </si>
  <si>
    <t>GLOBULOS 54 COMPUESTOS X15GR KNOP</t>
  </si>
  <si>
    <t>GLOBULOS 6 COMPUESTOS X15GR KNOP</t>
  </si>
  <si>
    <t>GLOBULOS 8 COMPUESTOS X15GR KNOP</t>
  </si>
  <si>
    <t>GLOBULOS 9 COMPUESTOS X15G KNOP</t>
  </si>
  <si>
    <t>GLOBULOS D-12 HOMEOPATIA ALEMAN</t>
  </si>
  <si>
    <t>GLOBULOS D6 HOMEOPATIA ALEMAN GLOBULOS KNOP</t>
  </si>
  <si>
    <t>GLUCERNA SABOR VAINILLA 850G ABBOTT</t>
  </si>
  <si>
    <t>GLUCOL CAP X90CAPS LAB. AURA VITALIS</t>
  </si>
  <si>
    <t>GLUCOMANAM 22.8MG X60CAPS LAB. VALLE DE SOL</t>
  </si>
  <si>
    <t>GLUCOSA 5% SOL INY  X1000</t>
  </si>
  <si>
    <t>GLUCOSAMINA SULFATO + CONDROITINA SULFATO 60 CAP.</t>
  </si>
  <si>
    <t>GLUCOSAN METFORMINA CLORHIDRATO 500MG X30COMP LAB.SANITAS</t>
  </si>
  <si>
    <t>GLUCOVANCE METFORMINA CL-GLI 30COMP MER 50025</t>
  </si>
  <si>
    <t>GLUCOVANCE METFORMINA CLORHIDRATO + GILBENCLAMIDA 500MG + 5MG X30COMP LAB.MERCK</t>
  </si>
  <si>
    <t>GOFYL QUETIAPINA 200MG X30COMP LAB. AXON PHARMA</t>
  </si>
  <si>
    <t>GOICOECHEA ULTRANUTRITIVA 400 ML + ULTRA X 200</t>
  </si>
  <si>
    <t>GOJI 340MG X60CASP LAB. AURA VITALIS</t>
  </si>
  <si>
    <t>GOJI BERRY 300MG X90CAP LAB. VALLE Y SOL</t>
  </si>
  <si>
    <t>GOLD CLASSIC MILLIONAIRE</t>
  </si>
  <si>
    <t>GOMITAS DE EUCALIPTUS</t>
  </si>
  <si>
    <t>GORILA MOCO GEL GAMER X270GR</t>
  </si>
  <si>
    <t>GORILA MOCO GEL PUNK 270GR</t>
  </si>
  <si>
    <t>GORILA MOCO GEL PUNK 340GR</t>
  </si>
  <si>
    <t>GORILA MOCO GEL PUNK X80GR</t>
  </si>
  <si>
    <t>GORILA MOCO PUNK X200ML</t>
  </si>
  <si>
    <t>GORRO CLIP EXAMCARE DESH BLANCO X100</t>
  </si>
  <si>
    <t>GORRO DUCHA PREFACE</t>
  </si>
  <si>
    <t>GOTARIO PLASTICO GRADUADO</t>
  </si>
  <si>
    <t>GOTAS DE COLOR AGATA RUIS DE LA PRADA SPRAY 50ML</t>
  </si>
  <si>
    <t>GOTAS LUBRICANTES Y REHUMECTANTES PARA LENTES DE CONTACTO RENU PLUS</t>
  </si>
  <si>
    <t>GOTELY DUO DUTASTERIDA + TAMSULOSINA CLORHIDRATO 0.5MG + 0.4MG X30 CAPS TECNOFARMA B</t>
  </si>
  <si>
    <t>GOTELY TAMSULOSINA CLOHIDRATO 0.4 MG. 30 CAPS</t>
  </si>
  <si>
    <t>GRAPHITES COMPUESTA GOTAS ORALES X30ML KNOP</t>
  </si>
  <si>
    <t>GRAPHITES UNG. 10 35GR.</t>
  </si>
  <si>
    <t>GRAVICUR GRAVIOLA + CURCUMA 400MG + 100MG X60CAP LAB. ALQUIMIA VERDE</t>
  </si>
  <si>
    <t>GRAVIOLA 340MG X60CAPS LABMUNDO NATURAL SPA</t>
  </si>
  <si>
    <t>GRIPP - HEEL 50 COMPRIMIDOS LABORATORIO HEEL</t>
  </si>
  <si>
    <t>GRIPPAKIT GLOBULOS 1 GR. UND</t>
  </si>
  <si>
    <t>GROOMEN 300 CART 3 NAV 2</t>
  </si>
  <si>
    <t>GROOMEN MAQ+3CART+ESTUCHE</t>
  </si>
  <si>
    <t>GUANTE DE EXAMINACION NITRILO 100UND CON POLVO</t>
  </si>
  <si>
    <t>GUANTE DE EXAMINACION NITRILO TALLA S</t>
  </si>
  <si>
    <t>GUANTE EXAMEN DE LATEX TALLA M COLOR BLANCO</t>
  </si>
  <si>
    <t>GUANTE EXAMEN DE NITRILO XS 100UND TRESOR</t>
  </si>
  <si>
    <t>GUANTE EXAMEN VINILO LP BCO TRESORTALLA S X 100 UND</t>
  </si>
  <si>
    <t>GUANTE EXFOLIANTE PREFACE</t>
  </si>
  <si>
    <t>GUANTES DE EXAMINACION DE NITRILO LP COLOR BLANCOS TALLA S</t>
  </si>
  <si>
    <t>GUANTES DE EXAMINACION DE VINILO 100UND</t>
  </si>
  <si>
    <t>GUANTES DE EXAMINACION DE VINILO LP COLOR BLANCOS TALLA M CLEAN CARRIER</t>
  </si>
  <si>
    <t>GUANTES DE EXAMINACION VITRILO TALLA M X100UND</t>
  </si>
  <si>
    <t>GUANTES DE LATEX TALL S CON POLVO 100 UNIDADES . TRESSOR</t>
  </si>
  <si>
    <t>GUANTES DE LATEX TALLA S CON POLVO. 100 UNIDADES. TRESOR</t>
  </si>
  <si>
    <t>GUANTES DE NITRILO LARGOS</t>
  </si>
  <si>
    <t>GUANTES DE NITRILO SIN POLVO TALLA L</t>
  </si>
  <si>
    <t>GUANTES DE VINILO TALLA L</t>
  </si>
  <si>
    <t>GUANTES ESTERIL 7 1/2</t>
  </si>
  <si>
    <t>GUANTES EXAMEN DE NITRILO COLOR AZUL TALLA S</t>
  </si>
  <si>
    <t>GUANTES EXAMEN DE NITRILO TALLA L 100 GUANTES TRESOR</t>
  </si>
  <si>
    <t>GUANTES EXAMEN DE NITRILO TALLA M</t>
  </si>
  <si>
    <t>GUANTES EXAMEN DE NITRILO X100 TALLA M TRESOR COLOR AZUL COBALTO</t>
  </si>
  <si>
    <t>GUANTES EXAMEN DE VINILO X100UND</t>
  </si>
  <si>
    <t>GUANTES LATEX TALLA M CON POLVO. 100 UND. TRESOR</t>
  </si>
  <si>
    <t>GUANTES NITRILO SIN POLVO TALLA S CLEANCARRIER 100UND NITRILE</t>
  </si>
  <si>
    <t>GUANTES TRESOR NITRILO AZUL T_S</t>
  </si>
  <si>
    <t>GUANTES TRESOR VINILO T/L X100 UNIDADES</t>
  </si>
  <si>
    <t>GUARANA 175MG X60CAPS LAB. AURA VITALIS</t>
  </si>
  <si>
    <t>GUARANA 60 CAPS CNP</t>
  </si>
  <si>
    <t>GUARANA ALIMENTO PARA DEPORTISTAS X60CAP LAB. VALLE Y SOL</t>
  </si>
  <si>
    <t>GUATERO INFANTIL 2 LTS. THERMICA. DISNEY</t>
  </si>
  <si>
    <t>GUMMIES COLAGENO + BIOTINA + VIT C 155 + 150 + 202 X30GOMITAS LAB. GREEN MEDICAL</t>
  </si>
  <si>
    <t>GUTAPERCHA INDIVIDUAL</t>
  </si>
  <si>
    <t>GUTRON 5MG X10 COMP</t>
  </si>
  <si>
    <t>HAIR AND NAILS GUMMIES SUPLEMENTO VITAMINICO X30GOMITAS LAB. GREEN MEDICAL</t>
  </si>
  <si>
    <t>HAIR REPAIR 9+200ML</t>
  </si>
  <si>
    <t>HAIR&amp;NAILS VITAMINS 30GMTS</t>
  </si>
  <si>
    <t>HALOPERIDOL 1.0MG X30COMP LAB. SYNTHON</t>
  </si>
  <si>
    <t>HALOPERIDOL 5.0 MG. 20 COMP. SYNTHON</t>
  </si>
  <si>
    <t>HAMAMELIS COMPUESTO GOTAS ORALES X30ML KNOP</t>
  </si>
  <si>
    <t>HAMAMELIS CREMA 100G KNOP</t>
  </si>
  <si>
    <t>HAMAMELIS D6 KNOP</t>
  </si>
  <si>
    <t>HAMAMELIS EXT. BLANDO HAMALELIS + BIDESTILADO HAMAMELIS + EXT. FLUIDO AESCULUS 0.017G + 0.085G +0.0</t>
  </si>
  <si>
    <t>HASYUN DEXAMETASONA 0.25MG X10COMP LAB. DRAG PHARMA</t>
  </si>
  <si>
    <t>HAZARD LARGA DURACION GEL CAPILAR STYLING GEL X210GRS</t>
  </si>
  <si>
    <t>HEAD AND SHOULDERS PURIFICACION CAPILAR 375ML</t>
  </si>
  <si>
    <t>HEAD SHOULDERS CRECE FUERTE RAIZ SHAMP PG 375ML</t>
  </si>
  <si>
    <t>HEAD Y SHOULDERS LIMPIEZA RENOVADORA X375ML</t>
  </si>
  <si>
    <t>HEAD Y SHOULDERS MANZANA FRESH X2 SHAMPOO</t>
  </si>
  <si>
    <t>HEADS AND SHOULDERS MANZANA FRESH SHAMPOO 375ML</t>
  </si>
  <si>
    <t>HEADSHOULDERS HIDRATACION AC COCO SHAMP PG 375ML</t>
  </si>
  <si>
    <t>HEADSHOULDERS LIMPIEZA RENOVADORA SHAMP PG 375ML</t>
  </si>
  <si>
    <t>HEADSHOULDERS MEN SHAMP PG 375ML</t>
  </si>
  <si>
    <t>HEEL GASTRICUMEL X 50 COMPRIMIDOS SUBLINGUAL</t>
  </si>
  <si>
    <t>HEEL LYMPHOMYOSOT GOTAS</t>
  </si>
  <si>
    <t>HEEL NEUXERAN X 50 COMP</t>
  </si>
  <si>
    <t>HELLO UNICOR SPAKLE X88ML</t>
  </si>
  <si>
    <t>HEMOFOLIC SUPLEMENTO ALIMENTICIO X30COMP LAB. EXELTIS</t>
  </si>
  <si>
    <t>HEMOMIC PET SUPLEMENTO ALIMENTICIO X60ML LAB. MICROSULES</t>
  </si>
  <si>
    <t>HEMORROISAN CREMA DE 50MG</t>
  </si>
  <si>
    <t>HEMOVAL HIERRO 100MG X40COMP LAB. SAVAL</t>
  </si>
  <si>
    <t>HEPABOL HUEN SUPLEMENTO ALIMENTICIO X200ML LAB. ALQUIMIA VERDE</t>
  </si>
  <si>
    <t>HEPABYL VITAL ALCACHOFA + BOLDO + PROPOLEO 80MG +80MG + 80MG X60CAPS LAB. AURA VITALIS</t>
  </si>
  <si>
    <t>HEPROTEC ESTIMULANTE DE APETITO CANINO X180ML LAB. DRAG PHARMA</t>
  </si>
  <si>
    <t>HERCAMPURI X60 CAPS LAB. GREEN MEDICAL</t>
  </si>
  <si>
    <t>HEROLAN SF 200DOS TEV 10050MCG DOS</t>
  </si>
  <si>
    <t>HERPLEX-L L-LISINA 400MG X30ML LAB. DRAG PHARMA</t>
  </si>
  <si>
    <t>HEXALECTOL ACIDO GLUTAMICO + VITAMINA B6 400MG + 2.00MG X50COMP LAB. SYNTHON</t>
  </si>
  <si>
    <t>HIDRA SHOCK PETRIZZIO X50G</t>
  </si>
  <si>
    <t>HIDRA SHOCK TOALLITAS DESMAQUILLATES X25UNIDADES LAB. PETRIZZIO</t>
  </si>
  <si>
    <t>HIDRA TOTAL 5 CON COLAGENO 35+ X50ML LOREAL</t>
  </si>
  <si>
    <t>HIDRA TOTAL 5 DIA MATIFICANTE HIDRATACION+ANTI BRILLO X50ML LOREAL</t>
  </si>
  <si>
    <t>HIDRALAZINA CLORHIDRATO 50MG. X30COMP. HETERO B</t>
  </si>
  <si>
    <t>HIDRASEC RACECADOTRILO 100MG X9CAPS LAB. FERRER</t>
  </si>
  <si>
    <t>HIDRIUM 5MG COM.20</t>
  </si>
  <si>
    <t>HIDRIUM X20 COMP</t>
  </si>
  <si>
    <t>HIDRO FUNGAL CLASSIC 50ML54G</t>
  </si>
  <si>
    <t>HIDROCLORITIAZIDA 50MG X20COMP LAB. OPKO</t>
  </si>
  <si>
    <t>HIDROCLOROTIAZIDA 50MG. X20COMP. LCH</t>
  </si>
  <si>
    <t>HIDROCORTISONA 20MG. X20COMP. LAB CHILE</t>
  </si>
  <si>
    <t>HIDROCORTISONA ACETATO 1 CREMA TOPICA 15 G</t>
  </si>
  <si>
    <t>HIDROCORTISONA ACETATO 1. CREMA TOPICA X15GRS. ETHON</t>
  </si>
  <si>
    <t>HIDROFEROL CALCIFEDIOL MONOHIDRATO 0.266MG X3CAPS LAB. FAES FARMA</t>
  </si>
  <si>
    <t>HIDROFUGAL FORTE SP 150 ML.DOPPEL SCHTZ</t>
  </si>
  <si>
    <t>HIDROICOLOIDE 10X10X10 ROKYMEDS</t>
  </si>
  <si>
    <t>HIDRORONOL - T HIDROCLOROTIAZIDA + TRIAMTERENO 25MG + 50MG X24COMP LAB. ITF-LABOMED</t>
  </si>
  <si>
    <t>HIDRORONOL HIDROCLOROTIAZIDA 50MG 24COMP LAB. ITF-LAB</t>
  </si>
  <si>
    <t>HIDRORONOL-T COM 60</t>
  </si>
  <si>
    <t>HIDROXICLOROQUINA SULFATO 200MG X30COMP. LCH B</t>
  </si>
  <si>
    <t>HIERBA DE SAN JUAN 300MG X60CAPS LAB. MUNDO NATURAL SPA</t>
  </si>
  <si>
    <t>HIGIENE INTIMA FEMENINA GINLAC DAILY X200ML</t>
  </si>
  <si>
    <t>HILO DENTAL COLGATE 2PACK COLGATE</t>
  </si>
  <si>
    <t>HILO DENTAL ECO KIDS X 36 UND DENTWELL</t>
  </si>
  <si>
    <t>HILO DENTAL ORALB X2</t>
  </si>
  <si>
    <t>HILO ORAL- B 2PACK</t>
  </si>
  <si>
    <t>HIPOGLOS HIPOALERGENICOS 72G X1POMADA LAB ANDROMACOS</t>
  </si>
  <si>
    <t>HIPOGLOSS NF. POMADA 20 GRS.</t>
  </si>
  <si>
    <t>HIPOGLUCEMIAN 300 mg 60 Caps - Alquimia Verde</t>
  </si>
  <si>
    <t>HIPOGLUCEMIAN SUPLEMENTO ALIMENTICIO X60CAPS LAB. ALQUIMIA VERDE</t>
  </si>
  <si>
    <t>HIPOGLUCIN METFORMINA CLORHIDRATO 1000MG X30COMP LAB. DE CHILE</t>
  </si>
  <si>
    <t>HIPOGLUCIN METFORMINA CLORHIDRATO 500MG X30 COMP LAB TEVA</t>
  </si>
  <si>
    <t>HIPOGLUCIN METFORMINA CLORHIDRATO 750MG X30COMP LAB. DE CHILE</t>
  </si>
  <si>
    <t>HOJAS DE ALEJANDRIA X 24 G</t>
  </si>
  <si>
    <t>HOME CONTROL TEST DRUG THC</t>
  </si>
  <si>
    <t>HOME CONTROL TEST DRUG THC COCAINE</t>
  </si>
  <si>
    <t>HOME SWEET HOME DESINFECTANTE ELIMINA OLORES X360ML</t>
  </si>
  <si>
    <t>HOMECONTROL LA PREPIE TEST 5 DRUGS</t>
  </si>
  <si>
    <t>HOMEOPATIA MUNDO NATURAL CYNARA COMPUESTO 30 ML. LAB. MUNDO NATURAL</t>
  </si>
  <si>
    <t>HOSPIFARMA CLARITROMICINA 250MG X60ML LAB. CAPLIN POINT</t>
  </si>
  <si>
    <t>HUB CABESTRILLO TALLA L</t>
  </si>
  <si>
    <t>HUB CLINIC FAJA DE 3 BANDAS COMPRESION INTERMEDIO TALLA L X3UND SOCOFAR</t>
  </si>
  <si>
    <t>HUB CLINIC RODILLERA DE NEOPRENO CON SOPORTE ROTULIANO TALLA M 1UND SOCOFAR</t>
  </si>
  <si>
    <t>HUB CLINIC RODILLERA DE NEOPRENO CON SOPORTE TALLA L X1UND SOCOFAR</t>
  </si>
  <si>
    <t>HUB MUÑEQUERA</t>
  </si>
  <si>
    <t>HUB SPORT CINTA ADHESIVA NEUROMUSCULAR 5CM X 5MTS X1UND SOCOFAR</t>
  </si>
  <si>
    <t>HUB SPORT CINTA ADHESIVA NEUROMUSCULAR 5CM X5MTS X1UND SOCOFAR</t>
  </si>
  <si>
    <t>HUB SPORT COMPRESA FRIO-CALOR X1UND. SOCOFAR</t>
  </si>
  <si>
    <t>HUB SPORT MUNEQUERA DE NEOPRENO CON DEDO TALLA L 1UND SOCOFAR</t>
  </si>
  <si>
    <t>HUB SPORT TOBILLERA ELASTICADA TALLA L X1UND. SOCOFAR</t>
  </si>
  <si>
    <t>HUB SPORT VENDA ELASTICA AUTOADHERENTE 7.5CM X 4.5CM X1UND SOCOFAR</t>
  </si>
  <si>
    <t>HUB TOBILLERA ELAST TALLA M</t>
  </si>
  <si>
    <t>HUGGIES ACTIVE SEC TALLA XXG 12 UNDS. KIMBERLY</t>
  </si>
  <si>
    <t>HUGGIES PRIMER 1000 PR X 30</t>
  </si>
  <si>
    <t>HUGGIES TOALLITAS HUMEDAS X48 UND</t>
  </si>
  <si>
    <t>HUGGIS PAÑAL DISN R.N X34</t>
  </si>
  <si>
    <t>HYABAK ACIDO HIALUROMICO 0.15% X300GOTAS LAB. THEA</t>
  </si>
  <si>
    <t>HYLO GEL COLIRIO LUBRICANTE 10ML</t>
  </si>
  <si>
    <t>HYPERICUM TM 30ML</t>
  </si>
  <si>
    <t>IABAMES CD ACIDO IBADRONICO + CALCIO 500MG + 8.0MG X31CAPS LAB. ANDROMACO</t>
  </si>
  <si>
    <t>IANSA CERO K ALULOSA + SUCRALOSA 250ML IANSAGRO</t>
  </si>
  <si>
    <t>IBAMES ACIDO IBANDRONICO 150MG X1COMP LAB. ANDROMACO</t>
  </si>
  <si>
    <t>IBUCALM 400 IBUPROFENO 400MG X10CAPS LAB. OPKO</t>
  </si>
  <si>
    <t>IBUCALM 400MG 20 CAPS.</t>
  </si>
  <si>
    <t>IBUCALM IBUPROFENO 600MG X10COMP LAB OPKO</t>
  </si>
  <si>
    <t>IBUFREN FORTE IBUPROFENO 200MG X100ML S. ORAL LAB. PASTEUR</t>
  </si>
  <si>
    <t>IBUPIRAC 10 CAPSULAS BLANDAS 400MG CHEMA PHARMA</t>
  </si>
  <si>
    <t>IBUPIRAC 600MG 10 CAPS</t>
  </si>
  <si>
    <t>IBUPROFENO 100 MG 5 ML X 100 ML LAB ETHON</t>
  </si>
  <si>
    <t>IBUPROFENO 100 ML. NIÑO</t>
  </si>
  <si>
    <t>IBUPROFENO 20 MG. 20 COMP. RECUBIERTOS. LAB ASCEND</t>
  </si>
  <si>
    <t>IBUPROFENO 200MG5ML OPKO</t>
  </si>
  <si>
    <t>IBUPROFENO 400MG X20COMP LCH B</t>
  </si>
  <si>
    <t>IBUPROFENO 400MG. X20COMP. LAB.OPKO B</t>
  </si>
  <si>
    <t>IBUPROFENO 600MG X20COMP LAB. OPKO B</t>
  </si>
  <si>
    <t>IBUPROFENO 600MG X20COMP LCH B</t>
  </si>
  <si>
    <t>IBUPROFENO 600MG X20COMP. ASCEND B</t>
  </si>
  <si>
    <t>IBUPROFENO CAPSULAS BLANDAS 400MG 10CAP ACTRON</t>
  </si>
  <si>
    <t>IDENA ACIDO IBANDRONICO 150MG X1COMP LAB. TECNOFARMA</t>
  </si>
  <si>
    <t>IDON DOMPERIDONA 10MG X15ML LAB. SAVAL</t>
  </si>
  <si>
    <t>IDON DOMPERIDONA 10MG X30CAPS LAB. SAVAL</t>
  </si>
  <si>
    <t>IDON SO DOMPERIDONA 1MG1ML X100ML LS</t>
  </si>
  <si>
    <t>IGNATIA COMPUESTA FCO X 30 CC KNOP</t>
  </si>
  <si>
    <t>IKOPLEX N10 GASTRITIS</t>
  </si>
  <si>
    <t>IKOPLEX N23 BRONQUITIS KNOP</t>
  </si>
  <si>
    <t>ILIADIN OXIMETAZOLINA 10ML</t>
  </si>
  <si>
    <t>ILICIT 10.0</t>
  </si>
  <si>
    <t>ILICIT 3.0 CASTANO OSCURO</t>
  </si>
  <si>
    <t>ILICIT 5.0 CASTANO CLARO</t>
  </si>
  <si>
    <t>ILICIT 6.1</t>
  </si>
  <si>
    <t>ILICIT 6.35 AVELLANA</t>
  </si>
  <si>
    <t>ILICIT 6.66 GUINDA</t>
  </si>
  <si>
    <t>ILICIT 7.1 RUBIO MEDIO CENIZA 675ML</t>
  </si>
  <si>
    <t>ILICIT 8.1 RUBIO CLARO CENIZA</t>
  </si>
  <si>
    <t>ILICIT 9.0 RUBIO EXTRA CLARO</t>
  </si>
  <si>
    <t>ILICIT EXTRA BLOND DECOLORANTE X 20G</t>
  </si>
  <si>
    <t>ILICIT N-7.0 RUBIO MEDIO</t>
  </si>
  <si>
    <t>ILICIT RUBIO CLARO 8.0</t>
  </si>
  <si>
    <t>ILTUX HCT OLMESARTAN MEDOXOMILO + HIDROCLOROTIAZIDA 40MG + 12.5MG X28COMP</t>
  </si>
  <si>
    <t>ILTUX HCT OLMESARTAN MEDOXOMILOHIDROCLOROTIAZIDA 20MG12.5 X28COMP. TECNOFARMA</t>
  </si>
  <si>
    <t>ILTUX OLIMESARTAN MEDOXOMILO 20MG X28COMP LAB. TECNOFARMA</t>
  </si>
  <si>
    <t>ILTUX OLMESARTAN MEDOXOMILO 40 MG.</t>
  </si>
  <si>
    <t>ILTUXAM 405 OLMESARTAN MEDOXOMILO AMLODIPINO</t>
  </si>
  <si>
    <t>ILTUXAM HCT OLMESARTAN MEDOXOMILO + AMLODIPINO + HIDROCLOROTIAZIDA 40MG + 5MG + 12.5MG X28COMP LAB.</t>
  </si>
  <si>
    <t>ILTUXAM OLMESARTAN MEDOXOMILO + AMLODIPINO 40MG + 13MG X28COMP LAB. TECHNOFARMA</t>
  </si>
  <si>
    <t>ILTUXAM OLMESARTAN MEDOXOMILO AMLODIPINO 20MG 5MG 28CMP LAB TECNOFARMA</t>
  </si>
  <si>
    <t>IMECOL NIFUROXAZIDA 200 MG+FTALILSULFATIAZOL 500 MG. 16 COMP.</t>
  </si>
  <si>
    <t>IMIPRAMINA 25MG. X40COMP. LAB CHILE</t>
  </si>
  <si>
    <t>IMIPRAMINA CLORHIDRATO GRAGEAS 25MG</t>
  </si>
  <si>
    <t>INCIENSO BLANCO 2GRS QUIMNATURA</t>
  </si>
  <si>
    <t>INCIENSO NEGRO X 2 GR QUIMNATURA</t>
  </si>
  <si>
    <t>INDOMETACINA 25MG X30CAPS HETERO B</t>
  </si>
  <si>
    <t>INDOMETACINA 25MG. 24COMP. FQP</t>
  </si>
  <si>
    <t>INFLUENZINUM C200. 5 TUBOS</t>
  </si>
  <si>
    <t>INFOR PRO  MULTIVITAMINICO   X180ML LAB. PRATER</t>
  </si>
  <si>
    <t>INFOR PRO BEAUTY SUPLEMENTO ALIMENTARIO 60 CAPS LAB. PRATER</t>
  </si>
  <si>
    <t>INFOR PRO KIDS MULTIVITAMINICO Y MULTIMINERAL 30 COMP. LAB. PRATER</t>
  </si>
  <si>
    <t>INFOR PRO VITAMINA A D E B1 B2 SIN LACTOSA LIBRE DE SOD</t>
  </si>
  <si>
    <t>INFOR VIT VITAMINA D SUPLEMENTADO EN VITAMINA D3 800UI X30 COMP</t>
  </si>
  <si>
    <t>INFORTIN MASTICAB 30COMP PRAT KIDS VITAMINAS Y MINERALES</t>
  </si>
  <si>
    <t>INHALADOR NASAL MENTHOLATUM</t>
  </si>
  <si>
    <t>INMUNOPET BETAGLUCANOS 1G X60ML LAB. DRAG PHARMA</t>
  </si>
  <si>
    <t>INSECTICIDA CASA Y JARDIN HOME SWEET HOME X360ML</t>
  </si>
  <si>
    <t>INSECTICIDA HOME SWEET HOME MATA MOSCAS MOSQUITOS Y ZANCUDOS X360ML</t>
  </si>
  <si>
    <t>INSECTICIDA MATA ARANAS CUCARACHAS Y HORMIGAS HOME SWEET HOME X360ML</t>
  </si>
  <si>
    <t>INSEPTICIDA HOME SWEET HOME TODO INSECTOS X360ML</t>
  </si>
  <si>
    <t>INSTAFEM TEST DE EMBARAZO</t>
  </si>
  <si>
    <t>INSULATARD INSULINA HUMANA (Nph) 100 Ui/Ml 10 Ml</t>
  </si>
  <si>
    <t>INTERPROX 0.6 NANO 6 UNIDADES</t>
  </si>
  <si>
    <t>INTERPROX CEPILLO INTERDENTAL CONICAL X6UND. LAB DENTAID</t>
  </si>
  <si>
    <t>INTERPROX CEPILLO INTERDENTAL MICRO X6UND. LAB DENTAID</t>
  </si>
  <si>
    <t>INTERPROX CEPILLO INTERDENTAL MINI X6UND. LAB DENTAID</t>
  </si>
  <si>
    <t>INTERPROX CEPILLO INTERDENTAL NANO X6UND. LAB DENTAID</t>
  </si>
  <si>
    <t>INTERPROX CEPILLO INTERDENTAL SUPER MICRO X6UND. LAB DENTAID</t>
  </si>
  <si>
    <t>INTERPROX PLUS SUPER MICRO 6 UNIDADES</t>
  </si>
  <si>
    <t>INVEADE VITAMINAS SOLUCION ORAL LAB. DRAG PHARMA</t>
  </si>
  <si>
    <t>INVERMIC LEVAMISOL 2.360G 10ML LAB. DRAG PHARMA</t>
  </si>
  <si>
    <t>INVERMIC LEVAMISOL 2.360G X10ML LAB. DRAG PHARMA</t>
  </si>
  <si>
    <t>IPRASYNT HFA IPRATROPIO BROMURO INHALADOR ORAL 20MCG7DOSIS FAES FARMA</t>
  </si>
  <si>
    <t>IPSON-D FORTE IBUPROFENO + PSEUDOEFEDRINA CLORHIDRATO 200MG + 30MG X120ML LAB. SAVAL</t>
  </si>
  <si>
    <t>IRBEVITAE IRBESARTAN 150 MG 28 COMP LAB. GALENICUM</t>
  </si>
  <si>
    <t>IRIS VERS COMPUESTO GOTAS ORALES X30ML KNOP</t>
  </si>
  <si>
    <t>IRIS VERSICOLOR D6 COMP. KNOP</t>
  </si>
  <si>
    <t>IRKEM 150 MG X28COMP IRBESARTAN 150MG ASCEND B</t>
  </si>
  <si>
    <t>IRKEM 300MG X 280COMP REC</t>
  </si>
  <si>
    <t>IRKEM IRBESARTAN 300MG X28COMP LAB ASCEND</t>
  </si>
  <si>
    <t>ISDIN AFTER SUN SP 200ML</t>
  </si>
  <si>
    <t>ISDIN FLU COL F50M</t>
  </si>
  <si>
    <t>ISDIN FOTOP F50+PE TRW 250ML</t>
  </si>
  <si>
    <t>ISDIN FOTOPROTECTOR FACIAL FUSION WATER SPF50 X50ML ISDIN</t>
  </si>
  <si>
    <t>ISDIN FOTOPROTECTOR FUSION WATER MAGIC X50ML</t>
  </si>
  <si>
    <t>ISDIN FOTOPROTECTOR MAGIC COLOR LIGHT SPF50 X50ML</t>
  </si>
  <si>
    <t>ISDIN FOTOPROTECTOR TRANSPARENTE SPRAY 250ML SFP50</t>
  </si>
  <si>
    <t>ISDIN NUTRADEICA DS GEL CREMA FACIAL</t>
  </si>
  <si>
    <t>ISDIN NUTRATOPIC PRO- AMP CREMA FACIAL 1 UNDX50 ML.</t>
  </si>
  <si>
    <t>ISDIN PROTECTOR LABIAL SPF50 4G</t>
  </si>
  <si>
    <t>ISDIN.FOTOP.F50.LOC.SP 250ML</t>
  </si>
  <si>
    <t>ISID MED CINTA ADHESIVA HIPOALERGENICA TRASPARENTE 5CMX9M 2''X10YDS X1UND ISIMED</t>
  </si>
  <si>
    <t>ISIMED CINTA ADHESIVA HIPOALERGENICA</t>
  </si>
  <si>
    <t>ISIMED CINTA ADHESIVA HIPOALERGENICA TRANSPARENTE 1 UND. LAB. ISIMED</t>
  </si>
  <si>
    <t>ISIMED PARCHE OCULAR 20 APOSITOS</t>
  </si>
  <si>
    <t>ISIMED PARCHE OCULAR X1UND ISI XXC7</t>
  </si>
  <si>
    <t>ISIMED PARCHE OCULAR X20UND ISI XXU7</t>
  </si>
  <si>
    <t>ISOSORBIDA DINITRATO 10MG. X60COMP. LAB. MINTLAB B</t>
  </si>
  <si>
    <t>ISOTRETINOINA 10MG X30CAPS LAB. DECHILE</t>
  </si>
  <si>
    <t>ISOTRETINOINA 20 MG. 30 CAPS. LAB. CHILE</t>
  </si>
  <si>
    <t>ISQUELIUM ACENOCUMAROL 4MG X30COMP SYNTHON</t>
  </si>
  <si>
    <t>ITRAC 100 ITRACONAZOL 15 CAPSULAS CON MICROGRANULOS</t>
  </si>
  <si>
    <t>ITRACONAZOL 100MG X15CAPS LAB. ASCEND</t>
  </si>
  <si>
    <t>IVD COVID-19 ANTIGEN TES KIT</t>
  </si>
  <si>
    <t>IVERCREM IVERMECTINA 1G 30G LAB. PABLO CASSARA</t>
  </si>
  <si>
    <t>IVOMEC 1 IVERMECTINA 1G X50ML LAB. BOEHRINGER INGELHEIM</t>
  </si>
  <si>
    <t>IZINOVA</t>
  </si>
  <si>
    <t>JABON AVENA X 100 GR CARACOBEL GREEN MEDICAL</t>
  </si>
  <si>
    <t>JABON BARRA 4X70G 280G JARDIN DE MANZANAS</t>
  </si>
  <si>
    <t>JABON BARRA GLICERINA AFRECHO X3</t>
  </si>
  <si>
    <t>JABON CARBON ACTIVO X90G</t>
  </si>
  <si>
    <t>JABON COCO CON VALVULA POR 340CC ELITE</t>
  </si>
  <si>
    <t>JABON DE AFRECHO EN BARRA 90GRS.</t>
  </si>
  <si>
    <t>JABON DE AFRECHO X90G</t>
  </si>
  <si>
    <t>JABON DE AZUFRE 90GRS</t>
  </si>
  <si>
    <t>JABON DE GLICERINA AFRECHO</t>
  </si>
  <si>
    <t>JABON DE GLICERINA ELITE NEUTRO X1000</t>
  </si>
  <si>
    <t>JABON DE GLICERINA F. ALMENDRAS X1000</t>
  </si>
  <si>
    <t>JABON DE GLICERINA F.COCO ELITE X1000</t>
  </si>
  <si>
    <t>JABON DE GLICERINA LAVANDA ELITE X340CC</t>
  </si>
  <si>
    <t>JABON DE HIGIENE INTIMA EUCERIN X250ML</t>
  </si>
  <si>
    <t>JABON DE TOCADOR ROSA VENUS AVENA 150GRS</t>
  </si>
  <si>
    <t>JABON DESINFECTANTE CLORXILENOL SANIGERMIN</t>
  </si>
  <si>
    <t>JABON ELITE GLICERINA 340CC</t>
  </si>
  <si>
    <t>JABON EN BARRA HUMECTANTE X90GRS ELITE</t>
  </si>
  <si>
    <t>JABON EN BARRA X3 TEO VITAMINA E Y PANTENOL</t>
  </si>
  <si>
    <t>JABON GLICERIA CON CLORHEXIDINA 0.3 X 1L ELITE</t>
  </si>
  <si>
    <t>JABON GLICERINA 340CC ELITE</t>
  </si>
  <si>
    <t>JABON GLICERINA 90GRS UND</t>
  </si>
  <si>
    <t>JABON GLICERINA X3</t>
  </si>
  <si>
    <t>JABON HIEL DE VACA</t>
  </si>
  <si>
    <t>JABON LIQUIDO ACEITE Y JASMIN</t>
  </si>
  <si>
    <t>JABON LIQUIDO ALMENDRAS Y AVENA X750</t>
  </si>
  <si>
    <t>JABON LIQUIDO ANTIBACTERIAL ALOE X 340 ML SANTEPHARMA</t>
  </si>
  <si>
    <t>JABON LIQUIDO DE GLICERINA BUBU X750ML</t>
  </si>
  <si>
    <t>JABON LIQUIDO DIFEMCARE ANTIBACTERIAL CON GLICERINA DE 340ML</t>
  </si>
  <si>
    <t>JABON LIQUIDO FAMILY SET KARITE Y VERBENA X750ML</t>
  </si>
  <si>
    <t>JABON LIQUIDO HYGIENIC 750ML</t>
  </si>
  <si>
    <t>JABON LIQUIDO NEUTRO GLICERINA KARITE DIFEMCARE X 340ML</t>
  </si>
  <si>
    <t>JABON SULFATO DE COBRE X90GRS</t>
  </si>
  <si>
    <t>JANUMET SITAGLIPTINA + METFORMINA CLORHIDRATO 50MG +500MG X56COMP LAB MSD</t>
  </si>
  <si>
    <t>JANUMET XR SITAGLIPTINA + METFORMINA 100MG + 100MG X28COMP LAB.MSD</t>
  </si>
  <si>
    <t>JAPI JANE LUBRICANTE GEL INTIMO 60ML</t>
  </si>
  <si>
    <t>JARDIANCE DUO 12.5/1.000MG 60 COMPRIMIDOS</t>
  </si>
  <si>
    <t>JARDIANCE DUO EMPAGLIFLOZINA + CLORHIDRATO DE METFORMINA 125MG + 850MG X60COMP LAB. BOEHINGER INGEL</t>
  </si>
  <si>
    <t>JARDIANCE EMPAGLIFLOZINA 10MG 30COMP LAB. BOEHRINGER INGELHEIM</t>
  </si>
  <si>
    <t>JARDIANCE EMPAGLIFLOZINA 20MG X30COMP LAB.BOEHRINGER INGELHEIM</t>
  </si>
  <si>
    <t>JELONET APOSITO 10CM X 10CM</t>
  </si>
  <si>
    <t>JERINGA 1 ML</t>
  </si>
  <si>
    <t>JERINGA 3ML</t>
  </si>
  <si>
    <t>JERINGA 5C</t>
  </si>
  <si>
    <t>JERINGA 60 ML. CRAMBERRY</t>
  </si>
  <si>
    <t>JERINGA DE PLASTICO DESECHABLE CON AGUJA</t>
  </si>
  <si>
    <t>JERINGA DESECHABLE 1 ML.</t>
  </si>
  <si>
    <t>JERINGA DESECHABLE 10ML</t>
  </si>
  <si>
    <t>JERINGA DESECHABLE CON AGUJA 21G 1 12 CRANBERRY</t>
  </si>
  <si>
    <t>JERINGA DESECHABLE EXCENTRICA 60ML CRANBERRY</t>
  </si>
  <si>
    <t>JERINGA HIPODERMICA CON AGUJA 25G 58 BD</t>
  </si>
  <si>
    <t>JERINGA HIPODERMICA ESTERIL</t>
  </si>
  <si>
    <t>JERINGA LUER SLIP 10ML CON AGUJA 21G X 1 12</t>
  </si>
  <si>
    <t>JERINGA LUER SLIP 20ML CON AGUJA 21G 1 12 MUNCARE</t>
  </si>
  <si>
    <t>JERINGA LUER SLIP 5ML MUN CARE</t>
  </si>
  <si>
    <t>JERINGA X20ML</t>
  </si>
  <si>
    <t>JOHNSONS BABY BANO LIQUIDO X400ML JOHNSONS JOHNSONS</t>
  </si>
  <si>
    <t>JOHNSONS HIDRATACION INTENSA ACONDICIONADOR X400ML</t>
  </si>
  <si>
    <t>JOVAN COLONIA MUSK FOR WOMEN 96ML</t>
  </si>
  <si>
    <t>JOVAN MUSK</t>
  </si>
  <si>
    <t>JOVAN MUSK FOR WOMEN 59ML</t>
  </si>
  <si>
    <t>JOVAN MUSK PACK X2 DESODORANTE Y COLONIA COTY</t>
  </si>
  <si>
    <t>JUNIPERUS MEDICAMENTO HOMEOPATICO 50 COMP. LAB. KNOP</t>
  </si>
  <si>
    <t>JUST FOR MEN COLORACION EN SHAMPOO H-35 CASTANO</t>
  </si>
  <si>
    <t>K-LAM FLEX Capsulas</t>
  </si>
  <si>
    <t>KADITUR BROMURO DE OTILONIO 40MG X40COMP LAB FAES FARMA</t>
  </si>
  <si>
    <t>KADUS AGUA OXIGENADA 20 VOLUMENES X55 CC LAB. LABOCOH</t>
  </si>
  <si>
    <t>KADUS AGUA OXIGENADA 30 VOLUMENES X55CC LABOCOCH</t>
  </si>
  <si>
    <t>KADUS AGUA OXIGENADA X110CC LAB.LABOCOCH</t>
  </si>
  <si>
    <t>KADUS BALSAMO MIEL X900ML DIAPO</t>
  </si>
  <si>
    <t>KADUS JABOL LIQUIDO MANZANA MIEL</t>
  </si>
  <si>
    <t>KADUS SHAMPOO 900ML</t>
  </si>
  <si>
    <t>KALAMTRES SUPLEMENTO ALIMENTICIO X200ML LAB. ALQUIMIA VERDE</t>
  </si>
  <si>
    <t>KALITIUM CARBONATO DE LITIO 300MG X50COMP LAB. AUROFARMA</t>
  </si>
  <si>
    <t>KALITIUM CARBONATO DE LITIO 450MG X30COMP LAB. EUROFARMA</t>
  </si>
  <si>
    <t>KALIUM JODATUM D6 MEDICAMENTO HOMEOPATICO 90 COMP. LAB. KNOP</t>
  </si>
  <si>
    <t>KALIUM PHOSPHORICUM D6 COMP. KNOP</t>
  </si>
  <si>
    <t>KALMAFTA GEL BENZOCAINA + CETILPRIDINIO CLORURO 5.00G + 0.50G X20G LAB.SILESIA</t>
  </si>
  <si>
    <t>KALOBA PELARGONIUM SIDOIDES 20MG X15 COMP. LAB. MEGALABS</t>
  </si>
  <si>
    <t>KALOBA PELARGONIUM SIDOIDES DC 0.8G 20ML LAB. MEGALABS</t>
  </si>
  <si>
    <t>KANACITRIN GRANULADO SO 50 SOBRES DE 5MG CU SYNTHON</t>
  </si>
  <si>
    <t>KAPH CLORANFENICOL 1% 5GR UNG. LAB. ETHON</t>
  </si>
  <si>
    <t>KAPH CLORANFENICOL 5 MG X10ML SOL.OFT LAB. ETHON</t>
  </si>
  <si>
    <t>KARTIFLEX SUPLEMENTO ALIMENTICIO X60CAPS LAB. AURA VITALIS</t>
  </si>
  <si>
    <t>KELEN CLORURO DE ETILO-ANESTESIA 100ML KELEN</t>
  </si>
  <si>
    <t>KEPPRA LEVETIRACETAM 100MG X300ML LAB. GSK</t>
  </si>
  <si>
    <t>KETANOR KETOROLACO AMPOLLA 30MG1ML X3UND ITF</t>
  </si>
  <si>
    <t>KETANOR SL KETOROLACO TROMETAMOL 30MG X4COMPR. LAB. ITF -LABOMED</t>
  </si>
  <si>
    <t>KETOCONAZOL 2 CRE. X20G</t>
  </si>
  <si>
    <t>KETOCONAZOL 2% CREMA</t>
  </si>
  <si>
    <t>KETOCONAZOL 200MG X10COMP LAB. MILAB</t>
  </si>
  <si>
    <t>KETOCONAZOL CREMA 2% 20G</t>
  </si>
  <si>
    <t>KETOPROFENO 100MG X5 AMPOLLAS LAB. BIOSANO</t>
  </si>
  <si>
    <t>KETOPROFENO 2.5. GEL 60 GRS. HOSPIFARMA</t>
  </si>
  <si>
    <t>KETOPROFENO 50MG X20CAPS LAB.MINTLAB</t>
  </si>
  <si>
    <t>KETOPROFENO GEL TOPICO 2.5 X60GR. ASCEND</t>
  </si>
  <si>
    <t>KETOPROFENO T.U. KETOPROFENO 200MG X10COMP LAB. MILAB</t>
  </si>
  <si>
    <t>KETOROLACO TROMETAMOL 10MG X10COMP. LAB. MINTLAB B</t>
  </si>
  <si>
    <t>KETOROLACO TROMETAMOL 10MG. X10COMP. LCH B</t>
  </si>
  <si>
    <t>KETOROLACO TROMETAMOL 30MG/1ML XUND LAB BIOSANO</t>
  </si>
  <si>
    <t>KEVAL ELETRIPTAN 40MG 2 COMP</t>
  </si>
  <si>
    <t>KEVAL ELETRIPTAN 40MG X6COMP LAB. SAVAL</t>
  </si>
  <si>
    <t>KI CAB TEGOPRAZAN 50MG</t>
  </si>
  <si>
    <t>KIDS DESODORANTE</t>
  </si>
  <si>
    <t>KIDS PREFACE</t>
  </si>
  <si>
    <t>KINESEOLOGY TAPE LIGHT BLUE 5CM X 5CM</t>
  </si>
  <si>
    <t>KINESEOLOGY TAPE RED 5CM X 5CM</t>
  </si>
  <si>
    <t>KINESIOLOGY TAPE 5CM X 5CM VARIOS COLORES</t>
  </si>
  <si>
    <t>KIT CICATRICURE GEL CICATRICES</t>
  </si>
  <si>
    <t>KIT CURACION N-1. 11 PIEZAS ESTERILES. CRANBERRY</t>
  </si>
  <si>
    <t>KIT DE CURACION CON APOSITO</t>
  </si>
  <si>
    <t>KIT GOICOECHEA DIABETTX HIDRATACION PROFUNDA 10 DE UREA CREMA+PLUS UREA</t>
  </si>
  <si>
    <t>KITADOL 100MG ML GOTAS X 15ML</t>
  </si>
  <si>
    <t>KITADOL DUO IBUPROFENO + PARACETAMOL 200MG + 300MG X10COMP LAB. DE CHILE</t>
  </si>
  <si>
    <t>KITADOL PARACETAMOL 120MG X60ML LAB DE CHILE</t>
  </si>
  <si>
    <t>KITADOL PARACETAMOL 500MG X24COMP LAB. DE CHILE</t>
  </si>
  <si>
    <t>KITADOL PARACETAMOL X160MG X16COMP LAB. LCH</t>
  </si>
  <si>
    <t>KLINA ONE</t>
  </si>
  <si>
    <t>KN95 MASCARILLA ALTA EFICIENCIA</t>
  </si>
  <si>
    <t>KNOP GBB. THUJA OCCITALIS C200 2G</t>
  </si>
  <si>
    <t>KONAKION FITOMENADIONA 10MG X5AMPOLLAS LAB. CHEPLA</t>
  </si>
  <si>
    <t>KOPODEX SO LEVETIRACETAM 100 MG ML. X120 ML ABBOTT B</t>
  </si>
  <si>
    <t>KORO 2 MEDICAMNETO HOMEOPATICO 90 COMP. LAB. KNOP</t>
  </si>
  <si>
    <t>KOTES TOA. NOT.PURO  X8</t>
  </si>
  <si>
    <t>KOTEX PROTECTORES DIARIOS ANTIBACTERIAL 40 UND. KIMBERLY CLARK</t>
  </si>
  <si>
    <t>KOTEX TAMPONES CON APLICADOR MEDIO 8 UN.</t>
  </si>
  <si>
    <t>KOTEX TAMPONES CON APLICADOR MINI 8 UN.</t>
  </si>
  <si>
    <t>KOTEX TAMPONES SUPER 8 UNIDADES</t>
  </si>
  <si>
    <t>L-ARGININA 290MG 90CAP AURA VITALIS</t>
  </si>
  <si>
    <t>L-ARGININA 500MG X60CAP LAB. AURA VITALIS</t>
  </si>
  <si>
    <t>L-ARGININA 50MG 90 CAP</t>
  </si>
  <si>
    <t>L-ARGININA x100CAPS FULLENERGIC</t>
  </si>
  <si>
    <t>L-ARGININE 500MG X 60CAP</t>
  </si>
  <si>
    <t>L-CARNITINE SPORT NUTRITION L-CARNITINE TARTRATO 1000MG X60CAPS LAB. SN</t>
  </si>
  <si>
    <t>L-CARNITINE X100CASP FULLENERGIC</t>
  </si>
  <si>
    <t>L-Oreal COLOR RICHE INTENSE VOLUMEN MATTE LIPSTICK 336</t>
  </si>
  <si>
    <t>L-OREAL PARIS INFALLIBLE MATTE RESISTANCELIQUID LIPSTICK UP 5ML</t>
  </si>
  <si>
    <t>L-TRIPTOFANO 90 CAPS FULLENERGIC</t>
  </si>
  <si>
    <t>L-TRIPTOFANO X500MG GREEN MEDICAL X60CAPS GREEN MEDICAL</t>
  </si>
  <si>
    <t>L.SPE.STIK.DES+OMEGA 3 45G</t>
  </si>
  <si>
    <t>L.SPE.STIK.DES.DERM+E 45G</t>
  </si>
  <si>
    <t>L.SPE.STIK.INV.AP.WILD 45G</t>
  </si>
  <si>
    <t>LA GOTITA ADHESIVO INSTANTANEO</t>
  </si>
  <si>
    <t>LA ROCHE POSAY CREMA CICAPLAST B5 X40ML</t>
  </si>
  <si>
    <t>LABIAL COLOR RICHE INTENSE VOLUME MATTE -103</t>
  </si>
  <si>
    <t>LABIAL CREAMY LIPSTICK DANGEROUS 3.5 GRS. PZZO</t>
  </si>
  <si>
    <t>LABIAL LIQUIDO MATE VOGUE RESIST TONO ROMANTICA</t>
  </si>
  <si>
    <t>LABIAL LIQUIDO SUPER STAY 24 COLOR MAYBELLINE 105</t>
  </si>
  <si>
    <t>LABIAL MANTECA DE CACAO DAMASCO VALMA</t>
  </si>
  <si>
    <t>LABIAL MATTE TONO VALENTINE - DOLCE BELLA</t>
  </si>
  <si>
    <t>LABIAL MAYBELLINE 645 RED REVIVAL 4.2G</t>
  </si>
  <si>
    <t>LABIMIQ IMIQUIMOD 5G X5G LAB. ITF-LABOMED</t>
  </si>
  <si>
    <t>LABOSALIC BETAMETASONA +ACIDO SALICILICO 0.5MG +20MG X20ML LAB. ITF-LABOMED</t>
  </si>
  <si>
    <t>LACTACYD PRO BIO JABON LIQUIDO INTIMO X200ML SANOFI</t>
  </si>
  <si>
    <t>LACTAFEM DESOGESTREL 75MCG 28 COMP. LAB. ANDROMACO</t>
  </si>
  <si>
    <t>LACTASA 9000FCC X60CAPS LAB. KIWAY</t>
  </si>
  <si>
    <t>LACTATO DE RINGER X1000 APIROFLEX</t>
  </si>
  <si>
    <t>LACTULOSA 66.7% X200ML</t>
  </si>
  <si>
    <t>LACTULOSA SOLUCION ORAL 65% 200ML</t>
  </si>
  <si>
    <t>LACTULOSA SOLUCION ORAL LACTULOSA 65G 200ML LAV. LAFEDAR</t>
  </si>
  <si>
    <t>LADY SPEED STICK</t>
  </si>
  <si>
    <t>LADY SPEED STICK 65 GRS.</t>
  </si>
  <si>
    <t>LADY SPEED STICK INVISIBLE</t>
  </si>
  <si>
    <t>LADY SPEED STICK PRO 5</t>
  </si>
  <si>
    <t>LADYSOFT NOCTURNA UD CALAS 7 UNIDADES</t>
  </si>
  <si>
    <t>LADYSOFT NOCTURNA X 14 TOALLAS</t>
  </si>
  <si>
    <t>LADYSOFT TAMP SUPER PLUS X8</t>
  </si>
  <si>
    <t>LADYSOFT TAMPONES X8</t>
  </si>
  <si>
    <t>LADYSOFT ULTRADELGADA</t>
  </si>
  <si>
    <t>LAGRIMAS ARTIFICIALES 03 HIPROMELOSA PHARMATECH</t>
  </si>
  <si>
    <t>LAGRIMAS ARTIFICIALES HIPROMELOSA 0.7. SOL. OFTALMICA X10ML. PHARMATECH</t>
  </si>
  <si>
    <t>LAGRIMAS ARTIFICIALES HIPROMELOSA 3MG X15ML LAB. ETHON</t>
  </si>
  <si>
    <t>LAGRIMAS ARTIFICIALES HIPROMELOSA SOL OFTAMOLOGICA ESTERIL 0.5 OPKO</t>
  </si>
  <si>
    <t>LAGRIPET LIMPIADOR DE MANCHAS MASCOTAS X50ML LAB. DRAG PHARMA</t>
  </si>
  <si>
    <t>LALERGIC LEVOCETIRIZINA DICLORHIDRATO 5MG X20ML LAB. MINTLAB</t>
  </si>
  <si>
    <t>LAMOTRIGINA 100MG X30COMP. IPHSA B</t>
  </si>
  <si>
    <t>LAMOTRIGINA 25MG. X30COMP. LCH B</t>
  </si>
  <si>
    <t>LAMOTRIGINA 30COMP LCH 100MG</t>
  </si>
  <si>
    <t>LAMOTRIGINA 30COMP LCH 50MG</t>
  </si>
  <si>
    <t>LAMOTRIGINA 50MG 30 COMPRIMIDOS IPHSA</t>
  </si>
  <si>
    <t>LANCETAS 28 G. 100 LANCETAS. PRODIGY</t>
  </si>
  <si>
    <t>LANDHS PEINE QUITA PIOJOS ACERO INOXIDABLE 1 UND . LANDHS</t>
  </si>
  <si>
    <t>LANDHS RALA CALO LUXO LANDHS 1 UND. LANDHS</t>
  </si>
  <si>
    <t>LANOLINA NATURAL MEDICA 15G.</t>
  </si>
  <si>
    <t>LANSINOH LACTCHASSIST PEZON EVERTER</t>
  </si>
  <si>
    <t>LANSINOH LATCH</t>
  </si>
  <si>
    <t>LANSINOH STAY DRY ABSORBENTE LECHE INDIVIDUAL 60 UNDS. LAB LANSINOH</t>
  </si>
  <si>
    <t>LANSOPRAZOL 30MG X30CAPS LAB. OPKO</t>
  </si>
  <si>
    <t>LANZOPRAL 30 MG</t>
  </si>
  <si>
    <t>LANZOPRAZOL 30MG X30 CAP. LAB. CHILE</t>
  </si>
  <si>
    <t>LAPIZ LABIAL LENOX N-16</t>
  </si>
  <si>
    <t>LAPIZ LABIAL LOREAL COLOR RICHE MATTE 241 Coral x2.1gr</t>
  </si>
  <si>
    <t>LAPIZ LABIAL LOREAL COLOR RICHE MATTE 346 ROUGE x2.1gr</t>
  </si>
  <si>
    <t>LAPIZ NITRATO DE PLATA 1GR</t>
  </si>
  <si>
    <t>LASEA LAVANDULA ANGUSTIFOLIA 80MG X28CAPS LAB. MEGALAB</t>
  </si>
  <si>
    <t>LATANOPROST 50MCG X2.5ML LAB. OPKO</t>
  </si>
  <si>
    <t>LATRIG LAMOTRIGINA 100MG X30COMP OPKO B</t>
  </si>
  <si>
    <t>LAUNOL LOCION 100 ML. DIMETICONA CICLOPENTAXILOX</t>
  </si>
  <si>
    <t>LAVA SEPT TRICLOSAN AL 0.3% JABON</t>
  </si>
  <si>
    <t>LAVANDA 19.8G X60CAPS LAB. GRUNE LEBEN</t>
  </si>
  <si>
    <t>LAX 3350 MACROGOL 3350. 7 SOBRES ANDROMACO</t>
  </si>
  <si>
    <t>LAX 3350 POLVO SOBRE 17 G X 7</t>
  </si>
  <si>
    <t>LAXDRAG SUPLEMENTO ALIMENTICIO GATO X90G LAB. DRAG PHARMA</t>
  </si>
  <si>
    <t>LCH LACTULOSA 66.7G X200ML LAB. CHILE</t>
  </si>
  <si>
    <t>LCH OXOLAMINA 28MG X100ML LAB. CHILE</t>
  </si>
  <si>
    <t>LCH POTASIO GLUCONATO 4.68G X200ML LAB. CHILE</t>
  </si>
  <si>
    <t>LE SANCY ACEITE ALMENDRAS 3X90GRS</t>
  </si>
  <si>
    <t>LE SANCY KARITE VERBENA JABON EN BARRA 90G 3 UND UNILEVER</t>
  </si>
  <si>
    <t>LEBLON CRESOL BABY KIDS F50 X50ML</t>
  </si>
  <si>
    <t>LEBLON KIDS B GUM X190</t>
  </si>
  <si>
    <t>LEBLON PROT-.F50+BB/KID190</t>
  </si>
  <si>
    <t>LEBLON PROTECTOR SOLAR FPS50 190G</t>
  </si>
  <si>
    <t>LEBLON STICK FACE BARRA FPS 50+ TRANSPARENTE HUMECTANTE</t>
  </si>
  <si>
    <t>LECHE DE MAGNESIA PHILLIPS HIDROXIDO DE MAGNESIO 8.5G X120ML LAB. ASPEN</t>
  </si>
  <si>
    <t>LECHE NIDO BUEN DIA 700GRS NESTLE</t>
  </si>
  <si>
    <t>LECHE VITASURE FRUTILLA 850GR</t>
  </si>
  <si>
    <t>LECHE Y TONICO MISCELAR 2 EN 1 CON AGUA DE ROSAS ORGANICA NIVEA X2OOML</t>
  </si>
  <si>
    <t>LECHE Y TONICO MISCELAR ROSE CARE NIVEA X200ML</t>
  </si>
  <si>
    <t>LECHUGA CREMA 150ML</t>
  </si>
  <si>
    <t>LECHUGA PETALOS DESM.X 50 UN</t>
  </si>
  <si>
    <t>LECITINA 1200MG X100CAPS LAB. AURA VITALIS</t>
  </si>
  <si>
    <t>LECITINA DE SOYA 1.65G X90CAPS LAB.KNOP</t>
  </si>
  <si>
    <t>LEFKAFLAM EMULS TOP KNO 50G</t>
  </si>
  <si>
    <t>LEFKUR ACEITE CURCUBITA PEPO 100 MG X30 COMP KNOP</t>
  </si>
  <si>
    <t>LENGUETA DE MADERA 100PCS</t>
  </si>
  <si>
    <t>LEPHAGEL SFT DUO TUBO 30GR 100 TOALLITAS</t>
  </si>
  <si>
    <t>LERITAC 500MG 30 COMP OPKO</t>
  </si>
  <si>
    <t>LERITAC LEVETIRACETAM 1000MG X30COMP OPKO B</t>
  </si>
  <si>
    <t>LERTUS DICLOFENACO SODICO 1.5 15MG GOTAS X 25ML</t>
  </si>
  <si>
    <t>LERTUS DICLOFENACO SODICO 10COMP TECN 50MG</t>
  </si>
  <si>
    <t>LERTUS GEL DICLOFENACO SODICO 1.16G X1GEL LAB. TECNOFARMA</t>
  </si>
  <si>
    <t>LERTUS RETARD DICLOFENACO SODICO 100MG X10COMP LAB. TECNOFARMA</t>
  </si>
  <si>
    <t>LERTUS SR DICLOFENACO SODICO 75MG X10COMP. TECNOFARMA</t>
  </si>
  <si>
    <t>LETICO LAMATRIGINA 50MG X30COMP LAB. EUROFARMA</t>
  </si>
  <si>
    <t>LETICO LAMOTRIGINA 100MG X30COMP EUROFARMA B</t>
  </si>
  <si>
    <t>LETICO LAMOTRIGINA 100MG X30COMP LAB. EUROFARMA</t>
  </si>
  <si>
    <t>LETICO LAMOTRIGINA 25 MG 30 COMP.</t>
  </si>
  <si>
    <t>LEUKOPLAST 2.5CM X 5M ESPARADRAPO CJ XII</t>
  </si>
  <si>
    <t>LEUKOPLAST 6CMX4M 2.4IN X 4.4 YDS</t>
  </si>
  <si>
    <t>LEUKOTAPE K CINTA KINESIOLOGA 5CM X 5M COLOR PIEL X1UND. MSN MEDICAL</t>
  </si>
  <si>
    <t>LEUKOTAPE K CINTA KINESIOLOGICA 5CM X 5M X1UND. BSN MEDICAL</t>
  </si>
  <si>
    <t>LEVADURA CERVEZA 390MG X60CAPS LAB.AURA VITALIS</t>
  </si>
  <si>
    <t>LEVADURA DE CERVEZA 60 CAPSULAS VALLE Y SOL</t>
  </si>
  <si>
    <t>LEVETIRACETAM 1000MG X30COMP. LAB. HETERO B</t>
  </si>
  <si>
    <t>LEVETIRACETAM 500MG X30COMP LAB. HETERO</t>
  </si>
  <si>
    <t>LEVEVITAE LEVETIRACETAM 1000MG</t>
  </si>
  <si>
    <t>LEVEVITE 500MG BIOEQUIVALENTE</t>
  </si>
  <si>
    <t>LEVOCETIRIZINA 2.5 MG 5 ML. 100 ML. JRBE. HOSPIFARMA</t>
  </si>
  <si>
    <t>LEVOCETIRIZINA DICLORHIDRATO</t>
  </si>
  <si>
    <t>LEVOCETIRIZINA DICLORHIDRATO 5MG X30 COMP.</t>
  </si>
  <si>
    <t>LEVOCETIRIZINA DICLORHIDRATO 5MG X30COMP. HETERO B</t>
  </si>
  <si>
    <t>LEVOCETIRIZINA DICLORHIDRATO LEVOCETIRIZINA DICLORHIDRATO 2.5mg X100ML LAB.CAPLIN POINT</t>
  </si>
  <si>
    <t>LEVOFLOXACINO 500MG X7COMP LCH B</t>
  </si>
  <si>
    <t>LEVOFLOXACINO 500MG X7COMP. PASTEUR B</t>
  </si>
  <si>
    <t>LEVOGASTROL LEVOSULPRIDA 25MG X30COMP LAB. FAES FARMA</t>
  </si>
  <si>
    <t>LEVONORGESTREL + ETINILESTRADIOL 150MG + 30MG X28COMP LAB. MILAB</t>
  </si>
  <si>
    <t>LEVONORGESTREL 15 MCG+ ETINEESTRADIOL 30 MCG. 28 COMP. DIONELA</t>
  </si>
  <si>
    <t>LEVONORGESTREL 28COMP HOSP 003MG</t>
  </si>
  <si>
    <t>LEVORIGOTAX FORTE JARABE LEVOCETIRIZINA 5MG5ML 120ML PRATER</t>
  </si>
  <si>
    <t>LEVORIGOTAX LEVOCETIRIZINA 5 MGML. GTS. 20 ML.LEVORIGOTAX</t>
  </si>
  <si>
    <t>LEVORIGOTAX LEVOCETIRIZINA DICLORHIDRATO 2.5 MG5ML. X100ML PRATER B</t>
  </si>
  <si>
    <t>LEVORIGOTAX LEVOCETIRIZINA DICLORHIDRATO 5MG X30COMP LAB. PRATER</t>
  </si>
  <si>
    <t>LEVOTIROXINA SODICA 50MCG X56COMP. LCH B</t>
  </si>
  <si>
    <t>LEVOTIROXINA SODICA 56COMP LCH 75MCG</t>
  </si>
  <si>
    <t>LEVOTIROXINA SODICA 84COMP LCH 100MCG</t>
  </si>
  <si>
    <t>LIBRAXIN CLORDIAZEPOXIDO + CLIDINIO BROMURO 5MG + 2.5MG X30COMP LAB. DEUTSCHE</t>
  </si>
  <si>
    <t>LIDOCAINA 10G X50ML LAB. LAFEDAR</t>
  </si>
  <si>
    <t>LIDOCAINA CLORHIDRATO  10G X50ML LAB. LAFEDAR</t>
  </si>
  <si>
    <t>LIDOCAINA CLORHIDRATO 2 INYECTABLE 5ML</t>
  </si>
  <si>
    <t>LIDOCAINA CLORHIDRATO 2% 5ML LAB. SANDERSON</t>
  </si>
  <si>
    <t>LIDOCAINA CLORHIDRATO GEL4 LCH 15G</t>
  </si>
  <si>
    <t>LIFE STYLES CLIMAX CNT X3</t>
  </si>
  <si>
    <t>LIFE STYLES LARGE C/ESP PRESERVATIVO 12</t>
  </si>
  <si>
    <t>LIFE STYLES X3 PRESERVATIVOS SIN LATEX</t>
  </si>
  <si>
    <t>LIFE STYLES X3 PRESERVATIVOS SIN LATEX FEEL</t>
  </si>
  <si>
    <t>LIFESTYLES PRESERVATIVO ULTRA SENSIBLE X12 UNIDADES. HEALTHCARE</t>
  </si>
  <si>
    <t>LIFESTYLES SKIN LARGE</t>
  </si>
  <si>
    <t>LIFESTYLES SKYN ELITE 3 UNDS. LAB. PRATER</t>
  </si>
  <si>
    <t>LIFESTYLES STUDDED ROUGH RIDER X3 UN.</t>
  </si>
  <si>
    <t>LIFTACTIV RETINOL 1.4% 30ML LAB VICHY</t>
  </si>
  <si>
    <t>LIMA PARA PIES</t>
  </si>
  <si>
    <t>LIMA PARA PIES PEDICURE FILE</t>
  </si>
  <si>
    <t>LIMA PULIDORA DOBLE PREFACE</t>
  </si>
  <si>
    <t>LIMONADA CALIENTE SIN AZUCAR 5G</t>
  </si>
  <si>
    <t>LIMPIADOR DE HERIDAS 200ML FAMILY SET</t>
  </si>
  <si>
    <t>LIMPIADOR DE HIGUIENE DIARIA FEMENINA LACTIBON FEM PH3.5 X240ML</t>
  </si>
  <si>
    <t>LIMPIADOR HIDRATANTE CERAVE X236ML</t>
  </si>
  <si>
    <t>LIMPIADOR HIDRATANTE SUAVE CERAMIDE SKIN BARRIEDR COMPLEX X236ML</t>
  </si>
  <si>
    <t>LIMPIADOR LINGUAL</t>
  </si>
  <si>
    <t>LINAGLIPTINA 5 MG. 30 COMP. RECUBIERTOS TRAYENTA</t>
  </si>
  <si>
    <t>LINAGLIPTINA METFORMINA 2.5 MG1000 MG. 60 COMP.</t>
  </si>
  <si>
    <t>LINAZA ENTERA 250G LINAZA ENTERA HERBARIO TRADICIONAL QUIMNATURA E.I.R.L</t>
  </si>
  <si>
    <t>LINAZA POLVO 100G</t>
  </si>
  <si>
    <t>LINIC SHAMPOO ANTICASPA PELO SECO X350ML</t>
  </si>
  <si>
    <t>LINOVERA ACEITE 30 ML BRAUN</t>
  </si>
  <si>
    <t>LINZAUG HIALURONATO DE SODIO 4MG X10ML LAB. OPKO</t>
  </si>
  <si>
    <t>LIP GLOSS DOLCE BELLA BRILLO COLAPSIBLE</t>
  </si>
  <si>
    <t>LIP OIL RED</t>
  </si>
  <si>
    <t>LIP OIL ROSY KISS</t>
  </si>
  <si>
    <t>LIP OIL TNT VELV</t>
  </si>
  <si>
    <t>LIPOTHERMO SUPLEMENTO PARA DEPORTISTAS X120CAPS LAB. AURAVITALIS</t>
  </si>
  <si>
    <t>LIPSTICK LABIAL RUBY FOR ME 385</t>
  </si>
  <si>
    <t>LIREX TIBOLONA 2.5MG X30COMP. SILESIA B</t>
  </si>
  <si>
    <t>LISTERINE ANTICARIES ZERO ALCOHOL X250ML</t>
  </si>
  <si>
    <t>LISTERINE CONTROL SARRO X 1000 ML</t>
  </si>
  <si>
    <t>LISTERINE COOL MINT ENJUAGUE BUCAL FRESCURA INTENSA X180ML JOHNSON Y JOHNSON</t>
  </si>
  <si>
    <t>LISTERINE COOL MINT FRESCURA INTENSA ENJUAGUE BUCAL X 1000 ML JOHNSON Y JOHNSON</t>
  </si>
  <si>
    <t>LISTERINE COOL MINT FRESCURA SUAVE ENJUAGUE BUCAL X 1000 ML JOHNSON Y JOHNSON</t>
  </si>
  <si>
    <t>LISTERINE COOL MINT SIN ACOHOL X180ML JJ</t>
  </si>
  <si>
    <t>LISTERINE ENJUAGUE BUCAL ANTICARIES ZERO SABOR MENTA 180ML</t>
  </si>
  <si>
    <t>LISTERINE ENJUAGUE BUCAL CONTROL CALCULOSARRO 180ML</t>
  </si>
  <si>
    <t>LISTERINE PACK COOL MINT FRESCURA SUAVE ENJUAGUE BUCAL 500ML + 250ML JOHNSON Y JOHNSON</t>
  </si>
  <si>
    <t>LIZEDIA 100MG/ML 300ML</t>
  </si>
  <si>
    <t>LLAVE TRES PASOS 10CM 50PCS</t>
  </si>
  <si>
    <t>LLLAVE DE 3 PASOS CRANBERRY REUTTER</t>
  </si>
  <si>
    <t>LOBELIA COMPUESTA II GOTAS ORALES X30ML KNOP</t>
  </si>
  <si>
    <t>LOCERYL AMOROLFINA 5% 1.25ML LAB. GALDERMA</t>
  </si>
  <si>
    <t>LOCERYL AMOROLFINA 5% 2.5ML GALDERMA</t>
  </si>
  <si>
    <t>LOCERYL. AMOROLFINA 5 LACA. 2.5 ML. 75 APLICACION</t>
  </si>
  <si>
    <t>LOCION AFTER SHAVE FRESH SKIN BRACER X60ML</t>
  </si>
  <si>
    <t>LOCION AFTER SHAVE GRAND BLUE 60ML</t>
  </si>
  <si>
    <t>LOCION ANTONIO BANDERAS BLACK SEDUCTION 50 ML</t>
  </si>
  <si>
    <t>LOCION CORPORAL EMOLIENTE ISDIN NUTRATOPIC X400</t>
  </si>
  <si>
    <t>LOCION CORPORAL HIDRATANTE PEIL SECA O MUY SECA CERAMIDE X400ML</t>
  </si>
  <si>
    <t>LOCION DIAVOLO ANTONIO BANDERAS 100ML</t>
  </si>
  <si>
    <t>LOCION HIDRATANTE EUCERIN PH5 400ML402G EUC</t>
  </si>
  <si>
    <t>LOCION LIMPIADORA NEOLUCID 250ML</t>
  </si>
  <si>
    <t>LOCION MEDITERRANEO ANTONIO BANDERAS 100ML</t>
  </si>
  <si>
    <t>LOCION MEDITERRANEO ANTONIO BANDERAS 50 ML</t>
  </si>
  <si>
    <t>LOCION SEDUCTION DOSES ANTONIO BANDERAS 30ML</t>
  </si>
  <si>
    <t>LOMEX OMEPRAZOL 20MG X28CAPS LAB. SAVAL</t>
  </si>
  <si>
    <t>LOPERAMIDA CLORHIDRATO 2MG. X6COMP LCH</t>
  </si>
  <si>
    <t>LOPERAMIDA CLORHIDRATO 2MG. X6COMP. LAB. MILAB</t>
  </si>
  <si>
    <t>LORATADINA 10MG X30 COMP LAB. ASCEND</t>
  </si>
  <si>
    <t>LORATADINA 10MG X30COMP. LAB. OPKO B</t>
  </si>
  <si>
    <t>LORATADINA 10MG X30COMP. LCH B</t>
  </si>
  <si>
    <t>LORATADINA LORATADINA 5MG X90ML LAB. MINTLAB</t>
  </si>
  <si>
    <t>LORAZEPAM 2MG X30COMP LCH B</t>
  </si>
  <si>
    <t>LOREAL 6.11</t>
  </si>
  <si>
    <t>LOREAL ELV DREAM LO LISS SHAM LO 370ML</t>
  </si>
  <si>
    <t>LOREAL MASCARA DE PESTANAS AIR MEGA VOLUME WS 7.9ML</t>
  </si>
  <si>
    <t>LOREAL PARIS LABIAL COLOR RICHE INTENSE VOLUME MATTE 188</t>
  </si>
  <si>
    <t>LOREAL PARIS REVITALIFT PRO RETINOL</t>
  </si>
  <si>
    <t>LOSARTAN 50MG</t>
  </si>
  <si>
    <t>LOSARTAN POTASICO + HIDROCLOROTIAZIDA 50MG + 12.5 X30COMP LAB. ASCEND</t>
  </si>
  <si>
    <t>LOSARTAN POTASICO 100MG X30 COMP LAB OPKO</t>
  </si>
  <si>
    <t>LOSARTAN POTASICO 100MG X30 COMP. LAB. SEVEN PHARMA</t>
  </si>
  <si>
    <t>LOSARTAN POTASICO 50 MG 30 COMP. LAB. CHILE</t>
  </si>
  <si>
    <t>LOSARTAN POTASICO 50MG X30COMP LAB. ASCEND</t>
  </si>
  <si>
    <t>LOSARTAN POTASICO 50MG X30COMP LAB. HETERO</t>
  </si>
  <si>
    <t>LOSARTAN POTASICO 50MG X30COMP LCH</t>
  </si>
  <si>
    <t>LOSARTAN POTASICO HIDROCLOROTIAZIDA 5012.5 X30COMP. OPKO B</t>
  </si>
  <si>
    <t>LOSARTAN POTASIO 50MG. LAB CHILE</t>
  </si>
  <si>
    <t>LOTION GOLDEN SIMONDS BABY CARE X 260ML</t>
  </si>
  <si>
    <t>LOVASTATINA 20 MG. 28 COMP. LAB CHILE</t>
  </si>
  <si>
    <t>LOVE MAR HIGIENE NASAL 50ML I AM PRODUCT</t>
  </si>
  <si>
    <t>LSPE STK DES.PO.FRESH 45</t>
  </si>
  <si>
    <t>LUB C X80G LOCION DE COBRA</t>
  </si>
  <si>
    <t>LUBRICANTE Y ESTIMULANTE INTIMO EFECTO CALOR. 40 ML</t>
  </si>
  <si>
    <t>LUBRIDERM CREMA CORPORAL PROTECION SOLAR FPS15 X750ML</t>
  </si>
  <si>
    <t>LUBRIDERM HUMECTACION DIARIA FAMILIAR 750 ML</t>
  </si>
  <si>
    <t>LUBRIDERM PREVENCION FPS 30 750ML</t>
  </si>
  <si>
    <t>LUBRIDERM REPARACION INTENSA 400 ML.</t>
  </si>
  <si>
    <t>LUMBOPLEX COMP. X60 -LUMBAGO-</t>
  </si>
  <si>
    <t>LYCOPODIUM D6 COMPRIMIDOS LAB KNOP</t>
  </si>
  <si>
    <t>MAAM CREMA PRENATAL CENTELLA ASIATICA Y ELASTINA X110G BELLCOS</t>
  </si>
  <si>
    <t>MACA 400MG X60CAP LAB. MUNDO NATURAL SPA</t>
  </si>
  <si>
    <t>MACROGOL 3350. 15 SOBRES.</t>
  </si>
  <si>
    <t>MACROSAM NITROFURANTOINA MACROCRISTALES 50MG X30CAPS</t>
  </si>
  <si>
    <t>MACROSAN 100MG X30COMP. NITROFURANTOINA MACROCRISTALES 100MG X30CAPS SANITAS B</t>
  </si>
  <si>
    <t>MACROSAN NITROFURANTOINA MACROCRISTALES 100MG X15CAPS LAB. SANITAS</t>
  </si>
  <si>
    <t>MACROSAN NITROFURANTOINA MACROCRISTALES 50MG X20COMP LAB. SANITAS</t>
  </si>
  <si>
    <t>MADECASSOL CENTELLA ASIATICA 1G X10G LAB. BAYER</t>
  </si>
  <si>
    <t>MAG TAB SR LACTATO DE MAGNESIO DIHIDRATADO 85MG</t>
  </si>
  <si>
    <t>MAGNATIL C CALCICO VITAMINA C CON MAGNESIO Y CALCIO X30COMP. TECNOFARMA</t>
  </si>
  <si>
    <t>MAGNATIL C MAGNESIO CON VITAMINA C 30 COMP LAB. TECNOFARMA</t>
  </si>
  <si>
    <t>MAGNESIO 400</t>
  </si>
  <si>
    <t>MAGNESIUM ZINC X20 EFERVESCENTES</t>
  </si>
  <si>
    <t>MAKEUP REMOVER NEUTROGENA</t>
  </si>
  <si>
    <t>MALTOFER HIERRO 100MG X30COMP LAB. ANDROMACO</t>
  </si>
  <si>
    <t>MALTOFER HIERRO 50 MG X100ML LAB. ANDROMACO</t>
  </si>
  <si>
    <t>MALTOFER HIERRO 50ML X30ML LAB. ANDROMACO</t>
  </si>
  <si>
    <t>MAM MAMADERA DE VIDRIO PREMIUM 2+ X260ML</t>
  </si>
  <si>
    <t>MAM MAMADERA EASY START ANTI-COLIC 2M+ 260ML</t>
  </si>
  <si>
    <t>MAM TETINA REP X 2ULT VENT X -6+M-</t>
  </si>
  <si>
    <t>MAMADERA</t>
  </si>
  <si>
    <t>MAMADERA 240ML BUBU</t>
  </si>
  <si>
    <t>MAMADERA ANTIDERRAMES 220ML MAM 4+</t>
  </si>
  <si>
    <t>MAMADERA BASICA PLASTICA</t>
  </si>
  <si>
    <t>MAMADERA BOCA ANCHA 1 UND.</t>
  </si>
  <si>
    <t>MAMADERA BOCA ESTANDAR 270ML SIMONS BABY</t>
  </si>
  <si>
    <t>MAMADERA MAM EASY START ANTI COLI 0+ 160ML</t>
  </si>
  <si>
    <t>MAMADERA PATITO DE VIDRIO 35 ML MARY</t>
  </si>
  <si>
    <t>MAMADERA PATITO DE VIDRIO 35 ML MARY CELESTE</t>
  </si>
  <si>
    <t>MAMADERA PATITO DE VIDRIO 35ML</t>
  </si>
  <si>
    <t>MAMADERA SIMONDS CON MANGO 270 ML</t>
  </si>
  <si>
    <t>MAMADERA TOP KIDS 280ML</t>
  </si>
  <si>
    <t>MAMADERA VIDRIO BEST HOUSE X120ML</t>
  </si>
  <si>
    <t>MAMADERAS TOP KIDS 1UNI</t>
  </si>
  <si>
    <t>MAMISTOP GATO 100GR</t>
  </si>
  <si>
    <t>MAMISTOP PERROS SUSTITUTO LACTEO CANINO X250G DRAG PHARMA</t>
  </si>
  <si>
    <t>MAMISTOP SUSTITUTO LACTEO CANINO X125G LAB. DRAG PHARMA</t>
  </si>
  <si>
    <t>MANGO AFRICANO 500MG X100CAPS LAB. VALLE DE VIDA</t>
  </si>
  <si>
    <t>MANTECA DE CACAO COCO VALMA 1UND</t>
  </si>
  <si>
    <t>MANTECA DE CACAO DE PLATANO</t>
  </si>
  <si>
    <t>MANTECA DE CACAO FRUTILLA BARRA LAB MAV 1UNI</t>
  </si>
  <si>
    <t>MANTECA DE CACAO. BARRA LABIAL.</t>
  </si>
  <si>
    <t>MANZANILLA FLOR MATERIA PRIMA 7G</t>
  </si>
  <si>
    <t>MAQUI PRO VITAMINA C + VITAMINA E 5MG + 5MG X120CAPS LAB. AURA VITAL</t>
  </si>
  <si>
    <t>MAQUINA AFEITAR SAFETY RAZOR</t>
  </si>
  <si>
    <t>MAQUINA DE AFEITAR BIC ADVANCE 3</t>
  </si>
  <si>
    <t>MAQUINA DE AFEITAR HOMBRE X2 UNIDADES 3 HOJAS</t>
  </si>
  <si>
    <t>MAQUINA DE AFEITAR MUJER X2 UNIDADES</t>
  </si>
  <si>
    <t>MAQUINA DE AFEITAR SOLEIL MUJER</t>
  </si>
  <si>
    <t>MAQUINA DE AFEITAR WILKINSON X2</t>
  </si>
  <si>
    <t>MAQUINA GILLETTE VENUS INTIMA</t>
  </si>
  <si>
    <t>MAQUINA SCHICK QUATTRO YOU ALOE x 4 UND</t>
  </si>
  <si>
    <t>MAREAMIN DIMENHIDRINATO 100MG X20COMP. EUROFARMA</t>
  </si>
  <si>
    <t>MASCARA 24H EFECTO FALSE LASH DOLCE BELLA</t>
  </si>
  <si>
    <t>MASCARA CAPILAR MATIZADORA VIOLETA 300G BELKIT PREMIUM</t>
  </si>
  <si>
    <t>MASCARA DE PESTANAS A PRUEBA DE AGUA</t>
  </si>
  <si>
    <t>MASCARA DE PESTANAS FIBER LASH DOLCE BELLA 10ML</t>
  </si>
  <si>
    <t>MASCARA DE PESTANAS MAYBELLINE BIG SHOT VOLUM EXPRESS</t>
  </si>
  <si>
    <t>MASCARA DE PESTANAS VOGUE AMOR A PRIMERA VISTA WP 9G</t>
  </si>
  <si>
    <t>MASCARA DE PESTANAS. PRUEBA AGUA 12G PREFACE</t>
  </si>
  <si>
    <t>MASCARA EXPLOSIVE LASH LONG DEFINE 9 GR PZZO</t>
  </si>
  <si>
    <t>MASCARA PESTANA DE MUNECA 9G VOGUE</t>
  </si>
  <si>
    <t>MASCARA PESTANA LASH PARADISE WATERPROOF 6.4ML LOREAL</t>
  </si>
  <si>
    <t>MASCARA PESTANAS LOREAL AIR MEGA VOLUME 9.4ML</t>
  </si>
  <si>
    <t>MASCARA PESTANAS VOLUMEN Y DEFINICION 21.5G DOLCE BELLA</t>
  </si>
  <si>
    <t>MASCARILLA 3 PLIEGUES INFANTIL CELESTE 50UND</t>
  </si>
  <si>
    <t>MASCARILLA REPARACION ELVIVE X300G LOREAL</t>
  </si>
  <si>
    <t>MATICO COMPUESTO T.M COMP. KNOP</t>
  </si>
  <si>
    <t>MATICO+ ALOE + CALENDULA</t>
  </si>
  <si>
    <t>MATICO+CALENDULA + ARNICA</t>
  </si>
  <si>
    <t>MAXIMA FIJACION COREGA</t>
  </si>
  <si>
    <t>MAYB.MASC. LS SKY WPBL</t>
  </si>
  <si>
    <t>MAYBELLINE COLOR SENSATIONAL MATTE LIPSTICK 665 4.2G</t>
  </si>
  <si>
    <t>MAYBELLINE LAB.MATTE INK 55-DRIVER 5ML</t>
  </si>
  <si>
    <t>MAYBELLINE LIPSTICK PLUM FOR ME 388 4.2G</t>
  </si>
  <si>
    <t>MAYBELLINE MASCARA DE PESTANAS COLOSSAL NEGRO WATERPROOF</t>
  </si>
  <si>
    <t>MAYBELLINE MASCARA PESTANAS X6ML LOREAL</t>
  </si>
  <si>
    <t>PERFUMERIA</t>
  </si>
  <si>
    <t>MAYBELLINE NEW YORK SUPER STAY TEDDY TINT 10 CURRENT MOOD X5ML</t>
  </si>
  <si>
    <t>MAYBELLINE NEW YORK SUPER STAY TEDDY TINT 15 SKINNDIP X5ML</t>
  </si>
  <si>
    <t>MAYBELLINE NEW YORK SUPER STAY TEDDY TINT 25 BABY TEE X5ML</t>
  </si>
  <si>
    <t>MAYBELLINE NEW YORK SUPER STAY TEDDY TINT 30 COQUETTISH X5ML</t>
  </si>
  <si>
    <t>MAYBELLINE NEW YORK SUPER STAY TEDDY TINT 35 JULY FOREVER X5ML</t>
  </si>
  <si>
    <t>MAYBELLINE NEW YORK SUPER STAY TEDDY TINT 40 PETALCORE X5ML</t>
  </si>
  <si>
    <t>MAYBELLINE NEW YORK SUPER STAY TEDDY TINT 45 PINK PROMISE X5ML</t>
  </si>
  <si>
    <t>MAYBELLINE NEW YORK SUPER STAY TEDDY TINT 50 WILD AT HEART X5ML</t>
  </si>
  <si>
    <t>MAYBELLINE NEW YORK SUPER STAY TEDDY TINT 55 KNEEHIGH X5ML</t>
  </si>
  <si>
    <t>MAYBELLINE SUPER STAY 24H 005 1.8G</t>
  </si>
  <si>
    <t>MAYBELLINE SUPERSTAY FULL COVERAGE 24H FOUNDATION 334</t>
  </si>
  <si>
    <t>MAYN. MASC.LS SKY BLAC</t>
  </si>
  <si>
    <t>MAYON CREMA ADHESIVA X30 GRS LAB. MAYON</t>
  </si>
  <si>
    <t>MEBENDAZOL 100MG X6COMP LAB. MILAB</t>
  </si>
  <si>
    <t>MEBENDAZOL MEBENDAZOL 100 MG X35ML LAB. LAFEDAR</t>
  </si>
  <si>
    <t>MED+S CEROTTO M 5X5CM</t>
  </si>
  <si>
    <t>MEDIAS ANTI-EMBOLIA</t>
  </si>
  <si>
    <t>MEDICAPS 130ML</t>
  </si>
  <si>
    <t>MEDICASP SHAMPOO KETOCONAZOL 1G X130ML LAB. GENNOMA</t>
  </si>
  <si>
    <t>MEDIDOR DE GLUCOSA</t>
  </si>
  <si>
    <t>MEDITERRANEO ANTONIO BANDERAS</t>
  </si>
  <si>
    <t>MEDITERRANEO BANDERAS</t>
  </si>
  <si>
    <t>MEDS FAMACEROTTO SUTURA ESTERIL 6.4x76MM 2UND ZABBAN</t>
  </si>
  <si>
    <t>MEDS FARMACEROTTO VENDITA CON GAZA ANTIADHERENTE 12UND ZABBAN</t>
  </si>
  <si>
    <t>MEDS FARMACEROTTO VENDITA GAZA ANTIADHERENTE 20UND GABBAN</t>
  </si>
  <si>
    <t>MEDS FARMACEROTTO VENDITA GAZA ANTIADHERENTE 40UND GABBAN</t>
  </si>
  <si>
    <t>MEDS PROTECT FILM ADHESIVO ESTERIL TRANSPARENTE IMPERMEABLE AL AL AGUA 100UND 6CMX7CM LAB ROKYMEDS</t>
  </si>
  <si>
    <t>MEDS TEJIDO HIPOALERGENICO FIJACION DE APOSITOS 10X10CM FARMATNT</t>
  </si>
  <si>
    <t>MEFORMINA CLORHIDRATO 850 MG X 60 COMP.</t>
  </si>
  <si>
    <t>MELATONINA 3MG 30COMP. LAB MOMENTA</t>
  </si>
  <si>
    <t>MELATONINA 3MG ML GOTAS CIRCALIFE</t>
  </si>
  <si>
    <t>MELATONINA 3MG X30CAPS ARAMA</t>
  </si>
  <si>
    <t>MELATONINA CAPS. 3MG CURAESPRING</t>
  </si>
  <si>
    <t>MELENA DE LEON 230MG X90CAP LAB. AURA VITALIS</t>
  </si>
  <si>
    <t>MELENA DE LEON 90 CAP FULLENERGIC</t>
  </si>
  <si>
    <t>MELIPASS 24 CAPSULAS</t>
  </si>
  <si>
    <t>MELIPASS MELISSA OFFICINALIS L-PASSIFLORA COERULEA L 127,5 MG-127,5 MG 60 CAPSULAS LAB. KNOP</t>
  </si>
  <si>
    <t>MELISA T.M. COMP. KNOP</t>
  </si>
  <si>
    <t>MELISSA MEDICAMENTO HOMEOPATICO 30ML LAB KNOP</t>
  </si>
  <si>
    <t>MELOXICAM 15MG X10COMP OPKO B</t>
  </si>
  <si>
    <t>MELOXICAM 15MG. X10COMP. LAB.MINTLAB</t>
  </si>
  <si>
    <t>MELOXICAM 7.5MG X15ML LAB. MILAB</t>
  </si>
  <si>
    <t>MELOXIVET JARABE</t>
  </si>
  <si>
    <t>MELOXIVET MELOXICAM 1MG X60ML LAB. DRAG PHARMA</t>
  </si>
  <si>
    <t>MEMANTINA CLORHIDRATO 10MG X28COMP</t>
  </si>
  <si>
    <t>MEMANTINA CLORHIDRATO 20 MG. 30COMP. PHARMATECH</t>
  </si>
  <si>
    <t>MEMANVITAE MEMANTINA CLORHIDRATO 10MG X56COMP LAB. GALENICUM</t>
  </si>
  <si>
    <t>MEMANVITAE MEMANTINA CLORHIDRATO 20MG X56 COMP. GALENICUM B</t>
  </si>
  <si>
    <t>MEMIKARE COMPRIMIDOS 10MG X30COMP. DR. REDDYS B</t>
  </si>
  <si>
    <t>MENOSIN PLUS X60CAPS LAB. AURA VITALIS</t>
  </si>
  <si>
    <t>MENTALOL LATA UNGUENTO 12 GR. LAB. PORTUGAL</t>
  </si>
  <si>
    <t>MENTH.ANALGESICO DENTAL SOLUCION TOPICA 3.7 ML.</t>
  </si>
  <si>
    <t>MENTHOLATUM 85 GRS.</t>
  </si>
  <si>
    <t>MENTHOLATUM INHALADOR NASAL</t>
  </si>
  <si>
    <t>MENTHOLATUM TARRO 30GR HOFMANN</t>
  </si>
  <si>
    <t>MENTHOLATUM UNGUENTO DE USO EXTERNO X36GR HOFMANN</t>
  </si>
  <si>
    <t>MENTHOLATUM UNGUENTO USO EXTERNO X12GR HOFMANN</t>
  </si>
  <si>
    <t>MENTIX 200 MEDAFINILO 200MG X30COMP LAB. MEGALABS</t>
  </si>
  <si>
    <t>MENTIX MODAFINILO 100MG X30COMP. LAB.MEGALABS</t>
  </si>
  <si>
    <t>MEPROKEM METOPROLOL TARTRATO 25MG X30CAPS LAB. ASCEND</t>
  </si>
  <si>
    <t>MERPAL DICLOFENACO DIETILAMINA 1.16 SPRAY X110ML PRATER</t>
  </si>
  <si>
    <t>MERPAL GOTAS ORALES DICLOFENACO RESINATO 15MGML X20ML PRATER</t>
  </si>
  <si>
    <t>MERPAL SO DICLOFENACO ACIDO LIBRE 18MGML 120ML PRATER</t>
  </si>
  <si>
    <t>MESALAZINA 500MG X100COMP LAB. HUONS</t>
  </si>
  <si>
    <t>MESIGYNA SOL. INYECTABLE 1 JERINGA PRELLENADA</t>
  </si>
  <si>
    <t>META MUCIL POLVO SUSPENSION ORAL FIBRA X174G</t>
  </si>
  <si>
    <t>META MUSIL SABOR NARANJA 425G</t>
  </si>
  <si>
    <t>METAMIZOL SODICO 1G 5 AMPOLLAS LAB. BIOSANO</t>
  </si>
  <si>
    <t>METAMIZOL SODICO COMPRIMIDOS 300 mg X 20</t>
  </si>
  <si>
    <t>METAMIZOL SODICO DIPIRONA 250MG 5 SUPOSITORIOS LAB. PASTEUR</t>
  </si>
  <si>
    <t>METAMIZOL SODICO DIPIRONA 300GRS</t>
  </si>
  <si>
    <t>METAMIZOL SODICO DIPIRONA 300MG 20COMPVALMA B</t>
  </si>
  <si>
    <t>METAMIZOL SODICO MONOHIDRATADO-dipirona- 300 MG. 20 COMP.</t>
  </si>
  <si>
    <t>METFORMINA 850MG X30COMP LAB. ANDROMACO</t>
  </si>
  <si>
    <t>METFORMINA CLORHIDRATO + GLIBENCLAMIDA METFORMINA CLORHIDRATO + GLIBENCLAMIDA 500MG + 5MG X30MIN LA</t>
  </si>
  <si>
    <t>METFORMINA CLORHIDRATO 750MG 30 COMPRIMIDOS</t>
  </si>
  <si>
    <t>METFORMINA CLORHIDRATO 850 MG 60 COMPRIMIDOS</t>
  </si>
  <si>
    <t>METFORMINA CLORHIDRATO 850 MG. 60 COMP.</t>
  </si>
  <si>
    <t>METFORMINA CLORHIDRATO 850MG X30COMP ASCEND B</t>
  </si>
  <si>
    <t>METFORMINA CLORHIDRATO 850MG X60COMP LCH B</t>
  </si>
  <si>
    <t>METILDOPA 250MG X20COMP LAB. LCH</t>
  </si>
  <si>
    <t>METOCLOPRAMIDA 10MG X24COMP. LAB. MINLAB B</t>
  </si>
  <si>
    <t>METOCLOPRAMIDA CLORHIDRATO 24COMP LCH 10MG</t>
  </si>
  <si>
    <t>METORENE CLORTALIDONA 12.5 MG X30 COMP LAB. MEGALABS</t>
  </si>
  <si>
    <t>metotrexato 2.5 mg</t>
  </si>
  <si>
    <t>METRONIDAZOL 075 GEL. 30G</t>
  </si>
  <si>
    <t>METRONIDAZOL 10 OVUL LCH 500MG</t>
  </si>
  <si>
    <t>METRONIDAZOL 500MG X10OVULOS LAB. OPES</t>
  </si>
  <si>
    <t>METROPAST METRONIDAZOL 500 MG. X10 COMP. LAB. PASTEUR</t>
  </si>
  <si>
    <t>METROPAST METRONIDAZOL 500MG X20COMP. LAB. PASTEUR</t>
  </si>
  <si>
    <t>METROPAST OVULOS 500 MG.</t>
  </si>
  <si>
    <t>MIA TOALLITAS DESMAQUILLADORAS WATERPROOF X25UNIDADES LAB. SOCOFAR</t>
  </si>
  <si>
    <t>MIA TOALLITAS DESMAQUILLANTES</t>
  </si>
  <si>
    <t>MICARDIS AMLO COM 8010 MG X 28</t>
  </si>
  <si>
    <t>MICARDIS AMLO TELMISARTAN + AMLODIPINO 80MG + 5MG X28COMP LAB. BOEHRINGER INGELHEIM</t>
  </si>
  <si>
    <t>MICARDIS PLUS TELMISARTAN + HIDROCLOROTIAZIDA 80MG + 12.5MG X28COMP LAB. BOEHRINGER INGELHEIM</t>
  </si>
  <si>
    <t>MICOFENOLATO 500MG X50 COMP</t>
  </si>
  <si>
    <t>MICOLAC AMOROLFINA 5G 3.0ML LAB. FOUCHARD</t>
  </si>
  <si>
    <t>MICOLIS ECONAZOL NITRATO 1% X20G LAB. MEGALABS</t>
  </si>
  <si>
    <t>MICROPIROX CICLOPIROX OLAMINA 1%</t>
  </si>
  <si>
    <t>MICROPORE 3M</t>
  </si>
  <si>
    <t>MICROSER BETAHISTINA DICLORHIDRATO 24MG 30 COMPRIMIDOS</t>
  </si>
  <si>
    <t>MICROSER BETAHISTINA DICLORHIDRATO 8MG X30COMP LAB. GRUNENTHAL</t>
  </si>
  <si>
    <t>MIGHTY PARCHE ACNE DUO X 12 UN X LABHERO</t>
  </si>
  <si>
    <t>MIGRA - NEFERSIL OFERTACLONIXINATO + ERGOTAMINA 125MG + 1 MG X10 COMP. LAB. MEGALAB</t>
  </si>
  <si>
    <t>MIGRANOL METAMIZOL SODICO + ERGOTAMINA TARTRATO + CAFEINA 300MG + 1.0MG + 100MG X10COMP LAB. BAGO</t>
  </si>
  <si>
    <t>MIGRAPLEX CEFALEA MIGRAÑA 30 COMP. LAB. KNOP</t>
  </si>
  <si>
    <t>MILAB FLUCLOXACILIA 250MG X60ML LAB. MINTLAB</t>
  </si>
  <si>
    <t>MILLEF CARE CERA MICROONDAS X180</t>
  </si>
  <si>
    <t>MILLEF CARE CREMA DEPILATORIA X100</t>
  </si>
  <si>
    <t>MILLEF SOFT BAND FAC 16UND</t>
  </si>
  <si>
    <t>MILLEFIORI CREMA DEPILADORA 20G</t>
  </si>
  <si>
    <t>MINI PASTILLERO 7 DIAS BH</t>
  </si>
  <si>
    <t>MINITABS CIRUELAX CASSIA ANGUSTIFOLIA 75MG X100COMP LAB. GARDEN HOUSE</t>
  </si>
  <si>
    <t>MINITABS CIRUELAX CASSIA ANGUSTIFOLIA 75MG X20COMP LAB. GARDEN HOUSE</t>
  </si>
  <si>
    <t>MINTALUB CREMA DERMICA X35MG MINLAB</t>
  </si>
  <si>
    <t>MINTAVIT VITAMINA C MAS.FR.500MG 32COMP</t>
  </si>
  <si>
    <t>MIRAGRAN NARATRIPTAN 2.5MG X10COMP LAB. ROYAL PHARMA</t>
  </si>
  <si>
    <t>MIRTA VITAE 15 MG MIRTAZAPINA 30 COMP. LAB.LAGENICUM</t>
  </si>
  <si>
    <t>MIRTAVIAE MIRTAZAPINA 30MG X30COMP LAB. GALENICUM</t>
  </si>
  <si>
    <t>MIRTAZAPINA 30 COMP. 15 MG. LAB. CHILE</t>
  </si>
  <si>
    <t>MIXANTIP PLUS ANTIBIOTICO+ ANTIFLAMATORIO+ ANTIALERGICO X15G LAB. DRAG PHARMA</t>
  </si>
  <si>
    <t>MIXANTIP PLUS CREMA ANTIBIOTICO 50 GR. LAB. PHARMA</t>
  </si>
  <si>
    <t>MODAVITAE 100 MG MODAFINILO 100 MG</t>
  </si>
  <si>
    <t>MODAVITAE MODAFINILO 200 MG. 30 COMP. LAB. GALENICUM B</t>
  </si>
  <si>
    <t>MODILCASS IMQUIMOD 5.0G X10G LAB. CASSARA</t>
  </si>
  <si>
    <t>MODUMIQ IMIQUIMOD 5G X3G LAB. LAZAR</t>
  </si>
  <si>
    <t>MOKIT OF SOL NASAL V/DOS X50ML</t>
  </si>
  <si>
    <t>MOKIT OFF KIDS CLORURO DE SODIO SOLUCION NASAL 0.9 X50ML PRATER</t>
  </si>
  <si>
    <t>MOMENTA ANFEBUTAMONA CLORHIDRATO 150 MG. 30 COMP. LAB. MOMENTA</t>
  </si>
  <si>
    <t>MOMENTA OLMESARTAN MEDOXOMILO + HIDROCLOROTIAZIDA 20MG + 12.5MG X30COMP LAB. EUROFARM</t>
  </si>
  <si>
    <t>MOMENTA OLMESARTAN MEDOXOMILO + HIDROCLOROTIAZIDA 40MG + 12.5MG X30COMP LAB. EUROFARM</t>
  </si>
  <si>
    <t>MOMENTA OLMESARTAN MEDOXOMILO 20MG X30COMP LAB. EUROFARM</t>
  </si>
  <si>
    <t>MOMENTA OLMESARTAN MEDOXOMILO 40MG X30COMP LAB. EUROFARM</t>
  </si>
  <si>
    <t>MOMENTA TODALAFILO USO ADULTO 5 MG. 30 COMP. LAB. EUROFARMA</t>
  </si>
  <si>
    <t>MOMETASONA FUROATO 0.1 CREMA TOPICA. 15 GRS. HOSPIFARMA</t>
  </si>
  <si>
    <t>MONDRIAN ANFEBUTAMONA 150MG</t>
  </si>
  <si>
    <t>MONEZ MOMETAZONA FUROATO SUSP. NASAL SPRAY 50 MCG 140 DOSIS LAB. CHILE</t>
  </si>
  <si>
    <t>MONI MORINDA CITRIFOLIA X1000MG VALLE Y SOL</t>
  </si>
  <si>
    <t>MONKAST MONTELUKAST 10MG X28COMP LAB. PASTEUR</t>
  </si>
  <si>
    <t>MONSTER ENERGY GUARANA X473ML</t>
  </si>
  <si>
    <t>MONSTER ENERGY MANGO LOCO x473ml</t>
  </si>
  <si>
    <t>MONSTER ENERGY ULTRA GOLD SIN AZUCAR X473ML</t>
  </si>
  <si>
    <t>MONSTER ENERGY ULTRA PARADISE X473ML</t>
  </si>
  <si>
    <t>MONSTER ENERGY ULTRA SIN AZUCAR X473ML</t>
  </si>
  <si>
    <t>MONSTER ENERGY ULTRA X473ML</t>
  </si>
  <si>
    <t>MONSTER ENERGY X473ML</t>
  </si>
  <si>
    <t>MONSTER MANGO LOCO ENERGY X473ML</t>
  </si>
  <si>
    <t>MONSTER ULTRA PARADISE SIN AZUCAR X473ML</t>
  </si>
  <si>
    <t>MONTEKULAST 10MG X30COMP LAB. SEVEN PHARMA</t>
  </si>
  <si>
    <t>MONTEKULAST 5MG X30COMP LAB. SEVEN PHARMA B</t>
  </si>
  <si>
    <t>MONTELUKAST 10MG 30 COMPRIMIDOS</t>
  </si>
  <si>
    <t>MONTELUKAST 4MG X30COMP. LAB. SEVEN PHARMA</t>
  </si>
  <si>
    <t>MONTELUKAST LCH 10MG</t>
  </si>
  <si>
    <t>MONTICINA 15G</t>
  </si>
  <si>
    <t>MORDEDOR ENFRIABLE 3M+</t>
  </si>
  <si>
    <t>MORENA DIABETES MEDICAMENTO HOMEOPATICO X50COMP LAB. KNOP</t>
  </si>
  <si>
    <t>MORINGA ANCESTR 120CAP VALL-SOL 42G</t>
  </si>
  <si>
    <t>MORINGA ANCESTRAL+VITAMINA C SUPLEMENTO ALIMENTICIO X200CAPS LAB VALLE Y SOL</t>
  </si>
  <si>
    <t>MORINGA ANCESTRAL+VITAMINA C SUPLEMENTO ALIMENTICIO X60CAPS LAB VALLE Y SOL</t>
  </si>
  <si>
    <t>MORINGA MAQUI SUPLEMENTO ALIMENTICIO X60CAPS LAB. ALQUIMIA VERDE</t>
  </si>
  <si>
    <t>MOSTAZA MOLIDA MATERIA PRIMA 30GR</t>
  </si>
  <si>
    <t>MOUSSE DUO 160 ML ACONDICIONADOR Y FIJADOR</t>
  </si>
  <si>
    <t>MOUSSE MODERNA FIJACION RIZZO STYLING 320ML</t>
  </si>
  <si>
    <t>MOVIDOL MEBEVERINA CLORHIDRATO 30CAP PAST 200MG</t>
  </si>
  <si>
    <t>MOVIGIL MODAFILINO 100 MG. 30 COMP.</t>
  </si>
  <si>
    <t>MOVIGIL MODAFINILO 200MG BAGO</t>
  </si>
  <si>
    <t>MOVIPLUS DIFENIDOL 25MG X30COMP LAB BAGO</t>
  </si>
  <si>
    <t>MOXIFLOXACINO 400MG X10COMP LAB. DE CHILE</t>
  </si>
  <si>
    <t>MT AGUJA HIPODERMICA ESTERIL 23 GRS. X 1 100 UNDS. MEDICALT</t>
  </si>
  <si>
    <t>MUCIVIL  SOL. TOPICO 1 %  TERBINAFINA CLORHIDRATO  20 ML.  1 UND.   LAB. PRATER</t>
  </si>
  <si>
    <t>MUCIVIL GOTAS X15ML</t>
  </si>
  <si>
    <t>MUCIVIL S. TOPICA 1% TERBINAFINA CLORHIDRATO 15 ML 1 UND. LAB. PRATER</t>
  </si>
  <si>
    <t>MUCIVIL TERBINAFINA 250 MG. X30 COMP. LAB. PRATER</t>
  </si>
  <si>
    <t>MULCATEL SO 10 MAV 200MLMAVER</t>
  </si>
  <si>
    <t>MULTI - VIT MULTIVITAMINICO + TAURINA X50ML LAB. BEAPHAR</t>
  </si>
  <si>
    <t>MULTI-VIT BEAPHAR</t>
  </si>
  <si>
    <t>MULTIFLORA 8 ML GOTAS PROBIOTICAS</t>
  </si>
  <si>
    <t>MULTIFLORA ADVANCE PROBIOTICOS 2X10UFC X30CAPS MEGALABS</t>
  </si>
  <si>
    <t>MULTIFLORA ATB PROBIOTICOS 15G X30CAPS LAB. MEGALABS</t>
  </si>
  <si>
    <t>MULTIFLORA D CON VIT.D 8ML</t>
  </si>
  <si>
    <t>MULTIFLORA PLUS PROBIOTICOS 1 x 10 30 CAP. LAB. MEGALABS</t>
  </si>
  <si>
    <t>MULTIFLORA PROBIOTICOS X14SACHETS LAB. MEGALABS</t>
  </si>
  <si>
    <t>MULTIKIDS MULTIVITAMINICO + PROBIOTICOS X30CAPS LAB. SPRINGLIFE</t>
  </si>
  <si>
    <t>MULTISENIOR MULTIVITAMINICO X60CAPS LAB. SPRINGLIFE</t>
  </si>
  <si>
    <t>MULTIVITAMINAS EFERVESCENTE. 20 TABS. EFERVESCENTES.</t>
  </si>
  <si>
    <t>MULTIVITAMINICO 30 TAB</t>
  </si>
  <si>
    <t>MULTIVITAMINICO HOMBRE 30 COMP LAB. SPRINGLIFE</t>
  </si>
  <si>
    <t>MULTIVITAMINICO HOMBRE SAB. NARANJA SPRINGLIFE</t>
  </si>
  <si>
    <t>MULTIVITAMINICO HOMBRE X60CAP LAB. SPRINGLIFE</t>
  </si>
  <si>
    <t>MULTIVITAMINICO PARA MUJER X60CAPS LAB. SPRINGLIFE</t>
  </si>
  <si>
    <t>MULTIVITAMINICO X30 CAPS SPRINGLIFE</t>
  </si>
  <si>
    <t>MUNO 5 SUPLEMENTO ALIMENTARIO X30 CAPS LAB. AXON PHARMA</t>
  </si>
  <si>
    <t>MUNO PROBIOTICOS X10ML LAB. AXON PHARMA</t>
  </si>
  <si>
    <t>MUNO SUPLEMENTO ALIMENTARIO 30 STICKS LAB. AXON PHARMA</t>
  </si>
  <si>
    <t>MUNO SUPLEMENTO ALIMENTARIO START PROBIOTICOS+VITAMINAS 400UI X30SOBRES AXON PHARMA</t>
  </si>
  <si>
    <t>MUNO SUPLEMENTO ALIMENTARIO X30 COMP. LAB. AXON PHARMA</t>
  </si>
  <si>
    <t>MUPAX MUPIROCINA 2G X7.5G LAB. LAZAR</t>
  </si>
  <si>
    <t>MUPIROCINA UNGUENTO TOPICO X15G 2 HOSPIFARMA</t>
  </si>
  <si>
    <t>MUXOL ADULTO AMBROXOL CLORHIDRATO 30 MG X100ML LAB. SAVAL</t>
  </si>
  <si>
    <t>MUXOL PEDIATRICO AMBROXOL CLORHIDRATO 15 MG X100ML LAB. SAVAL</t>
  </si>
  <si>
    <t>NAFAZOLINA HCL+ ANTAZOLINA FOSFATO. SOL. OFTALMICA 10 ML. OFTALIRIO</t>
  </si>
  <si>
    <t>NAFTALINA 9 BOLITAS</t>
  </si>
  <si>
    <t>NAIL CLIPPER BEAUTY</t>
  </si>
  <si>
    <t>NAIL POLISH 100 BEAUTY</t>
  </si>
  <si>
    <t>NAN 1 L.COMFORTIS 0 A 6 M 800GR</t>
  </si>
  <si>
    <t>NAN 1 OPTIPRO 5HMO 0 A 6M 800G. NESTLE</t>
  </si>
  <si>
    <t>NAN 2 L CONFORTIS FORM INFANT X 800 GR</t>
  </si>
  <si>
    <t>NAN 2 OPTIPRO 5HMO 800G NESTLE</t>
  </si>
  <si>
    <t>NAN EXPERTPRO COMFORT 3 HMO 800GR</t>
  </si>
  <si>
    <t>NAN OPTI PRO 3</t>
  </si>
  <si>
    <t>NANB 2 CONTINUACION X800G</t>
  </si>
  <si>
    <t>NAPHCON-A NAFAZOLINA CLORHIDRATO FENIRAMINA MALEATO</t>
  </si>
  <si>
    <t>NAPROXENO SODICO 10COMP LCH 550MG</t>
  </si>
  <si>
    <t>NAPROXENO SODICO 550 MG. 10 COMP. LAB MILAB</t>
  </si>
  <si>
    <t>NAPROXENO SODICO 550MG</t>
  </si>
  <si>
    <t>NARIKLIN ASPIRADOR NASAL INFANTIL VAICO MEDICAL</t>
  </si>
  <si>
    <t>NARTAN NARATRIPTAN 2.5MG X10COMP LABORATORIO CHILE</t>
  </si>
  <si>
    <t>NARTAN NARATRIPTAN 2.5mg2 COMP.</t>
  </si>
  <si>
    <t>NASIVIN CLORURO DE SODIO + GLICEROL 0.65G + 1 G 30ML LAB. MERCK</t>
  </si>
  <si>
    <t>NASOLVER JARABE X100ML MINTLAB</t>
  </si>
  <si>
    <t>NASONEX MOMETASONA FUROATO 50mcg 140DOSIS LAB. ORGANON</t>
  </si>
  <si>
    <t>NASTIFRIN COMPUESTO DN X20COMP LCH</t>
  </si>
  <si>
    <t>NASTIZOL COMPOSITUM x 6 comprimidos -Bago-</t>
  </si>
  <si>
    <t>NASTIZOL D/N PARACETAMOL + CLORFENAMINA MALEATO + PSEUDOEF 500MG + 4MG + 60MG X18COMP LAB. BAGO</t>
  </si>
  <si>
    <t>NASTIZOL PARACETAMOL + 120 MG + PSEUDOEFEDRINA 7.5 MG + CLORFENAMINA. 15 ML. GOTAS LAB.BAGO</t>
  </si>
  <si>
    <t>NASTIZOL PARACETAMOL + CLORFENAMINA MALEATO + PSEUDOEFEDRINA 500MG + 4MG + 60MG X10COMP LAB. BAGO</t>
  </si>
  <si>
    <t>NASTIZOL PARACETAMOL + CLORFENAMINA MALEATO + PSEUDOEFEDRINA SULFATO 125MG + 2MG + 30MG X100ML LAB.</t>
  </si>
  <si>
    <t>NASTIZOL PSEUDOEFEDRINA + CLORFENAMINA MALEATO 30MG + 2MG X120ML LAB. BAGO</t>
  </si>
  <si>
    <t>NASTIZOL PSEUDOEFEDRINA SULFATO+CLORFENAMINA MALEATO 30MG+1MG X15ML LAB. BAGO</t>
  </si>
  <si>
    <t>NASTUL COMPUESTO 10. COMP. LAB. CHEMO</t>
  </si>
  <si>
    <t>NASTUL PARACETAMOL + PSEDOEFEDRINA SULFATO + CLORFENAMINA MALEATO 125MG + 30MG + 2MG X100ML LAB. CH</t>
  </si>
  <si>
    <t>NASTUL SOLUCION GOTAS ORALES X15ML CHEMA</t>
  </si>
  <si>
    <t>NATALIE PERFUME 250ML</t>
  </si>
  <si>
    <t>NATICARE PRE SUPLEMENTO ALIMENTARIO X30CAP LAB. ITF</t>
  </si>
  <si>
    <t>NATICARE SUPRA X30COMP ITF</t>
  </si>
  <si>
    <t>NATURA LIST STEVIA ENDULSADO EN BASE DE STEVIA Y SUCRALOSA X270ML LAB PRATER</t>
  </si>
  <si>
    <t>NATURALIST STEVIA TAB X 500 ENDULZANTE</t>
  </si>
  <si>
    <t>NATURALIST SUCRALOSA X500 TAB ENDULZANTE</t>
  </si>
  <si>
    <t>NATURELLA CON ALAS  X 8</t>
  </si>
  <si>
    <t>NATURELLA CUID NOT.EXL 8</t>
  </si>
  <si>
    <t>NAXPET KETOPROFENO 400MG X20ML LAB. DRAG PHARMA</t>
  </si>
  <si>
    <t>NAXPET KETOPROFNO 10MG X10COMP LAB. DRAG PHARMA</t>
  </si>
  <si>
    <t>NAXPET RAZA GRANDE KETOPROFENO 30MG ANALGESICO ANTIPIRETICO Y ANTIINFLAMATORIO X10COMP KDRAG PHARMA</t>
  </si>
  <si>
    <t>NAZTIZOL 10COMPRIMIDOS</t>
  </si>
  <si>
    <t>NEBIVITAE NOBIVOLOL 5MG X28COMP LAB. GALENICUM</t>
  </si>
  <si>
    <t>NEFERSIL CLONIXINATO DE LISINA 5G X50G LAB. MEGALABS</t>
  </si>
  <si>
    <t>NEFEX DUO DUTASTERIDA + TAMSULOSINA CLORHIDRATO 0.5MG + 0.4MG X30CAPS LAB. OPKO</t>
  </si>
  <si>
    <t>NEOALLEDRYL D DESLORATADINA + PSEUDOEFEDRINA SULFATO 2.5MG + 120MG X30COMP LAB. PRATER</t>
  </si>
  <si>
    <t>NEOHYSTICLAR DESLORATADINA 2.5MG X90ML LAB. MILAB</t>
  </si>
  <si>
    <t>NEOHYSTICLAR DESLORATADINA 5 MG. 30 COMP. LAB. MINTLAB</t>
  </si>
  <si>
    <t>NEOMICINA 12COMP LCH 500MG</t>
  </si>
  <si>
    <t>NEPOKARE DONEPEZILO CLORHIDRATO 10MG X30COMP LAB. DR.REDDYS</t>
  </si>
  <si>
    <t>NERBOTON JARABE COMPLEJO B X120ML LAB. FOP</t>
  </si>
  <si>
    <t>NERVO VITA 30ML AURA VITALIS</t>
  </si>
  <si>
    <t>NERVOHEEL 50 COMPRIMIDOS SUBLINGUALES</t>
  </si>
  <si>
    <t>NERVOVITA NARANJO + AVENA + VERBENA 80MG + 60MG + 30MG X60CAPS AURA VITALIS</t>
  </si>
  <si>
    <t>NESSUCAR POLVO X 500 GR</t>
  </si>
  <si>
    <t>NEUMOCORT PLUS BUDESONIDA + FORMOTEROL 160MCG + 4,5 INH 150DOSIS LAB CASSARA</t>
  </si>
  <si>
    <t>NEUREXAN COMP SUBLINGUALES X50UND HEEL</t>
  </si>
  <si>
    <t>NEUROBION DC</t>
  </si>
  <si>
    <t>NEUROBION VITAMINAS B1 + B6 + B12 100MG + 100MG + 10MG X3 JERINGAS LAB. DOBLE CAMARA</t>
  </si>
  <si>
    <t>NEUROBIONTA 100/50/1X 60</t>
  </si>
  <si>
    <t>NEUROBIONTA ADVANCE 30 COMP. RECUBIERTOS</t>
  </si>
  <si>
    <t>NEUROBIONTA ADVANCE TIAMINA+PIRIDOXINA+CIANOCOBALAMINA. 100MG + 50MG + 1MG X30COMP LAB.PROTER AND G</t>
  </si>
  <si>
    <t>NEUTROGENA ACIDO HIALURONICO HYDRO BOOST WATER GEL HIDRATANTE X50G JJ</t>
  </si>
  <si>
    <t>NEUTROGENA FACE CARE INTENSIVE</t>
  </si>
  <si>
    <t>NEUTROGENA GEL</t>
  </si>
  <si>
    <t>NEUTROGENA HYDRO BOOST ACIDO HIALURONICO X50G KENVUE</t>
  </si>
  <si>
    <t>NEUTROGENA MAKEUP REVOMER X25TOALLAS</t>
  </si>
  <si>
    <t>NEUTROGENA TOALLITAS DESMAQUILLANTES X25 UND.</t>
  </si>
  <si>
    <t>NEVINEX 75 PREGABALINA 75MGX30 CAPS LAB OPKO</t>
  </si>
  <si>
    <t>NEXCAR CINTA QUIRURGICA DE PAPEL COLOR BLAN 124.4</t>
  </si>
  <si>
    <t>NEXCARE 3M VENDITAS IMPERMEABLES 6UND. NEXCARE</t>
  </si>
  <si>
    <t>NEXCARE APOSITO ADHESIVO PIEL SENCIBLE 4.1CM X 6.7CM X3UND. 3M</t>
  </si>
  <si>
    <t>NEXCARE BANDITAS TRANSPARENTES X10UND. 3M</t>
  </si>
  <si>
    <t>NEXCARE BOTIQUIN EVOLUTION 22PIEZAS 3M</t>
  </si>
  <si>
    <t>NEXCARE CINTA QUIRURGICA DE PAPEL 24MM 3M</t>
  </si>
  <si>
    <t>NEXCARE COBAN VENDA AUTO ADHERENTE 75MMX4.5M X1UND 3M</t>
  </si>
  <si>
    <t>NEXCARE CURACION AVANZADA</t>
  </si>
  <si>
    <t>NEXCARE GASA SUAVE Y RESISTENTE 10X10CM. X6UND. 3M</t>
  </si>
  <si>
    <t>NEXCARE GAZA SUAVE Y RESISTENTE 6 GASAS 3M</t>
  </si>
  <si>
    <t>NEXCARE LIMP. HERIDAS 200ML 3M</t>
  </si>
  <si>
    <t>NEXCARE PARCHE OCULAR ADULTO 5UND. 3M</t>
  </si>
  <si>
    <t>NEXCARE PARCHE OCULAR PIEL SENCIBLE ADULTO 14UND. 3M</t>
  </si>
  <si>
    <t>NEXCARE PARCHE OCULAR PIEL SENSIBLE NIÑOS 14UND. 3M</t>
  </si>
  <si>
    <t>NEXCARE PARCHES DE ESPUMA ACOLCHADA X15UND 3M</t>
  </si>
  <si>
    <t>NEXCARE SUTURAS ADHESIVAS 6MMX75MM 9UND. 3M</t>
  </si>
  <si>
    <t>NEXCARE TAPONES DE OIDO CON ESTUCHE</t>
  </si>
  <si>
    <t>NEXCARE TAPONES DE OIDO REUTILIZABLE X1 PAR 3M</t>
  </si>
  <si>
    <t>NEXCARE TEGADERM 3 APOSITOS TRASPARENTES 6CMX7CM 3M</t>
  </si>
  <si>
    <t>NEXCARE TEGADERM APOSITO TRANSPARENTE 6CM X 7CM X3UND. 3M</t>
  </si>
  <si>
    <t>NEXCARE VENDITAS CON GEL QUE AYUDA ALIOVIAR EL DOLOR X6UND. 3M</t>
  </si>
  <si>
    <t>NEXGARD 10 A 25KG COMPRIMIDOS MASTICALES PARA PERROS</t>
  </si>
  <si>
    <t>NEXGARD 10.1 -25KG AFOXOLANER 68MG X3COMP LAB. BOEHRINGER INGELHEIM</t>
  </si>
  <si>
    <t>NEXGARD 15.1 - 30KG AFOXOLANER + MIBEMICINA OXIMA 75MG + 15.0MG X3COMP LAB. BOEHRINGER INGELHEIM</t>
  </si>
  <si>
    <t>NEXGARD 2-4KG AFOXOLANER 11.3MG X3COMP LAB. BOEHRINGER INGELHEIM</t>
  </si>
  <si>
    <t>NEXGARD 25 - 50KG AFOXOLANER 136MG X3COMP LAB. BOEHRINGER INGELHEIM</t>
  </si>
  <si>
    <t>NEXGARD 4.1 - 10KG AFOXOLANER 28.3MG X3COMP LAB. BOEHRINGER INGELHEIM</t>
  </si>
  <si>
    <t>NEXGARD AFOXOLANER 11.3MG PULGAS GARRAPATAS Y ACAROS 2 A 4KG 1COMP. MASTICABLES XXC17</t>
  </si>
  <si>
    <t>NEXGARD AFOXOLANER 68MG PULGAS GARRAPATAS Y ACAROS 10.1 A 25KG 1COMP. MASTICABLES XXC16</t>
  </si>
  <si>
    <t>NEXGARD COMBO 0,8 2,5KG X 1UND</t>
  </si>
  <si>
    <t>NEXGARD COMBO 2,5 7,5 X 1UND 0,9ML</t>
  </si>
  <si>
    <t>NEXGARD SPECTRA 2-3.5 KG 1 COMP</t>
  </si>
  <si>
    <t>NEXGARD SPECTRA 2-3.5KG AFOXOLANER + MIBEMICINA OXIMA 9.375MG + 1.875MG X3CAPS LAB. BOEHRINGEER ING</t>
  </si>
  <si>
    <t>NEXGARD SPECTRA 3.6 - 7.5KG AFOXOLANER + MIBEMICINA OXIMA 18.750MG + 3.750MG X3CAPS LAB. BOEHRINGEE</t>
  </si>
  <si>
    <t>NEXGARD SPECTRA 30.1 - 60KG AFOXOLANER + MIBEMICINA OXIMA 150.0MG + 30.0MG X3CAPS LAB. BOEHRINGEER</t>
  </si>
  <si>
    <t>NEXGARD SPECTRA 7.6 - 15KG AFOXOLANER + MIBEMICINA OXIMA 37.500MG + 7.500MG X3CAPS LAB. BOEHRINGEER</t>
  </si>
  <si>
    <t>NEXGARD SPECTRA INTERNAEXTERNA PERRO 15.1 A 30KG X1COMP. BOEHRINGER INGELHEIM XXC12</t>
  </si>
  <si>
    <t>NEXGARD SPECTRA INTERNAEXTERNA PERRO 2 A 3.5KG X1COMP. BOEHRINGER INGELHEIM XXC15</t>
  </si>
  <si>
    <t>NEXGARD SPECTRA INTERNAEXTERNA PERRO 3.6 A 7.5KG X1COMP. BOEHRINGER INGELHEIM XXC14</t>
  </si>
  <si>
    <t>NEXGARD SPECTRA INTERNAEXTERNA PERRO 30 A 60 X1COMP. BOEHRINGER INGELHEIM XXC11</t>
  </si>
  <si>
    <t>NEXGARD SPECTRA INTERNAEXTERNA PERRO 7.6 A 15KG X1COMP. BOEHRINGER INGELHEIM XXC13</t>
  </si>
  <si>
    <t>NEXIUM ESOMEPRAZOL 10MG 28 SOBRES</t>
  </si>
  <si>
    <t>NEXIUM ESOMEPRAZOL 20MG X28COMP LAB. ASTRAZENECA</t>
  </si>
  <si>
    <t>NEXIUM ESOMEPRAZOL 40MG X28COMP LAB. ASTRAZENECA</t>
  </si>
  <si>
    <t>NEZEL XR VENLAFAXINA CLORHIDRATO 150MG X30CAPS MINTLAB B</t>
  </si>
  <si>
    <t>NICODROPS NAFAZOLINA HCL + DEXTRAN 0.25MG + 1MG X10ML LAB. NICOLICK</t>
  </si>
  <si>
    <t>NICOTEARS HIPROMELOSA + DEXTRAN 3MG + 1MG X20ML LAB. NICOLICK</t>
  </si>
  <si>
    <t>NIDAL CONTINUACION APARTIR DE LOS 6 MESES X800G NIDAL</t>
  </si>
  <si>
    <t>NIDAL INICIO 800G NESTLE</t>
  </si>
  <si>
    <t>NIDAL JUNIOR 800G 3</t>
  </si>
  <si>
    <t>NIDO 1+ LECHE PLOVO X 700 GR NESTLE</t>
  </si>
  <si>
    <t>NIDO 1+LECHE POLVO 1350GR NESTLE</t>
  </si>
  <si>
    <t>NIDO 3 + LECHE POLVO X 700 GR NESTLE</t>
  </si>
  <si>
    <t>NIDO 3+ LECHE POLVO1350GR NESTLE</t>
  </si>
  <si>
    <t>NIDO 5+ LECHE EN POLVO 1350GR NESTLE</t>
  </si>
  <si>
    <t>NIDO 5+ LECHE POLVO 700GR</t>
  </si>
  <si>
    <t>NIEVA AGUA MICELAR ILUMINADORA X400ML</t>
  </si>
  <si>
    <t>NIEVA CREMA REAFIRMANTE Q10</t>
  </si>
  <si>
    <t>NIMUS RETARD BEZAFIBRATO 400MG X30COMP LAB. TECNOFARMA</t>
  </si>
  <si>
    <t>NISTAGLOS CREMA 30G</t>
  </si>
  <si>
    <t>NISTATINA 100.000 U.I.G. UNGUENTO TOPICO X15GR HOSPIFARMA</t>
  </si>
  <si>
    <t>NISTATINA 100000 U.I./G 15G UNGUENTO LAB CHILE</t>
  </si>
  <si>
    <t>NISTATINA 100000 UI X12OVULOS LAB. DE CHILE</t>
  </si>
  <si>
    <t>NISTATINA METRONIDAZOL 10 OVULOS LAB CHILE</t>
  </si>
  <si>
    <t>NISTATINA SUSP O 100000UIML LAFED 24ML</t>
  </si>
  <si>
    <t>NITROFURANTOINA MACROCRISTALES 100MG X10CAPS LAB. MINTLAB</t>
  </si>
  <si>
    <t>NIV ILUMINOUS SKINGLOW SERUM X30ML</t>
  </si>
  <si>
    <t>NIVE MEN PROTECT &amp; CARE 150ML</t>
  </si>
  <si>
    <t>NIVEA AGUA MICELAR 0% RESIDUOS</t>
  </si>
  <si>
    <t>NIVEA AGUA MICELAR BIFASICA ROSE CARE 100ML</t>
  </si>
  <si>
    <t>NIVEA AGUA MICELAR BIFASICA X400ML</t>
  </si>
  <si>
    <t>NIVEA AGUA MICELAR REGENADORA X400ML</t>
  </si>
  <si>
    <t>NIVEA AGUA MICELAR ROSE CARE X400ML</t>
  </si>
  <si>
    <t>NIVEA AGUA MISCELAR PIEL SENCIBLE X400ML</t>
  </si>
  <si>
    <t>NIVEA ANTITRANSPIRANTE NIVEA PEARL BEAUTY X150 ML AEROSOL BEIERSDORF</t>
  </si>
  <si>
    <t>NIVEA BAL.LAB.BELLA</t>
  </si>
  <si>
    <t>NIVEA BAL.LABIAL BLANCA NIEVES.4.BG</t>
  </si>
  <si>
    <t>NIVEA BALSAMO LABIA X4.8G SUN PROTEC NIVEA</t>
  </si>
  <si>
    <t>NIVEA BALSAMO LABIAL PRINCESAS</t>
  </si>
  <si>
    <t>NIVEA BALSAMO LABIAL WATERMELON</t>
  </si>
  <si>
    <t>nivea black white</t>
  </si>
  <si>
    <t>NIVEA BLACK WHITE INVISIBLE CLEAR ROLL ON ANTITRANSPIRANTE X50ML BEIERSDORF</t>
  </si>
  <si>
    <t>NIVEA BLANK Y WHITE  PURE 150ML</t>
  </si>
  <si>
    <t>NIVEA CELLULAR ACIDO HIALURONICO X30 ML LAB. BEIERSDORF</t>
  </si>
  <si>
    <t>NIVEA CREMA CORPORAL REAFIRMANTE Q10+VITAMINA C X1000 BEIERSDORF</t>
  </si>
  <si>
    <t>NIVEA CREMA FACIAL HIDRATANTE. X400ML.BEIERSDORF</t>
  </si>
  <si>
    <t>NIVEA CREMA PARA MANOS CALMATE ALOE VERA 75ML</t>
  </si>
  <si>
    <t>NIVEA CREMA PARA MANOS CUIDADO INTENSIVO PIEL SECA 100ML/102G</t>
  </si>
  <si>
    <t>NIVEA CREMA ROSTRO CUERPO MANOS. X75ML. BEIERSDORF</t>
  </si>
  <si>
    <t>NIVEA CREMA X150ML</t>
  </si>
  <si>
    <t>NIVEA CREMA X30ML BEIERSDORF</t>
  </si>
  <si>
    <t>NIVEA DERMO PROTEC</t>
  </si>
  <si>
    <t>NIVEA DOUBLE EFFECT</t>
  </si>
  <si>
    <t>NIVEA FACE ROSE CARE TOALLITAS X25</t>
  </si>
  <si>
    <t>NIVEA LOCION Q10 REAFIRMANTE X400ML</t>
  </si>
  <si>
    <t>NIVEA MASC.URB.SKIN HD.1</t>
  </si>
  <si>
    <t>NIVEA MEN  DESODORANTE DERMA PROTEC CLINICAL   150ML  NIVEA</t>
  </si>
  <si>
    <t>NIVEA MEN BLACK &amp; WHITE 150 ML</t>
  </si>
  <si>
    <t>NIVEA MEN BLACK CARBON DESOD BARRA 54G</t>
  </si>
  <si>
    <t>NIVEA MEN BLACKWHITE ROLLON ANT BEIE 50ML52G</t>
  </si>
  <si>
    <t>NIVEA MEN BLANK Y WHITE INVIISBLE 150ML</t>
  </si>
  <si>
    <t>NIVEA MEN CLINICAL DEO  ROLL ON 50ML</t>
  </si>
  <si>
    <t>NIVEA MEN CREME 150ML</t>
  </si>
  <si>
    <t>NIVEA MEN DEEP EXTREME MAXX 150ML</t>
  </si>
  <si>
    <t>NIVEA MEN FRESH OCEAN 150ML</t>
  </si>
  <si>
    <t>NIVEA MEN PROTECT DESHODORANTE</t>
  </si>
  <si>
    <t>NIVEA MEN SENSITIVE PROTECT 150ML</t>
  </si>
  <si>
    <t>NIVEA PEARLBEAUTY ROLL-ANT BEI 50ML</t>
  </si>
  <si>
    <t>NIVEA Q10 ANTI-ARRUGAS POWER CONTORNO DE OJOS 15ML</t>
  </si>
  <si>
    <t>NIVEA ROLL ON ANTITRANSPIRANTE TONO NATURAL CLASSIC TOUCH X50ML BEIERSDORF</t>
  </si>
  <si>
    <t>NIVEA SIN PERFUME</t>
  </si>
  <si>
    <t>NIVEA TONO NATURAL VIT.C CLASSIC TOUCH 150ML</t>
  </si>
  <si>
    <t>NOBIVAC® DAPPvL2 VACUNA SEXTUPLE 1DOSIS LAB. MSD</t>
  </si>
  <si>
    <t>NOGESTA 75 MCG DESOGESTREL 75 MCG X 28 COMP. RECUBIERTOS</t>
  </si>
  <si>
    <t>NONI-PAX FORTE FRUTO DE NONI 500MG X60CAPS LAB. VALLE Y SOL</t>
  </si>
  <si>
    <t>NOPTIC 3MG ESZOPICLONA 30COMP ANDROMACO</t>
  </si>
  <si>
    <t>NORDOX FENAZOPIRIDINA CROHIDRATO 200MG X14COMP LAB. TECNOFARMA</t>
  </si>
  <si>
    <t>NORESTIS BETAHISTINA DICLORHIDRATO 16MG 30 COMP</t>
  </si>
  <si>
    <t>NORMIX RIFAXIMINA POLIMORFO 200MG X12COMP LAB. ALFASIGMA</t>
  </si>
  <si>
    <t>NORMOART XR METFORMINA CLORHIIDRATO 750MG X30COMP LAB. PINACLE</t>
  </si>
  <si>
    <t>nortium 25 mg</t>
  </si>
  <si>
    <t>NOSCAPINA 20MG X20COMP LAB.MILAB</t>
  </si>
  <si>
    <t>NOSCAPINA NOSCAPINA 5 MG X100ML LAB. MILAB</t>
  </si>
  <si>
    <t>NOSOTRAS 20 PROTECTORES DE LACTANCIA</t>
  </si>
  <si>
    <t>NOSOTRAS DIARIOS PROTECTORES X100UND</t>
  </si>
  <si>
    <t>NOSOTRAS DIARIOS SENSITI V JABON INTIMO EXTRACTO DE ALGODON X200ML</t>
  </si>
  <si>
    <t>NOSOTRAS JABON INTIMO HIERBABUENA CONTROL OLOR X200ML FAMILIA</t>
  </si>
  <si>
    <t>NOSOTRAS JABON INTIMO PRO DEFENSE V C PREVIOTICOS 200ML</t>
  </si>
  <si>
    <t>NOSOTRAS MATERN 10UNI</t>
  </si>
  <si>
    <t>NOSOTRAS PROTECCION V 10 TOALLAS</t>
  </si>
  <si>
    <t>NOSOTRAS SENSITI V</t>
  </si>
  <si>
    <t>NOSOTRAS TAMPONES 8UNI NOS</t>
  </si>
  <si>
    <t>NOTINFLAM. PAPAYA. PINA CAPSULAS X 60</t>
  </si>
  <si>
    <t>NOVAFEM CON JERINGA</t>
  </si>
  <si>
    <t>NOVAFEM MEDROXIPROGESTERONA ACETATO + ESTRADIOL CIPIONATO 25 MG + 5 MG 1 AMPOLLA LAB. ANDROMACO</t>
  </si>
  <si>
    <t>NOVALIF OMEGA 3 VITAMINAS Y COLINA 60CAPS</t>
  </si>
  <si>
    <t>NOVO TEARS NAFAZOLINA HCI + HIPROMELOSA + DEXTRAN 0.12MG + 3MG+ 1MG X10ML LAB. SAVAL</t>
  </si>
  <si>
    <t>NOW ACEITE 100 ARBOL DE TE 30ML</t>
  </si>
  <si>
    <t>NOW ACEITES ECENCIALES ORGANICO. ROMERO. 30ML</t>
  </si>
  <si>
    <t>NOW ESSENTIAL OILS 100 PURE LIMON 1FTOZ X30ML PHARMASAN</t>
  </si>
  <si>
    <t>NP-27 ACIDO UNDECILENICO 8.71. G 30ML LAB FQP</t>
  </si>
  <si>
    <t>NP-27 ACIDO UNDECILENICO 8.71. G 60ML LAB FQP</t>
  </si>
  <si>
    <t>NUÑOA ACIDO BORICO 100 GRS. 1 UND. DROGUERIA ÑUÑOA</t>
  </si>
  <si>
    <t>NUTRUM WOMAN SUPLEMENTO ALIMENTICIO X60CAPS LAB. AURA VITALIS</t>
  </si>
  <si>
    <t>NUX VOMICA COMPUESTA GOTAS ORALES X30ML KNOP</t>
  </si>
  <si>
    <t>NUX VOMICA D6 COMP. KNOP</t>
  </si>
  <si>
    <t>OBAO DERMO EFICACIA MAGNESIO EXTRA SECO ANTITRANSPIRANTE X150ML GARNIER</t>
  </si>
  <si>
    <t>OBAO ROLL-ON MAGNESIO EXTRA SECO X65G GARNIER</t>
  </si>
  <si>
    <t>OBLEAS CHINAS 5UND GRIPE RESFRIADOS DOLORES DE CABEZA Y MUELA MAVER</t>
  </si>
  <si>
    <t>ODATRON ONDANSETRON 4MG X2COMP LAB. PASTEUR</t>
  </si>
  <si>
    <t>OFTABIOTICO GRAMICIDINA + POLIMIXINA + NEOMICINA 5000UI + 1.7MG + 0.025MG X10ML LAB. SAVAL</t>
  </si>
  <si>
    <t>OFTABIOTICO UNGUENTO 3,5 G</t>
  </si>
  <si>
    <t>OFTAFILM SOLUCION OFTALMICA 0.4 X 10ML - Biofar</t>
  </si>
  <si>
    <t>OFTAFILM SP HIALURONATO DE SODIO 4MG X10ML LAB. NICKLICK</t>
  </si>
  <si>
    <t>OFTAGEN GENTAMICINA + BETAMETASONA 3MG + 1MG X3.5G LAB. NICOLICK</t>
  </si>
  <si>
    <t>OFTAGEN GENTAMICINA 3MG X3.5G LAB. NICOLICK</t>
  </si>
  <si>
    <t>OFTAGEN GENTAMICINA03 SOL OF SAV 5ML</t>
  </si>
  <si>
    <t>OFTAGEN GENTMICINA + BETAMETASONA 0.3% + 0.1% GTS X5 ML LAB SAVAL</t>
  </si>
  <si>
    <t>OFTALER FORTE KETOTIFENO 0.5MG X10ML LAB. NICOLICK</t>
  </si>
  <si>
    <t>OFTASONA-N SOLUCION  X10ML</t>
  </si>
  <si>
    <t>OFTASONNA -N SOL 0,1 10ML</t>
  </si>
  <si>
    <t>OFTAVET CIPROFLOXACINO + EDTA 3.49MG + 2.33MG X5ML LAB. DRAG PHARMA</t>
  </si>
  <si>
    <t>OFTAVIR ACICLOVIR3 UNG OF SAVAL 35G</t>
  </si>
  <si>
    <t>OFTAVITAVIT. A C E B2 LUTEINA 30 COMP.</t>
  </si>
  <si>
    <t>OFTIC DICLOFENACO SODICO 1MG X10ML LAB. NICOLICK</t>
  </si>
  <si>
    <t>OFTOL FORTE LOTEPREDNOL ETABONATO 5MG X5ML LAB. NICOLICK</t>
  </si>
  <si>
    <t>OFTOL LOTEPREDNOL ETABONATO 2MG X5ML LAB. NICOLICK</t>
  </si>
  <si>
    <t>OIL CONTROL ISDIN FOTOPROTECTOR</t>
  </si>
  <si>
    <t>OKRABIOTIC X120CAPS ANC</t>
  </si>
  <si>
    <t>OKRAVITA X120CAPS VITALAB</t>
  </si>
  <si>
    <t>OLANVITAE OLANZAPINA 5MG X28COMP LAB. GALENICUM</t>
  </si>
  <si>
    <t>OLANZAPINA 10MG X 30 COMP.</t>
  </si>
  <si>
    <t>OLANZAPINA 5MG X30 COMP LAB EUROFARMA</t>
  </si>
  <si>
    <t>OLANZYL 10MG OLANZAPINA</t>
  </si>
  <si>
    <t>OLD SPICE DES. BARRA SHOWTIME 50 G</t>
  </si>
  <si>
    <t>OLD SPICE FRESH</t>
  </si>
  <si>
    <t>OLD SPICE PURE SPORT</t>
  </si>
  <si>
    <t>OLD SPICE PURE SPORT BARRA DES PG 50G</t>
  </si>
  <si>
    <t>OLD SPICE SPRAY</t>
  </si>
  <si>
    <t>OLD SPICE VIP 50GR.</t>
  </si>
  <si>
    <t>OLMECARD OLIMESARTAN MEDOXOMILO 40MG X30COMP LAB. HETERO</t>
  </si>
  <si>
    <t>OLMECARD-D 40/12.5</t>
  </si>
  <si>
    <t>OLMEPRESS OLMESARTAN MEDOXOMILO 20MG X30COMP LAB. ASCEND</t>
  </si>
  <si>
    <t>OLMEPRESS OLMESARTAN MEDOXOMILO 40 MG. 30 COMP. LAB. ASCEND</t>
  </si>
  <si>
    <t>OLMEPRESS-D OLMESARTAN MEDOXOMILO + HIDROCLOROTIAZIDA 20MG + 12.5MG X30COMP LAB. ASCEND</t>
  </si>
  <si>
    <t>OLMEPRESS-D OLMESARTAN MEDOXOMILO + HIDROCLOROTIAZIDA 40MG + 12.5MG X30COMP LAB. ASCEND</t>
  </si>
  <si>
    <t>OLMERCAR 20 MG</t>
  </si>
  <si>
    <t>OLODINA OLIPATADINA 2MG X5ML LAB. OPHTHA</t>
  </si>
  <si>
    <t>OLOF OLOPATADINA 02 5ML</t>
  </si>
  <si>
    <t>OLTAN AMLO 40 - 5 30 COMP. LAB. ITF</t>
  </si>
  <si>
    <t>OLTAN AMLO 40-10 OLMESARTAN MEDOXOMILO + AMLODIPINO 30 COMP. LAB. ITF-LABOMED</t>
  </si>
  <si>
    <t>OLTAN AMLO OOLMESARTAN MEDOXOMLO + AMLODIPINO + HIDROCLOROTIAZIDA 40MG + 5MG + 12.5MG X30COMP LAB.</t>
  </si>
  <si>
    <t>OLTAN OLMESARTAN MEDOXOMILO 20MG X30COMP LAB. ITF-LABOMED</t>
  </si>
  <si>
    <t>OLTAN OLMESARTAN MEDOXOMILO 40MG X30COMP LAB. ITF-LABOMED</t>
  </si>
  <si>
    <t>OLTAN-D OLMESARTAN MEDOXOMILO + HIDROCLOROTIAZIDA 20MG + 12.5MG X30COMP LAB. ITF-LABOMED</t>
  </si>
  <si>
    <t>OLTAN-D OLMESARTAN MEDOXOMILO + HIDROCLOROTIAZIDA 40MG + 12.5MG X30COMP LAB. ITF-LABOMED</t>
  </si>
  <si>
    <t>OMEGA 3 1000MG X 30 CAPS. LAB. GREEN MEDICAL</t>
  </si>
  <si>
    <t>OMEGA 3 140MG X60CAPS LAB FARMACIA VALLENAR</t>
  </si>
  <si>
    <t>OMEGA 3 KIDS AURA VITALIS 50 CAPS</t>
  </si>
  <si>
    <t>OMEGA 3 PETS CACHORROS 125ML</t>
  </si>
  <si>
    <t>OMEGA 3 PETS GATOS SUPLEMENTO NUTRICIONAL X125 ML SPES</t>
  </si>
  <si>
    <t>OMEGA 3 PETS PERROS SUPLEMENTO NUTRICIONAL X125ML</t>
  </si>
  <si>
    <t>OMEGA 3 VALLE Y SOL</t>
  </si>
  <si>
    <t>OMEGA 3 X60 CAPS BLANDAS AURA VITALIS</t>
  </si>
  <si>
    <t>OMEGA 3-6-9 ACEITE DE PESCADO + OLIVA + LINAZA 250MG + 125MG + 125MG X30CAPS LAB. SPRINGLIFE</t>
  </si>
  <si>
    <t>OMEGA 3-6-9 X60CAPS AURA VITALIS</t>
  </si>
  <si>
    <t>OMEPRAZOL 20MG 60 CAP OPKO</t>
  </si>
  <si>
    <t>OMEPRAZOL 20MG X 60 CAPS. CURAESPRING</t>
  </si>
  <si>
    <t>OMEPRAZOL 20MG. X30CAPS. LAB. CURAESPRING</t>
  </si>
  <si>
    <t>OMEPRAZOL 30CAP LCH 20MG</t>
  </si>
  <si>
    <t>ONDANSERTRON 8MG X10 COMPRIMIDOS</t>
  </si>
  <si>
    <t>ONDANSETRON VT ONDANSETRON 8MG X10COMP LAB. REUTTER</t>
  </si>
  <si>
    <t>ONDASENTRON 4MG. X8COMP. BUCODISPENSABLE. VITAFARMA</t>
  </si>
  <si>
    <t>OPTI-FREE EXPRESS 120ML</t>
  </si>
  <si>
    <t>OPTI-FREE EXPRESS SOLUCION DESINFECTANTE MULTIPROPOSITO X355ML ALCON</t>
  </si>
  <si>
    <t>OPTI-FREE PURE MOIST DROP 10ML</t>
  </si>
  <si>
    <t>OPTI-FREE PUREMOIST 120ML</t>
  </si>
  <si>
    <t>OPTIVE SOL OFT X15 ML</t>
  </si>
  <si>
    <t>ORAL B CEPILLO DENTAL KIDS ELECTRICO 3+</t>
  </si>
  <si>
    <t>ORAL B HILO DENTAL</t>
  </si>
  <si>
    <t>ORAL B PASTA DENTAL DISNEY PRINCESAS SABOR BUBBLE GUM X100G</t>
  </si>
  <si>
    <t>ORAL B PASTA DENTAL SPIDER MAN ANTICARIES SABOR FRUTAS SILVESTRES X100G</t>
  </si>
  <si>
    <t>ORAL CARE TRAVEL KIT</t>
  </si>
  <si>
    <t>ORAL FRESH KIDS ENJUAGUE BUCAL SIN ALCOHOL 250ML LAB. MAVER</t>
  </si>
  <si>
    <t>ORAL-B CEPILLO DENTAL MEDIO 1UND PROTER Y GAMBLE</t>
  </si>
  <si>
    <t>ORAL-B EXPERT HILO DENTAL PRO SAUCE 25MTS PROCTER Y GAMBLE</t>
  </si>
  <si>
    <t>ORAL-B KIDS 50 G</t>
  </si>
  <si>
    <t>ORALGENE 0,10% 120ML</t>
  </si>
  <si>
    <t>ORALGENE CLORHEXIDINA GLUCONATO 0.12% X120ML LAB. MAVER</t>
  </si>
  <si>
    <t>ORALGENE CLORHEXIDINA GLUCONATO 0.12% X500 ML. LAB. MAVER</t>
  </si>
  <si>
    <t>ORALNE ISOTRETINOINA 20MG 30 CAPSULAS</t>
  </si>
  <si>
    <t>ORALNE ISOTRETINOINA 5MG 30 CAPSULAS ...</t>
  </si>
  <si>
    <t>ORALNE ISOTRETINONINA 10 MG. 30 CAPS. LAB. DEUTCHE</t>
  </si>
  <si>
    <t>OSELTAMIVIR  75 MG  10 CAPS  LAB MSN</t>
  </si>
  <si>
    <t>OSTEOFIX COMP. X40 CONSOLIDACION OSEA</t>
  </si>
  <si>
    <t>OSTEOFLEX SUPLEMENTO ALIMENTICIO X60CAPS LAB. CNP</t>
  </si>
  <si>
    <t>OTEX HC CIPROFLOXACINO CLORHIDRATO + HIDROCORTISONA 0.2G + 1G X5ML LAB. CASSARA</t>
  </si>
  <si>
    <t>OTIBACT CIPROFLOXACINO 1 CLOTRIMAZOL 1 TRIAMCINOLONA 0.05 GEL OTICO DRAG PHARMA</t>
  </si>
  <si>
    <t>OTICUM SOLUCION OTICA 5ML</t>
  </si>
  <si>
    <t>OTOC</t>
  </si>
  <si>
    <t>OTOC ONDANSETRON 8MG X10 COMP. LAB SEVEN PHARMA</t>
  </si>
  <si>
    <t>OTOCLEAN CARBONATO DE SODIO 10G X10ML LAB. CASSARA</t>
  </si>
  <si>
    <t>OTOCLEAN LIMPIADOR OTOLONGICO ECIPHAR</t>
  </si>
  <si>
    <t>OVERSTIN ESTRIOL 0.5MG X15OVULOS LAB. ASPEN</t>
  </si>
  <si>
    <t>OVESTIN ESTRIOL 100MG X15G LAB. ASPEN</t>
  </si>
  <si>
    <t>OVO-6 MEDROXIPROGESTERONA ACETATO 50ML X1ML LAB. DRAG PHARMA</t>
  </si>
  <si>
    <t>OVUKALEN ANTINFLAMATORIO X10OVULOS LAB. KNOP</t>
  </si>
  <si>
    <t>OVULOS DE MTRONIDAZOL 500 MG</t>
  </si>
  <si>
    <t>OXALAMINA ADULTOS JBE. 50 MG. - 5 ML. 100 ML. LAB.CHILE</t>
  </si>
  <si>
    <t>OXALAMINA OXALAMINA 50MG X100ML LAB. MILAB</t>
  </si>
  <si>
    <t>OXIDEL-D 0,05% SOL NASAL 10ML OXIMETAZOLINA CLORHIDRATO 25MCGHCL</t>
  </si>
  <si>
    <t>OXIDO DE ZINC 10 G D NUNOA</t>
  </si>
  <si>
    <t>OXIDO DE ZINC 100G. DROGUERIA NUNOA</t>
  </si>
  <si>
    <t>OXILIN OXIMETAZOLINA CLORHIDRATO S. NAS. 0.05% 15 ML LAB. PASTEUR</t>
  </si>
  <si>
    <t>OXIMETRO DE PULSO</t>
  </si>
  <si>
    <t>OXIMETRO DE PULSO (NIÑOS)</t>
  </si>
  <si>
    <t>OXIMETRO DE PULSO OHT60 -SCANMED-</t>
  </si>
  <si>
    <t>OXIMETRO DE PULSO SATUROMETRO LOVE LIFE</t>
  </si>
  <si>
    <t>OXIMETRO DE PULSO ZEN MED</t>
  </si>
  <si>
    <t>OXOLAMINA 28MG 5ML LAB MILAB</t>
  </si>
  <si>
    <t>OXTRIN 30 COMP. LAB. BRUWER</t>
  </si>
  <si>
    <t>P.O.P. BANDA DE YESO 15CM X2.7M</t>
  </si>
  <si>
    <t>PACIFOR ACEPROMAZINA 1.35G X10ML LAB. DRAG PHARMA</t>
  </si>
  <si>
    <t>PACIFOR ACEPROMAZINA MALEATO 10MG X10COMP LAB. DRAG PHARMA</t>
  </si>
  <si>
    <t>PACK 2 CEPILLOS FAMILY SET MEDIO</t>
  </si>
  <si>
    <t>PACK 6 PAQUETES. 10X6 U. FAMILY SET</t>
  </si>
  <si>
    <t>PACK COLONIA JOVAN MUSK.</t>
  </si>
  <si>
    <t>PACK CORTA UNAS TRIM</t>
  </si>
  <si>
    <t>PACK DE CEPILLO PRO DURALON DOBLE ACCION MEDIO</t>
  </si>
  <si>
    <t>PACK DE INSULINA 10 UNIDADES. 30 UI</t>
  </si>
  <si>
    <t>PACK DE INSULINA 10 UNIDADES. 50 UI</t>
  </si>
  <si>
    <t>PACK LUBRIDER HUMECTACION DIARIA Y REPARACION INTENSA X400X2</t>
  </si>
  <si>
    <t>PACK QG 5 30 COMP</t>
  </si>
  <si>
    <t>PALDAR MUPIROCINA UNGUENTO TOPICO 2 X5G DEUTSCHE</t>
  </si>
  <si>
    <t>PALITOS DE ALGODON</t>
  </si>
  <si>
    <t>PALITOS DE ALGODON X200UND</t>
  </si>
  <si>
    <t>PALO NEGRO 500 MG 60 CAPS GREEN MEDICAL</t>
  </si>
  <si>
    <t>PALO NEGRO LEPTOCARPHA RIVULARIS + VITAMINA C + VITAMINA 3 200MG + 100MG +40MG X90CAPS LAB. VALLE Y</t>
  </si>
  <si>
    <t>PALTOMIEL ADULTO ANTITUSIVO Y FLUIDIFICANTE N. JBE. 200 ML. LAB. KNOP</t>
  </si>
  <si>
    <t>PALTOMIEL INFANTIL JARABE X125ML KNOP</t>
  </si>
  <si>
    <t>PAMPERS CONFORT SEC  PAÑALES DESECHABLES XXG 14-18KG   16 UND.  PROCTER Y GAMBLE</t>
  </si>
  <si>
    <t>PAMPERS CONFORT SEC PANALES DESECHABLES TALLA G X20UND PG</t>
  </si>
  <si>
    <t>PAMPERS CONFORT SEC PANALES DESECHABLES TALLA M X20UND PG</t>
  </si>
  <si>
    <t>PAMPERS CONFORT SEC PAÑALES DESECHABLES XG 11-15 KG 16 UND. PROCTER Y GAMBLE</t>
  </si>
  <si>
    <t>PANADOL ADVANCE PARACETAMOL X12COMP 500MG GSK</t>
  </si>
  <si>
    <t>PANADOL NIÑO PARACETAMOL 160MG X60ML LAB. GSK</t>
  </si>
  <si>
    <t>PANADOL NIÑOS PARACETAMOL 160MG X90ML LAB.GSK</t>
  </si>
  <si>
    <t>PANADOL PARACETAMOL 500MG X48COMP LAB. GSK</t>
  </si>
  <si>
    <t>PANAL CALZON PM X 16 UNIDADES FAMSET</t>
  </si>
  <si>
    <t>PANALES BABYSEC TALLA G 18 UN.</t>
  </si>
  <si>
    <t>PANALES BABYSEC XXG 14 UN.</t>
  </si>
  <si>
    <t>PANALES UNISEX ADULTO TALLA XG FAM SET 8UNI</t>
  </si>
  <si>
    <t>PANDEL</t>
  </si>
  <si>
    <t>PANTENE</t>
  </si>
  <si>
    <t>PANTENE ACONDICIONADOR BAMBU X400 ML PROCTER Y GAMBLE</t>
  </si>
  <si>
    <t>PANTENE BAMBU NUTRE CRECE X300ML</t>
  </si>
  <si>
    <t>PANTENE CR. PEINAR HIDROCAUT 300</t>
  </si>
  <si>
    <t>PANTENE PRO V 400ML</t>
  </si>
  <si>
    <t>PANTENE PRO V ACONDICIONADOR FUERZA RECONSTRUCCION X400 ML PROTECTER Y GAMBLE</t>
  </si>
  <si>
    <t>PANTENE PRO V ACONDICIONADOR MIRACLES EQUILIBRIO RAIZ Y PUNTAS X250 ML PROCTER Y GAMBLE</t>
  </si>
  <si>
    <t>PANTENE PRO V BRILLO EXTREMO X400ML</t>
  </si>
  <si>
    <t>PANTENE PRO V FUERZA Y RECONSTRUCION X400ML</t>
  </si>
  <si>
    <t>PANTENE PRO-V ACOND 400ML</t>
  </si>
  <si>
    <t>PANTENE PROV RESTAURACION SHAMPOO X400ML</t>
  </si>
  <si>
    <t>PANTOCAL PANTOPRAZOL 40MG. 28 COMP. LAB. EUROFARMA</t>
  </si>
  <si>
    <t>PAÑUELO DESECHABLE 6 UND. FAM SET</t>
  </si>
  <si>
    <t>PANUELOS DESECHABLES DOBLE HOJA 19X14 FAMSET</t>
  </si>
  <si>
    <t>PANUELOS DESECHABLES FAMILY SET</t>
  </si>
  <si>
    <t>PAPAINPET EXTRACTO DE PAPAYA 50 MG. 30 COMP. LAB. PHARMA</t>
  </si>
  <si>
    <t>PAPINFLAM PLUS PAPAINA 10MG. X30COMP LAB.MEGALABS</t>
  </si>
  <si>
    <t>PARA TI ULTRAFINAS X8UND</t>
  </si>
  <si>
    <t>PARACETAMOL 100MG 15ML LAB. VALMA</t>
  </si>
  <si>
    <t>PARACETAMOL 125MG 6 SUPOSITORIOS LAB. SEVEN PHARMA</t>
  </si>
  <si>
    <t>PARACETAMOL 160 MG TAPSIN 16 COMP</t>
  </si>
  <si>
    <t>PARACETAMOL 1G LAB HOSPIFARMA</t>
  </si>
  <si>
    <t>PARACETAMOL 500 MG . 16 COMPRIMIDOS ORALES. ANDROMACO</t>
  </si>
  <si>
    <t>PARACETAMOL 500MG X16COMP LAB. OPKO</t>
  </si>
  <si>
    <t>PARACETAMOL 80MG 16COMP LAB LCH</t>
  </si>
  <si>
    <t>PARACETAMOL ANALGESICO - ANTIPIRETICO 500 MG. 16 COMP. LAB. CHILE</t>
  </si>
  <si>
    <t>PARACETAMOL INFANTIL PARACETAMOL 80MG X20COMP LAB. MILAB</t>
  </si>
  <si>
    <t>PARACETAMOL INFANTIL SOL GOT O 100MGML LCH 15ML</t>
  </si>
  <si>
    <t>PARACETAMOL TRAMADOL CLORHIDRATO 32537.5MG 30COMP LCH</t>
  </si>
  <si>
    <t>PARACETAMOL X500 PINNACLE B</t>
  </si>
  <si>
    <t>PARAGON 21 POR UNIDAD</t>
  </si>
  <si>
    <t>PARATI TOA.HIG.UF NOCTX8</t>
  </si>
  <si>
    <t>PARCHE ADHESIVO 5X8CM</t>
  </si>
  <si>
    <t>PARCHE CAPSICO 18X13 CMS</t>
  </si>
  <si>
    <t>PARCHE CURITA 72MMX19MM CAJA X100UND</t>
  </si>
  <si>
    <t>PARCHE LEON ARNICA. UNIDAD</t>
  </si>
  <si>
    <t>PARCHE LEON CAPSAICINA. 1 UN.</t>
  </si>
  <si>
    <t>PARCHES CLASICOS FAMILY SET 100 UNIDADES 72X19 CMS.</t>
  </si>
  <si>
    <t>PARCHES RESISTENTES AL AGUA 6.1 X 2.5 CM</t>
  </si>
  <si>
    <t>PARODONTAX BLANQUEDOR CREMA DENTAL 124G</t>
  </si>
  <si>
    <t>PARODONTAX FLUOR CREM DEN GSK</t>
  </si>
  <si>
    <t>PARODOX PAROXETNA 20 MG. 30 COMP. LAB. EUROFARMA</t>
  </si>
  <si>
    <t>PAROXETINA X 20MG X30COMP LAB. LCH</t>
  </si>
  <si>
    <t>PASIFLORA EN GOTAS</t>
  </si>
  <si>
    <t>PASSIFLORA COMPUESTA MEDICAMENTO HOMEOPATICO 30ML LAB. KNOP</t>
  </si>
  <si>
    <t>PASSIFLORA T.M MEDICAMENTO HOMEOPATICO 30ML LAB. KNOP</t>
  </si>
  <si>
    <t>PASSIFLORA T.M MEDICAMENTO HOMEOPATICO 50 COMP. LAB. KNOP</t>
  </si>
  <si>
    <t>PASTA DENTAL AQUAFRESH TRIPE ACCION 126 G</t>
  </si>
  <si>
    <t>PASTA DENTAL SENSODYNE REPARAPROTEGE 100G</t>
  </si>
  <si>
    <t>PASTA DENTAL ULTRA BLANCO. 90 GRS.</t>
  </si>
  <si>
    <t>PASTA DENTAL VITIS BLANQUEADORA X100ML</t>
  </si>
  <si>
    <t>PASTA DENTIFRICA ALOE MENTA VITIS 100 ML</t>
  </si>
  <si>
    <t>PASTA LASSAR</t>
  </si>
  <si>
    <t>PASTA LASSAR PASTA LASSAR VALMA 30G</t>
  </si>
  <si>
    <t>PASTA LASSAR POMADA TOPICA X50G LAB. VALMA</t>
  </si>
  <si>
    <t>PASTA SENSIBILIDAD Y ENCIAS BLANQUADORA. 100 GRS.</t>
  </si>
  <si>
    <t>PASTILLERO SEMANAL GRANDE</t>
  </si>
  <si>
    <t>PASTILLERO SEMANAL REDONDO BH</t>
  </si>
  <si>
    <t>PASTILLERO X14 DIAS BENETT</t>
  </si>
  <si>
    <t>PATA DE VACA 210MG X60CAP LAB. VALLE Y SOL</t>
  </si>
  <si>
    <t>PATA DE VACA X30ML KNOP</t>
  </si>
  <si>
    <t>PATANOL S OLOPATADINA 0.2 2.5ML</t>
  </si>
  <si>
    <t>PAXON BUSPIRONA 10MG</t>
  </si>
  <si>
    <t>PAXON BUSPIRONA 5MG X20COMP LAB. SAVAL</t>
  </si>
  <si>
    <t>PAZ-PET MODIFICADO DE CONDUCTA PARA PERROS X60ML LAB. DRAG PHARMA</t>
  </si>
  <si>
    <t>PECTOFLU RADAL + PROPOLEO 6ML + 4ML X150G LAB. AURA VITALIS</t>
  </si>
  <si>
    <t>PECTOX HEDERA HELIX 35 MG X120ML LAB. KNOP</t>
  </si>
  <si>
    <t>PEDIASURE VAINILLA POLVO 850GR</t>
  </si>
  <si>
    <t>PEILARMINA CLINICA PIEL SENCIBLE X750ML</t>
  </si>
  <si>
    <t>PEINETA CAREY TOCADOR PREFACE N-21</t>
  </si>
  <si>
    <t>PEINETA FAMILIAR N-56</t>
  </si>
  <si>
    <t>PEINETA TINTURA 1 UND.</t>
  </si>
  <si>
    <t>PEINETA Y CEPILLO COMB BRUSH 0+ PIGEON</t>
  </si>
  <si>
    <t>PEINETON GIGANTE 1 UND.</t>
  </si>
  <si>
    <t>PEINILLA PFIFFERY PRO</t>
  </si>
  <si>
    <t>PEINILLA PRO LEVEL PFIFERY PRO</t>
  </si>
  <si>
    <t>PELARGONIUM SIDOIDES DC 0.8 GML. SOL. ORAL 50 ML. KALOBA</t>
  </si>
  <si>
    <t>PENTINOR 150 PREGABALINA 150MG LAB ASCEND</t>
  </si>
  <si>
    <t>PENTINOR 75MG CAP X40 PREGABALINA</t>
  </si>
  <si>
    <t>PENTOXIFILINA RX PENTOXIFILINA 400MG X30COMP LAB. KOREA UNITED</t>
  </si>
  <si>
    <t>PEPA DE CALABAZA 30 CAPS</t>
  </si>
  <si>
    <t>PEPA DE CALABAZA PLUS x60 CAPSULAS</t>
  </si>
  <si>
    <t>PEPA DE CALABAZA1000MG 60 CAPS BDAS CNP</t>
  </si>
  <si>
    <t>PEPSODENT 3X2 TRIPLE+ CREM DENT FDI 90G</t>
  </si>
  <si>
    <t>PEPSODENT CEPILLO DENTAL SUAVE</t>
  </si>
  <si>
    <t>PEPSODENT EXTRA WHITENING 90G</t>
  </si>
  <si>
    <t>PEPSODENT PASTA DENTAL DIENTES FUERTES TRIPLE X90G UNILEVER</t>
  </si>
  <si>
    <t>PEPSODENT TRIPLE + PASTA DENTAL CON FLUOR 90G UNILEVER</t>
  </si>
  <si>
    <t>PEPSODENT XTRA WHITENING PASTA DENTAL 90G -58ML X3 UNILEVER</t>
  </si>
  <si>
    <t>PERA DE GOMA N-12</t>
  </si>
  <si>
    <t>PERA DE GOMA N-8</t>
  </si>
  <si>
    <t>PERBOROL SOL.200ML.</t>
  </si>
  <si>
    <t>PERENTERYL  PROBIOTICO ADULTO 250 MG   10 CAPS.  LAB. AXON PHARMA</t>
  </si>
  <si>
    <t>PERENTERYL CAPS 250MG</t>
  </si>
  <si>
    <t>PERENTERYL PED 250MG10</t>
  </si>
  <si>
    <t>PERENTERYL SACCHAROMYCE BOULARDII NIÑO U. ORAL 250 MG 10 SAB. LAB. AXON</t>
  </si>
  <si>
    <t>PERFUME AGUA BRAVA PUIG 200 ML HOMBRE</t>
  </si>
  <si>
    <t>PERFUME DIAVOLO ANTONIO BANDERAS 200ML</t>
  </si>
  <si>
    <t>PERFUME DIAVOLO ANTONIO BANDERAS 50ML</t>
  </si>
  <si>
    <t>PERFUME MILLIONAIRE TITANIUM INTENSE 100ML</t>
  </si>
  <si>
    <t>PERIO AID CLORHEXIDINA 0.05% 500ML LAB. DENTAID</t>
  </si>
  <si>
    <t>PERIO AID CLORHEXIDINA 0.12% 500ML LAB. DENTAID</t>
  </si>
  <si>
    <t>PERIOD AID DIGLUCONATO DE CLORHEXIDINA + CLORURO DE CETILPIRIDINO 0.12G + 0.05G 150ML LAB. DENTAID</t>
  </si>
  <si>
    <t>PERIOD AID MANTENIMIENTO 150ML ENJUAGUE BUCAL CLORHEXIDINA 005 DENTAID</t>
  </si>
  <si>
    <t>PERLARM O9+6</t>
  </si>
  <si>
    <t>PERMANGANATO .POTASIO 1G</t>
  </si>
  <si>
    <t>PERSEA PROPOLEO + PALTO 1.8ML + 0.9ML 180G LAB. AURA VITALIS</t>
  </si>
  <si>
    <t>PERTIUM NEBIVOLOL 5MG X30COMP LAB. SAVAL</t>
  </si>
  <si>
    <t>PERTUSSIN ANTITUSIVO GOTAS ORALES X30ML KNOP</t>
  </si>
  <si>
    <t>PET OUT REPELENTE PARA PERROS Y GATOS 160ML</t>
  </si>
  <si>
    <t>PET-OTIC SOLUCION DE LIMPIEZA OTICA X100ML DRAG PHARMA</t>
  </si>
  <si>
    <t>PETALOS DESMAQUILLADORES 80UND</t>
  </si>
  <si>
    <t>PETALOS DESMAQUILLANTE 80UNI.</t>
  </si>
  <si>
    <t>PETALOS DESMAQUILLANTES BEAUTY</t>
  </si>
  <si>
    <t>PETALOS DESMAQUILLANTES X2 SPRING NATURAL</t>
  </si>
  <si>
    <t>PETEVER FORTE SHAMPOO ANTISEPTICO 150 ML DRAG PHARMA</t>
  </si>
  <si>
    <t>PETEVER PLUS CLORHEXIDINA GLUCCONATO 0.12% + ALCOHOL ETILICO 6.% 100 ML. LAB. PHARMA</t>
  </si>
  <si>
    <t>PETRI ENCRESP PESTAÑA</t>
  </si>
  <si>
    <t>PETRIZZIO  SPRAY PROTECTOR SOLAR</t>
  </si>
  <si>
    <t>PETRIZZIO ACIDO HIALUROLICO 1.5%</t>
  </si>
  <si>
    <t>PETRIZZIO CREMA HYALURONICO EFFECTO DIA + NOCHE</t>
  </si>
  <si>
    <t>PETRIZZIO HIDRA SHOCK PLUS CON VIT B3 28ML</t>
  </si>
  <si>
    <t>PETRIZZIO OLEO ANTIFRIZZ ACEITE DE ARGAN 100 ML. LAB . PETRIZZIO</t>
  </si>
  <si>
    <t>PETRIZZIO OLEO REPARADOR ACEITE COCO 100 ML. LAB. PETRIZZIO</t>
  </si>
  <si>
    <t>PETRIZZIO TOALLAS DESMAQUILLANTES LAB. PETRIZZIO</t>
  </si>
  <si>
    <t>PETRIZZIO TOALLITAS DESMAQUILLANTES ROSAS X25UNIDADES LAB PETRIZZIO</t>
  </si>
  <si>
    <t>PETRIZZIO VACATION MODE ON 200ML</t>
  </si>
  <si>
    <t>PFIFFERY ADHESIVO PESTANAS CLEAR TONE 5 GR PFIFFERY</t>
  </si>
  <si>
    <t>PFIFFERY ADHESIVO PESTANAS WATERPROOF DARK TONE 7 GRS PFIFFERY</t>
  </si>
  <si>
    <t>PFIFFERY ADHESIVO PESTANAS WHITE TONE 5 GRS PFIFFERY</t>
  </si>
  <si>
    <t>PFIFFERY PEINE ANTIESTATICA CARBON 1 UND. LAB. GENESIS</t>
  </si>
  <si>
    <t>PFIFFERY PEINE MULTIUSOS CURLING HAIR 1 UND. LAB. GENESIS</t>
  </si>
  <si>
    <t>PFIFFERY SET APLICADORES DE SOMBRAS 12 UND. PFIFFERY</t>
  </si>
  <si>
    <t>PHARMATON VITALITY VITAMINAS+MINERALES A BASE DE PANAX GINSENG. X30COMP. SANOFI</t>
  </si>
  <si>
    <t>PHB ORTHODONTIC CEP DENT DENT 1UNI</t>
  </si>
  <si>
    <t>PHB SUPER 6 CEPILLO SENSIBLE 1UNI</t>
  </si>
  <si>
    <t>PHB SUPER 8 CEPILLO MEDIO 1UNI</t>
  </si>
  <si>
    <t>PHILIPS AVENT BIBERON DE VIDRIO X240ML 8OZ</t>
  </si>
  <si>
    <t>PHILIPS AVENT CHUPETE ULTRA AIR NIGHTTIME 0-6m STAR</t>
  </si>
  <si>
    <t>PHILLIPS PASTILLAS</t>
  </si>
  <si>
    <t>PHOSLO ACETATO DE CALCIO 667MG X60COMP LAB.PASTEUR</t>
  </si>
  <si>
    <t>PIASCLEDINE 30CAPS MEGALABS</t>
  </si>
  <si>
    <t>PIASCLEDINE ACEITE DE PERSEA GRATISSIMA + GLYCINE MAX 100MG + 200MG X30CAPS LAB. MEGALAB</t>
  </si>
  <si>
    <t>PICLOKARE CLOPIDOGREL 75MG X28COMP LAB. DR REDDYS</t>
  </si>
  <si>
    <t>PICOLINATO DE CROMO 90 CAP 200 MCG VALLE Y SOL</t>
  </si>
  <si>
    <t>PICOLINATO DE CROMO CAPSULAS X 30 FRASCO</t>
  </si>
  <si>
    <t>PICOLINATO DE CROMO SUPLEMENTO ALIMENTICIO X30CAPS LAB. GREEN MEDICAL</t>
  </si>
  <si>
    <t>PIEDRA POMEZ TRIM</t>
  </si>
  <si>
    <t>PIELARMINA</t>
  </si>
  <si>
    <t>PIELARMINA BODY COLAGENO CREMA CORPORAL X350ML</t>
  </si>
  <si>
    <t>PIELARMINA BODY KARITE MILK LOCION CORPORAL X350ML</t>
  </si>
  <si>
    <t>PIELARMINA CASTAÑA</t>
  </si>
  <si>
    <t>PIELARMINA CLINICAL BODY UREA 10 CREMA CORPORAL X350ML PETRIZZIO</t>
  </si>
  <si>
    <t>PIELARMINA CLINICAL MANOS DIABEDERM UREA 10 KARITE Y GLICERINA X70G PETRIZZIO</t>
  </si>
  <si>
    <t>PIELARMINA CREMA HIDRATANTE PARA MANOS 67GR</t>
  </si>
  <si>
    <t>PIELARMINA CREMAPARA MANOS CLASICA REPARACION INTENSA X60G PETRIZZIO</t>
  </si>
  <si>
    <t>PIESAN CLOTRIMAZOL POLVO 1% 100G LAB IPHSA</t>
  </si>
  <si>
    <t>PIGEON ASPIRADOR NASAL CON CAJA 0+ MES BEST HOUSE</t>
  </si>
  <si>
    <t>PIGEON MAM NIÑA 240ML</t>
  </si>
  <si>
    <t>PIGEON PROTECTOR DE PEZON SILICONA 1 UND. 13 MM. BEST HOUSE</t>
  </si>
  <si>
    <t>PIGEON SOF TOUCH  PERISTALTIC PLUS  330ML +6M</t>
  </si>
  <si>
    <t>PIGEON SOFTOUCH 1+ REP. X2 -80827- - Farmacia Elias</t>
  </si>
  <si>
    <t>PIGEON SOFTOUCH ANTICOLICO 240ML 3M+</t>
  </si>
  <si>
    <t>PILOCARPINA CLORHIDRATO SAVAL 40MG X10ML LAB. SAVAL</t>
  </si>
  <si>
    <t>PINO CLASSIC MILLIONAIRE</t>
  </si>
  <si>
    <t>PINO SILVESTRE DESODORANTE ORIGINAL 300ML</t>
  </si>
  <si>
    <t>PINZA DE CEJAS PUNTA RECTA</t>
  </si>
  <si>
    <t>PINZA DEPILATORIA PFIFFERY PRO STAINLESS STEEL</t>
  </si>
  <si>
    <t>PINZAS DE PUNTA OBLICUA Y RECTA TRIM</t>
  </si>
  <si>
    <t>PINZAS KIRAKIRA 500 C/U</t>
  </si>
  <si>
    <t>PIRETANYL METAMIZOL SODICO + CAFEINA + CLORFENAMINA 322MG + 25MG + 2MG X20COMP LAB. PASTEUR</t>
  </si>
  <si>
    <t>PIRONA FLU FORTE IBUPROFENO 400MGPSEUDOFEDRINA 60MG X12COMP BAGO</t>
  </si>
  <si>
    <t>PIRONAL FORTE IBUPROFENO 200MG X100ML LAB. BAGO</t>
  </si>
  <si>
    <t>PIROXICAM 20MG X10COMP LAB. LCH B</t>
  </si>
  <si>
    <t>PLACA MANDIBULAR ANTI-BRUXISMO 1UN DRIMWELL</t>
  </si>
  <si>
    <t>PLAIS EDP VA HOT BLACK 80ML</t>
  </si>
  <si>
    <t>PLAISANCE EDP HOT HAPPY X80ML</t>
  </si>
  <si>
    <t>PLAISANCE HOT IN GOLD X80ML</t>
  </si>
  <si>
    <t>PLAISANCE HOT PHORIA PEACE</t>
  </si>
  <si>
    <t>PLAISANCE HOT SENSATION</t>
  </si>
  <si>
    <t>PLAISANCE HOT SEXY</t>
  </si>
  <si>
    <t>PLENITUD MIMI APOSITO X40</t>
  </si>
  <si>
    <t>PLURIAMIN DOXILAMINA SUCCINATO 10MGPIRIDOXINA CLORHIDRATO 10MG 30COMP. ABBOTT</t>
  </si>
  <si>
    <t>PLURICEF CEFPODOXIMA 200MG X10COMP LAB. ASCEND</t>
  </si>
  <si>
    <t>PLUSTER MOMETASONA FUROATO 50MCG 120 DOSIS LAB. DEUTCHE</t>
  </si>
  <si>
    <t>POEM FEM NOMEGESTROL ACETATO 2.5MG X28COMP</t>
  </si>
  <si>
    <t>POLIVIDONA YODADA 10 10. SOL.</t>
  </si>
  <si>
    <t>POLIXINA B 0.2BACITRICINA 0.8 15G. UNGUENTO</t>
  </si>
  <si>
    <t>POMADA ALCANFORADA ALCANFOR 10G 25G LAB. VALMA</t>
  </si>
  <si>
    <t>POMADA DEL PANAL REGENERADORA ISDIN BABY NATURALS 100ML</t>
  </si>
  <si>
    <t>POMADA DEL PANAL REGENERADORA ISDIN X50ML</t>
  </si>
  <si>
    <t>POMADA SALICILADA 25G POMADA SALICILADA L VALMA</t>
  </si>
  <si>
    <t>POMADA VITAMINICA REPARADORA VITAPOVIN 10G</t>
  </si>
  <si>
    <t>POSATEX 8.8ML MSD</t>
  </si>
  <si>
    <t>POTASIO GLUCONATO DE POTASIO 300MG X90CAPS LAB. FULLENERGIC</t>
  </si>
  <si>
    <t>POWER SHOT</t>
  </si>
  <si>
    <t>POWER SHOT ENERGETICO SABOR LIMON SIN AZUCAR X60ML</t>
  </si>
  <si>
    <t>POWER SHOT SABOR NARANJA X60ML</t>
  </si>
  <si>
    <t>PRADAXA DABIGATRAN ETEXILATO 150MG X30CAPS LAB. BOEHINGER INGELHEIM</t>
  </si>
  <si>
    <t>PRAMIPEXOL DICLORHIDRATO MONOHIDRATO 1MG</t>
  </si>
  <si>
    <t>PRAYANOL AMANTADINA 100MG</t>
  </si>
  <si>
    <t>PRECTEC FILM I V 5X6 CANULA</t>
  </si>
  <si>
    <t>PREDNISOLONA ACETATO 1 5ML</t>
  </si>
  <si>
    <t>PREDNISOLONA ACETATO 10MG X5ML LAB. HOSPIFARMA</t>
  </si>
  <si>
    <t>PREDNISONA 20 COMP. 20 MG. PASTEURNEW</t>
  </si>
  <si>
    <t>PREDNISONA 20COMP LCH 20MG</t>
  </si>
  <si>
    <t>PREDNISONA 20MG X20COMP HOSPIFARMA B</t>
  </si>
  <si>
    <t>PREDNISONA 5MG 20COMP LCH</t>
  </si>
  <si>
    <t>PREDNISONA 5MG X20COMP MINTLAB B</t>
  </si>
  <si>
    <t>PREDNISONA PREDNISONA 20MG X60ML LAB. HOSPIFARMA</t>
  </si>
  <si>
    <t>PREDUAL. PAMABRON + MEPIRAMINA + PARACETAMOL 25MG + 15MG + 500MG X10COMP LAB. MAVER</t>
  </si>
  <si>
    <t>PREFACE  GUANTE MITON N.54  1 UND. LAB. PREFACE</t>
  </si>
  <si>
    <t>PREFACE ABLANDADOR DE CANAS UNISEX X60ML LAB. D ALBERTO</t>
  </si>
  <si>
    <t>PREFACE CEPILLO CAREY CON MANGO GRUESO N-43 1 UND. LAB. ALBERT LORENZ</t>
  </si>
  <si>
    <t>PREFACE CEPILLO LIMPIEZA DE UNAS N. 48 1 UND. LAB. PREFACE</t>
  </si>
  <si>
    <t>PREFACE CORTAUNAS N.13 PEQUEÑOS 1 UND. LAB. PREFACE</t>
  </si>
  <si>
    <t>PREFACE CREMA NATURAL PEPINO SOFT X60ML</t>
  </si>
  <si>
    <t>PREFACE DESODORANTE SPRAY ACCION COBRE 145ML LAB. D ALBERT</t>
  </si>
  <si>
    <t>PREFACE ENCRESPADOR DE PESTAÑAS 1 UND. LAB. ALBERT LORENZ</t>
  </si>
  <si>
    <t>PREFACE ESCOFINA PIES N.2 1 UND. LAB. D ALBERT LORENZ</t>
  </si>
  <si>
    <t>PREFACE ESPEJO DE CARTERA N.61 1 UND. LAB. PREFACE</t>
  </si>
  <si>
    <t>PREFACE ESPONJA POMEZ N. 8 1 UND. LAB. ALBERT LORENZ</t>
  </si>
  <si>
    <t>PREFACE ESPONJADE BAÑO COLGANTE HILO N-56 1 UND. ALBERT LORENZ</t>
  </si>
  <si>
    <t>PREFACE PEINE METAL PEDICULOSIS N.69 1 UND. LAB. ALBERT LORENZ</t>
  </si>
  <si>
    <t>PREFACE PEINETA CAREY TENEDOR N-24 1 UND. ALBERT LORENZ</t>
  </si>
  <si>
    <t>PREFACE PEINETA DESENREDANTE N-49 1 UND. LAB. DALBERT LORENZ</t>
  </si>
  <si>
    <t>PREFACE PINZA DORADA N.7 1 UND. LAB. PREFACE</t>
  </si>
  <si>
    <t>PREFACE POLVO DECOLORANTE CAPILAR X30G LAB. D ALBERTO</t>
  </si>
  <si>
    <t>PREFACE SHAMPOO CABELLOS CANOS PREFACE 400ML</t>
  </si>
  <si>
    <t>PREFACE TALCO PARA PIES CON OXIDO DE ZINC Y MENTOL 200G LAB. D ALBERT</t>
  </si>
  <si>
    <t>PREGABALINA 150 MG. 40 COMP. BAGO</t>
  </si>
  <si>
    <t>PREGABALINA 150MG 30CAP HETERO B</t>
  </si>
  <si>
    <t>PREGABALINA 150MG X30 CAPS LAB ASCEND</t>
  </si>
  <si>
    <t>PREGABALINA 75MG 30CAP HETERO B</t>
  </si>
  <si>
    <t>PREGABALINA 75MG X30CAPS LAB. CURAESPRING</t>
  </si>
  <si>
    <t>PREGEX PREGABALINA 150MG X30CAPS LAB. HETERO</t>
  </si>
  <si>
    <t>PREGEX PREGABALINA 75MG X30CAPS LAB. HETERO</t>
  </si>
  <si>
    <t>PREMIUM MULTI CARE PAD PETALOS DESMAQUILLADORES 50UND. HEXO</t>
  </si>
  <si>
    <t>PRENDEDOR PARA CHUPETE BUBU</t>
  </si>
  <si>
    <t>PRESERVATIVO CON SABORES. 3 UNIDADES.</t>
  </si>
  <si>
    <t>PRESERVATIVO DUREX EXTRA SEGURO</t>
  </si>
  <si>
    <t>PRESERVATIVO LIFESTYLES PACK 3 PRESERVATIVOS VIBRA-REBBED</t>
  </si>
  <si>
    <t>PRESERVATIVOS EXTRA LUBRICADOS SIN LATEX 3 UN SKYN</t>
  </si>
  <si>
    <t>PRESERVATIVOS LIFESTYLES 12 UNIDADES</t>
  </si>
  <si>
    <t>PRESERVATIVOS LIFESTYLES LARGE X3</t>
  </si>
  <si>
    <t>PRESERVATIVOS LIFESTYLES STUDDED ROUGH RIDER 12 UNIDADES</t>
  </si>
  <si>
    <t>PRESERVATIVOS LIFESTYLES ULTRASENCIBLE NUDA x3</t>
  </si>
  <si>
    <t>PRESERVATIVOS SKY X6UND</t>
  </si>
  <si>
    <t>PRESERVATIVOS SKYN INTENSE FEEL 3UN. SIN LATEX</t>
  </si>
  <si>
    <t>PRESSPAX 60CAP VALLE Y SOL</t>
  </si>
  <si>
    <t>PRESTAT PREGABALINA 50MG x40COMP. BAGO B</t>
  </si>
  <si>
    <t>PRESTAT PREGABALINA 75 MG. 40 COMP. BAGO</t>
  </si>
  <si>
    <t>PRESTOBARBA 2 ULTRAGRIP GILLETTE 1UND</t>
  </si>
  <si>
    <t>PRESTOBARBA DESECHABLE MAQUINA 3H VARON</t>
  </si>
  <si>
    <t>PRESTOBARBA HOMBRE. GILLETTE 3</t>
  </si>
  <si>
    <t>PRESTOBARBA QUATRO TITANIUM PIEL NORMAL. SCHICK</t>
  </si>
  <si>
    <t>PRESTOBARBA SCHICK XTREME 3 SENSIBLE</t>
  </si>
  <si>
    <t>PRETRIZZIO SKIN CARE  50G HIDRASHOCK</t>
  </si>
  <si>
    <t>PREVENTOR</t>
  </si>
  <si>
    <t>PREVENTOR 3 UN</t>
  </si>
  <si>
    <t>PREVENTOR PRESERV RIBB X12</t>
  </si>
  <si>
    <t>PREVENTOR PRESERVATIVO CLASSIC X12UND</t>
  </si>
  <si>
    <t>PREVENTOR PRESERVATIVO X3</t>
  </si>
  <si>
    <t>PREVICOX FIROCOXIB 227MG LAB BOEHRINGER</t>
  </si>
  <si>
    <t>PRIMAQUIN 1MG ESTRADOL X30 COMPR LAB. ABBOTT</t>
  </si>
  <si>
    <t>PRIMAQUIN ESTRADIOL 2MG X30COMP LAB. ABBOTT</t>
  </si>
  <si>
    <t>PRIMIDONA 250MG X50COMP LCH</t>
  </si>
  <si>
    <t>PRO DURALON PACK CEPILLO DENTAL DURO 2UND PROCTER Y GAMBLE</t>
  </si>
  <si>
    <t>PRO LERTUS DICLOFENACO COLESTIRAMINA 140MG. X10CAPS. TECNOFARMA</t>
  </si>
  <si>
    <t>PROALID TACROLIMUS 1MG X15G LAB. ROYAL PHARMA</t>
  </si>
  <si>
    <t>PROALID UNGUENTO TACROLIMUS 0.03</t>
  </si>
  <si>
    <t>PROBEL B SO BETAMETASONA 0.25 MG + CLORFENAMINA 2.00 MG. 120 ML. PASTEUR</t>
  </si>
  <si>
    <t>PROBIOTICO 2 BILLIONS PROBIOTICOS X60GOMITAS LAB. SPRINGLIFE</t>
  </si>
  <si>
    <t>PROBIOTICO TRIPLE 60 Capsulas Springlife</t>
  </si>
  <si>
    <t>PROBIOTICOS+VITAMINAS 30 COMP. NINO</t>
  </si>
  <si>
    <t>PROCELAR GEL DERMATOLOGICO X15G LAB. ROYAL PHARMA</t>
  </si>
  <si>
    <t>PROCION PREDNISONA 20MG X60ML LAB. EUROFARMA</t>
  </si>
  <si>
    <t>PROCTOGEL TRIBENOSIDO + LIDOCAINA 5 G + 20 G X30G LAB. MAVER</t>
  </si>
  <si>
    <t>PRODEL CLORFENAMINA MALEATO 2MG X120ML LAB. PASTEUR</t>
  </si>
  <si>
    <t>PRODEL-B 30COMP PAST</t>
  </si>
  <si>
    <t>PRODEL-B BETAMETASONA + CLORFENAMINA MALEATO 0.25MG + 2MG X10COMP LAB. PASTEUR</t>
  </si>
  <si>
    <t>PRODEL-B COM.30</t>
  </si>
  <si>
    <t>PRODIGY 50 TIRAS- NO REQUIERE CODIFICACION</t>
  </si>
  <si>
    <t>PRODIGY MONITOREO GLUCOSA</t>
  </si>
  <si>
    <t>PROGENDO PROGESTERONA MICRONIZADA 100MG</t>
  </si>
  <si>
    <t>PROGENDO PROGESTERONA MICRONIZADA 200MG X30CAPS LAB. ABBOTT</t>
  </si>
  <si>
    <t>PROLONG LIDOCAINA SPRAY TOPICO 11.5. GEL</t>
  </si>
  <si>
    <t>PROLOPA LEVODOPA + BENSERAZIDA 200MG + 50MG X30COMP LAB. ROCHE</t>
  </si>
  <si>
    <t>PROMERPAL DICLOFENACO COLESTIRAMINA 140MG X10CAPS LAB. PRATER</t>
  </si>
  <si>
    <t>PROPILIS PROPOLEO X125ML</t>
  </si>
  <si>
    <t>PROPOL GRIP PROPOLEO + NARANJA + PALTO 5ML X125ML LAB. ACN</t>
  </si>
  <si>
    <t>PROPOLEO 0.221 ML X60CAP LAB.AURA VITALIS</t>
  </si>
  <si>
    <t>PROPOLEO AJO 30ML</t>
  </si>
  <si>
    <t>PROPOLEO AJO X30ML VALLE Y SOL</t>
  </si>
  <si>
    <t>PROPOLEO CARAMELO MIEL 30 GRS. SPRINGLIFE CJX20</t>
  </si>
  <si>
    <t>PROPOLEO EUCALIPTO 10 CARAMELOS DE PROPOLEO SPRINLIFE CJ X20</t>
  </si>
  <si>
    <t>PROPOLEO GOTAS 30ML VALLE Y SOL</t>
  </si>
  <si>
    <t>PROPOLEO MIEL SPRAY</t>
  </si>
  <si>
    <t>PROPOLEO SPRAY MENTA MIEL 30ML</t>
  </si>
  <si>
    <t>PROPOLEO SPRAY MIEL 30ML PROPOLSAN</t>
  </si>
  <si>
    <t>PROPOLEO SPRAY MIEL MENTOL X30ML</t>
  </si>
  <si>
    <t>PROPOLEO SPRAY SABOR MENTA-MIEL ARAMA</t>
  </si>
  <si>
    <t>PROPOLEO TUTTI FRUTI SPRAY 240 DOSIS KIDS X30ML SPRINGLIFE</t>
  </si>
  <si>
    <t>PROPOLEO+VITAMINA C 500MG X60CAPS LAB. NATURALFARMA</t>
  </si>
  <si>
    <t>PROPOLIS C PROPOLEO + VITAMINA C 15ML X125ML LAB. KNOP</t>
  </si>
  <si>
    <t>PROPOLIS SPRAY X30ML KNOP</t>
  </si>
  <si>
    <t>PROPOLSAN PROPOLEO SPRAY KINDER S. FRAMBUESA 30 ML LAB. RAVEPHARMA</t>
  </si>
  <si>
    <t>PROPOLSAN PROPOLEO SPRAY MIEL 30ML LB. RAVEPHARMA</t>
  </si>
  <si>
    <t>PROPOLSAN PROPOLEO SPRAY S. JENGIBRE 30 ML LAB. RAVEPHARMA</t>
  </si>
  <si>
    <t>PROPOLSAN PROPOLEO SPRAY S. MENTA 30 ML LAB. RAVEPHARMA</t>
  </si>
  <si>
    <t>PROPRANOLOL CLORHIDRATO 10MG X20COMP. LAB. MINTLAB</t>
  </si>
  <si>
    <t>PROPRANOLOL CLORHIDRATO 20COMP LCH 40MG</t>
  </si>
  <si>
    <t>PROPRANOLOL CLORHIDRATO 40MG. X20COMP LAB. MINTLAB B</t>
  </si>
  <si>
    <t>PROSTALGESIC SUPLEMENTO ALIMENTICIO X60CAPS LAB. ALQUIMIA VERDE</t>
  </si>
  <si>
    <t>PROSTAX MAX ZINC 120 CAPS</t>
  </si>
  <si>
    <t>PROTEC FIL 10X12</t>
  </si>
  <si>
    <t>PROTEC FILM 15X20CM</t>
  </si>
  <si>
    <t>PROTEC FILM 6X7CM</t>
  </si>
  <si>
    <t>PROTEC FILM I V 7X9CM CANULA</t>
  </si>
  <si>
    <t>PROTEC PAD 10X25</t>
  </si>
  <si>
    <t>PROTEC PAD 10X25X50 ROKIMEDS</t>
  </si>
  <si>
    <t>PROTEC PAD 7 X12</t>
  </si>
  <si>
    <t>PROTEC PAD 8X15CM</t>
  </si>
  <si>
    <t>PROTECCION 5 AEROSOL BIO</t>
  </si>
  <si>
    <t>PROTECT FILM 10X12X50 ROKIMEDS</t>
  </si>
  <si>
    <t>PROTECT FILM 5X7X100 ROKYMEDS</t>
  </si>
  <si>
    <t>PROTECT Y CARE NIVEA 0% ALCOHOL AEROSOL ANTITRANSPIRANTE</t>
  </si>
  <si>
    <t>PROTECTFILM TRASPARENTE CAJA XUND</t>
  </si>
  <si>
    <t>PROTECTOR DE PEZON CAUCHO BEST HOUSE</t>
  </si>
  <si>
    <t>PROTECTOR DE PEZON DE SILICONA BEST HOUSE</t>
  </si>
  <si>
    <t>PROTECTOR DIARIO KOTEX X 20 UNIDADES</t>
  </si>
  <si>
    <t>PROTECTOR MAMARIOS</t>
  </si>
  <si>
    <t>PROTECTOR SOLAR 50FPS EUCERIN TEXTURA ULTRA LIGERA X50ML</t>
  </si>
  <si>
    <t>PROTECTOR SOLAR ANTIOX FPS50 HIPOALERGENICO LEBLON X270G</t>
  </si>
  <si>
    <t>PROTECTOR SOLAR EUCERIN 30FPS KIDS X150ML</t>
  </si>
  <si>
    <t>PROTECTOR SOLAR EUCERIN OIL CONTROL TINTED YONO MEDIO 12 HRS</t>
  </si>
  <si>
    <t>PROTECTOR SOLAR EUCERIN SENSITIVE PROTECT KIDS SUN SPRAY 250ML</t>
  </si>
  <si>
    <t>PROTECTOR SOLAR FUSION FLUID MINERAL X50ML</t>
  </si>
  <si>
    <t>PROTECTOR SOLAR GEL CREAM ISDIN X250ML</t>
  </si>
  <si>
    <t>PROTECTOR SOLAR HIDRATACION INTENSA ISDIN PEDRIATRICS X250ML</t>
  </si>
  <si>
    <t>PROTECTOR SOLAR ISDIN SPF50 50ML</t>
  </si>
  <si>
    <t>PROTECTOR SOLAR KIDS 50FPS RAYITO DE SOL X90G</t>
  </si>
  <si>
    <t>PROTECTOR SOLAR KIDS BUBBLE GUM LEBLON X90G</t>
  </si>
  <si>
    <t>PROTECTOR SOLAR LEBLON 50+ SPORT 50G</t>
  </si>
  <si>
    <t>PROTECTOR SOLAR LEBLON FACIAL HIPOALERGENICO 50FPS</t>
  </si>
  <si>
    <t>PROTECTOR SOLAR NINOS DERMO SOLUTIONS X200ML</t>
  </si>
  <si>
    <t>PROTECTOR SOLAR OIL CONTROL ISDIN X50ML</t>
  </si>
  <si>
    <t>PROTECTOR SOLAR RAYFILTER KIDS FPS 50 HIPOALERGENICO</t>
  </si>
  <si>
    <t>PROTECTOR SOLAR SENSITIVE PROTEC 50FPS EUCERIN</t>
  </si>
  <si>
    <t>PROTECTOR SOLAR SENSITIVE PROTECTOR</t>
  </si>
  <si>
    <t>PROTECTOR SOLAR SIMONDS 50FPS HIPOALERGENICAS ANTIOXIDANTES X200ML</t>
  </si>
  <si>
    <t>PROTECTOR SOLAR SPRAY BABY 50SPF SIMONDS 190ML</t>
  </si>
  <si>
    <t>PROTECTOR SOLAR UV-AGE DAILY VICHY X80ML</t>
  </si>
  <si>
    <t>PROTECTORES ALWAYS X30UND NOSOTRAS</t>
  </si>
  <si>
    <t>PROTECTORES CAREFREE X100</t>
  </si>
  <si>
    <t>PROTECTORES DE LACTANCIA 24+4PCS PIGEON</t>
  </si>
  <si>
    <t>PROTECTORES DE LACTANCIA PIGEON 36PZ</t>
  </si>
  <si>
    <t>PROTECTORES DIARIOS KOTEX 20UND PERIODO + ESCAPES DE ORINA</t>
  </si>
  <si>
    <t>PROTECTORES DIARIOS NOSOTRAS CON ALAS</t>
  </si>
  <si>
    <t>PROTECTORES LADYSOFT</t>
  </si>
  <si>
    <t>PROTEX AVENA + PREBIOTICO JABON EN BARRA PACK X3 COLGATE PALMOLIVE</t>
  </si>
  <si>
    <t>PROTIUM F LACTOBACILUS ACIDOPHILUS + BIFDOBACTERIUM LACTIS 340MG X30COMP LAB. SAVAL</t>
  </si>
  <si>
    <t>PROTIUM LACTOBACILUS ACIDOPHILUS + BIFDOBACTERIUM LACTIS 340MG X30COMP LAB. SAVAL</t>
  </si>
  <si>
    <t>PROTIUM-T LACTOBACILUS ACIDOPHILUS + BIFDOBACTERIUM LACTIS 340MG X30COMP LAB. SAVAL</t>
  </si>
  <si>
    <t>PROVIOTIX 30CAP</t>
  </si>
  <si>
    <t>PROZONE GEL FPS 30 100 G.</t>
  </si>
  <si>
    <t>PRTIZZIO ENJOY DE CARNAVAL 200ML</t>
  </si>
  <si>
    <t>PRUEBA DE EMBARAZO CLEARBLUE digital</t>
  </si>
  <si>
    <t>PRUEBA DE EMBARAZO CLEARBLUE plus</t>
  </si>
  <si>
    <t>PRUVAL PRUCALOPRIDA 1MG X30COMP LAB. SAVAL</t>
  </si>
  <si>
    <t>PRUVAL PRUCALOPRIDA 2MG</t>
  </si>
  <si>
    <t>PS OMEGA 3 800/400 CAP.60</t>
  </si>
  <si>
    <t>PSEUDOFEDRINA 15MGPARACETAMOL100MGNOSCAPINA 1</t>
  </si>
  <si>
    <t>PSUPERPET OMEGA SENIOR 3 Y 6 SUPLEMENTO NUTRICIONAL X125ML DRAG PHARMA</t>
  </si>
  <si>
    <t>PUNZO CATH CATETER INSYDE Nro 20</t>
  </si>
  <si>
    <t>PURA FIBRA X200G</t>
  </si>
  <si>
    <t>PURE SCIENCE PROBIOTIC 12 CEPAS 50 BILLONES X30CAPS RAVEPHARMA</t>
  </si>
  <si>
    <t>PURE SCIENCE PROBIOTIC 4 CEPAS 15BILLONES X60CAPS RAVEPHARMA</t>
  </si>
  <si>
    <t>PURIFIED SKIN ACIDO GLICOLICO 100 GRS. LAB. KENVUE</t>
  </si>
  <si>
    <t>PYRIPED FORTE IBUPROFENO SUSP O 200MG5ML 100ML</t>
  </si>
  <si>
    <t>PYRIPED IBUPROFENO 400MG 20CAPSULAS BLANDAS MINTLAB B</t>
  </si>
  <si>
    <t>QG5 PSIDIUM GUAJAVA 166.60MG X30COMP LAB. GENOMMA</t>
  </si>
  <si>
    <t>QUERATINA LIQUIDA REPARADOR DE PUNTAS 30ML PERFANCE</t>
  </si>
  <si>
    <t>QUERCUS T.M MEDICAMENTO HOMEOPATICO 50 COMP. LAB. KNOP</t>
  </si>
  <si>
    <t>QUERCUS T.M. GOTAS ORALES X30ML KNOP</t>
  </si>
  <si>
    <t>QUETIAPINA 100 MG. 30 COMP. LAB.SEVN PHARMA HETRO</t>
  </si>
  <si>
    <t>QUETIAPINA 100MG 30COMP REC SEVEN PHARMA</t>
  </si>
  <si>
    <t>QUETIAPINA 100MG X 30COMP. HETERO B</t>
  </si>
  <si>
    <t>QUETIAPINA 100MG X30COMP LAB. ASCEND</t>
  </si>
  <si>
    <t>QUETIAPINA 25MG X30COMP LAB. HETERO</t>
  </si>
  <si>
    <t>QUETIAPINA 25MG X30COMP. LCH B</t>
  </si>
  <si>
    <t>QUETIAPINA 30COM SEVPH 25MG</t>
  </si>
  <si>
    <t>QUETIAPINA X25MG 30COMP. LAB. ASCEND</t>
  </si>
  <si>
    <t>QUINOBIOT  LEVOFLOXACINO  750MG  X10COMP  LAB. ANDROMACO</t>
  </si>
  <si>
    <t>QUINOBIOT LEVOFLOCINO 750 MG. 7 COMP. LAB. ANDROMACO</t>
  </si>
  <si>
    <t>QUITA CALLOS ACIDO SALICILICO 30 . POMADA TOPICA 5 GRS.</t>
  </si>
  <si>
    <t>QUITA ESMALTE 40ML</t>
  </si>
  <si>
    <t>QUORUM EDT VAP X100</t>
  </si>
  <si>
    <t>QUORUM SILVER X100ML</t>
  </si>
  <si>
    <t>RACING CAR AUTO METALICO X1</t>
  </si>
  <si>
    <t>RADIGEN RISPERIDONA 1MG 30ML LAB. EUROFARMA</t>
  </si>
  <si>
    <t>RASPADOR DE LENGUA DE DOBLE HOJA CURAPROX</t>
  </si>
  <si>
    <t>RAYFILTER 30 FPS PROTECTOR SOLAR EN BARRA BLANCO 30 FPS RAYFILTER</t>
  </si>
  <si>
    <t>RAYFILTER BARRA FPS30 NARANJA 6GR.</t>
  </si>
  <si>
    <t>RAYFILTER PROTECTOR EN BARRA CELESTE 30FPS</t>
  </si>
  <si>
    <t>RAYFILTER PROTECTOR SOLAR EN BARRA ROSADO</t>
  </si>
  <si>
    <t>RAYITO DE SOL FPS50 OZONO CREMA PROTECTORA X190G</t>
  </si>
  <si>
    <t>RAYITO DE SOL FPS50 OZONO CREMA PROTECTORA X50G</t>
  </si>
  <si>
    <t>RAYITO SOL PROTECTOR LABIAL BERRY FPS 30 10G</t>
  </si>
  <si>
    <t>RE GENESIS MAX SUPLENTO ALIMENTARIO X30 CAPS LAB. EXELTIS</t>
  </si>
  <si>
    <t>RE GENESIS ULTRA SUPLEMENTO ALIMENTARIO X30CAPS. EXELTIS</t>
  </si>
  <si>
    <t>RE GENESIS UP SUPLEMENTO ALIMENTARIO X30 CAPS. LAB. EXELTIS</t>
  </si>
  <si>
    <t>REANA CEPILLO REANA 1 UND.</t>
  </si>
  <si>
    <t>RECOLECTOR DE LECHE MATERNA</t>
  </si>
  <si>
    <t>RECOLECTORA DE ORINA ADULTO 2 LT.</t>
  </si>
  <si>
    <t>RECOVERY APOSITO TRANSPARENTE TATTOO CARE 10X10CM X10UND MARKETS</t>
  </si>
  <si>
    <t>RECOVERY COMPRESA FRIO - CALOR REUTILIZABLE</t>
  </si>
  <si>
    <t>RECOVERY K TAPE CINTAS KINESICAS 5 CMS X 5 MTS. ROSADAS KTAPE 20 TIRAS C. MARKETS</t>
  </si>
  <si>
    <t>RECOVERY K TAPE VERDE X20 TIRAS C. MARKETS</t>
  </si>
  <si>
    <t>RECOVERY SUTURA ADHESIVAS X9 TIRAS ESTERILIZADAS C. MARKETS</t>
  </si>
  <si>
    <t>RECOVERY VENDA AUTOADERENTE 7.5CMX4.5MTS</t>
  </si>
  <si>
    <t>RECOVERY VENDA AUTOADHERENTE 7.5 CM X 4.5 MTS ROSADA X1UND C.MARKETS</t>
  </si>
  <si>
    <t>RECOVERY VENDA AUTOADHERENTE 7.5CM X 4.5MTS X1UND. C.MARKETS</t>
  </si>
  <si>
    <t>RED BULL ENERGY DRINK X250ML</t>
  </si>
  <si>
    <t>RED BULL SUGAR FREE X250ML</t>
  </si>
  <si>
    <t>RED BULL THE PURPLE</t>
  </si>
  <si>
    <t>RED BULL THE RED EDITION</t>
  </si>
  <si>
    <t>RED BULL THE YELLOW EDITION X250ML</t>
  </si>
  <si>
    <t>REDISTATIN ROSUVASTATINA 10 MG. 30 COMP. LAB DR REDDY</t>
  </si>
  <si>
    <t>REDOFF NAFAZOLINA GOTAS 15ML. REDOFF</t>
  </si>
  <si>
    <t>REDOXON TRIPLE ACCION X 10 COMP EFERVESCENTE</t>
  </si>
  <si>
    <t>REDUCLIM TIBOLONA 2.5MG X35COMP LAB. DEUTSCHE</t>
  </si>
  <si>
    <t>REFLEXAN 10 CICLOBENZAPRINA CLORHIDRATO 10MG X10COMP LAB. MEGALABS</t>
  </si>
  <si>
    <t>REFLEXAN 10. CICLOBENZAPRINA 10 MG</t>
  </si>
  <si>
    <t>REFLEXAN 5 CICLOBENZAPRINA CLORHIDRATO 5MG X20COMP LAB.MEGALABS</t>
  </si>
  <si>
    <t>REGENERADOR UNIFICADOR ANTI-ARRUGAS LA ROCHE POSAY X30ML</t>
  </si>
  <si>
    <t>REGENEROL FORTE SUPLEMENTO ALIMENTICIO X60CAPS LAB. FUENTE VITAL</t>
  </si>
  <si>
    <t>REGEPIPEL PLUS CLORHEXIDINA GLUCONATO 2% MICONAZOL 2% SHAMPOO ANTISEPTICO Y ANTIMICOTICO X150ML DRA</t>
  </si>
  <si>
    <t>RELATENE KETOPROFENO 100MG X20COMP LAB.MINTLAB</t>
  </si>
  <si>
    <t>RELAXED x 60CAPS CNP</t>
  </si>
  <si>
    <t>REMITEX CETIRIZINA DICLORHIDRATO 10MG 15ML LAB. BAGO</t>
  </si>
  <si>
    <t>REMITEX CETIRIZINA DICLORHIDRATO 5MG 100ML LAB. BAGO</t>
  </si>
  <si>
    <t>RENU FRESH SOL X 355ML</t>
  </si>
  <si>
    <t>REPARADOR DE PONTAS OLEO ARGAN 60ML</t>
  </si>
  <si>
    <t>REPARADOR DE PONTAS OLEO DE COCO 60ML</t>
  </si>
  <si>
    <t>REPARADOR DE PONTAS OLEO DE RICINO 60ML</t>
  </si>
  <si>
    <t>REPELENTE DE INSECTOS CREMA TOP+ ALOE VERA. 80 GRS. REPELEX</t>
  </si>
  <si>
    <t>REPELENTE DE INSECTOS OFF EXTRA DURACION X142GR</t>
  </si>
  <si>
    <t>REPELENTE DE INSECTOS SPRAY OFF FAMILY X131G</t>
  </si>
  <si>
    <t>REPELENTE DE INSECTOS SPRAY X 165ML REPELEX NF</t>
  </si>
  <si>
    <t>REPELEX FORTE 165ML SANITAS</t>
  </si>
  <si>
    <t>REPELEX POST PICADURAS GEL</t>
  </si>
  <si>
    <t>RESCATE EMERGENCIA FLORES DE BACH 30ML</t>
  </si>
  <si>
    <t>RESPIG SULFAMETOXAZOL + TRIMETOPRIMA 200MG + 40MG X100ML LAB. DRAG PHARMA</t>
  </si>
  <si>
    <t>RESPUESTO TALCO PARA NINOS. BABYLAND. SIN PARABENOS-HIPOALERGENICO</t>
  </si>
  <si>
    <t>RESTOL DOMPERIDONA 10MGML. X20ML. GTS ORALES LCH</t>
  </si>
  <si>
    <t>RESVERATROL 1530MG 90 CAPS AURA VITALIS</t>
  </si>
  <si>
    <t>RESVERATROL 300 MG. 30 CAPS. CNP</t>
  </si>
  <si>
    <t>RESVERATROL 500 MG 60CAPS GREEN MEDICAL</t>
  </si>
  <si>
    <t>RESVERATROL CONCENTRADO 1500MG</t>
  </si>
  <si>
    <t>REUMAZINE HIDROXICLOROQUINA SULFATO 200MG X30COMP LAB. SANITAS</t>
  </si>
  <si>
    <t>REVITALIFT ACIDP HIALURONICO 50ML</t>
  </si>
  <si>
    <t>REVITALIFT CREMA DIA 50ML</t>
  </si>
  <si>
    <t>REVITALIFT FPS30 50ML</t>
  </si>
  <si>
    <t>REVITALIFT RETINOL SERUM NOCHE X30ML LOREAL PARIS</t>
  </si>
  <si>
    <t>REVLON SERUM RETINOL PURO 30ML</t>
  </si>
  <si>
    <t>REXANEL RUPATADINA 10MG X30COMP LAB. PRATER</t>
  </si>
  <si>
    <t>REXANEL RUPATADINA 1MG X120ML LAB. PRATER</t>
  </si>
  <si>
    <t>REXONA 72H ACTIVE MOTION 50G</t>
  </si>
  <si>
    <t>REXONA 72H BAMBOO &amp; ALOE VERA</t>
  </si>
  <si>
    <t>REXONA 72H POWDER DRY 50G</t>
  </si>
  <si>
    <t>REXONA ACTIVE EMOTION 72H</t>
  </si>
  <si>
    <t>REXONA CLINICAL</t>
  </si>
  <si>
    <t>REXONA CLINICAL AEROSOL SPORT STRENGTH 96HRS 150ML</t>
  </si>
  <si>
    <t>REXONA CLINICAL CLASSIC CREMA 48G</t>
  </si>
  <si>
    <t>REXONA CLINICAL CLASSIC X48G WOM</t>
  </si>
  <si>
    <t>REXONA CLINICAL CLEAN SCENT 48G</t>
  </si>
  <si>
    <t>REXONA CLINICAL CREMA X3 STRESS CONTROL X48G</t>
  </si>
  <si>
    <t>REXONA CLINICAL CREMA X48G</t>
  </si>
  <si>
    <t>REXONA CLINICAL EXTRA DRY</t>
  </si>
  <si>
    <t>REXONA CLINICAL MEN 48G</t>
  </si>
  <si>
    <t>REXONA CLINICAL MEN CLEAN 48 G96 H</t>
  </si>
  <si>
    <t>REXONA CLINICAL MEN SPORT 48G 96H</t>
  </si>
  <si>
    <t>REXONA CLNICAL EXTRA DRY 48G</t>
  </si>
  <si>
    <t>REXONA DESODORANTE BARRA V8 VARON 50GR</t>
  </si>
  <si>
    <t>REXONA INVISIBLE SPRAY</t>
  </si>
  <si>
    <t>REXONA INVISIBLE VARON 50GR</t>
  </si>
  <si>
    <t>REXONA POWDER DRY 72H. SPRAY</t>
  </si>
  <si>
    <t>REXONA V8 SPRAY 150ML</t>
  </si>
  <si>
    <t>REXONA XTRACOOL 150ML</t>
  </si>
  <si>
    <t>REXULTI BREXPIPRAZOL 1MG X28COMP LAB. OTSUNA</t>
  </si>
  <si>
    <t>RHUS TOXICODENDRON COMPUESTO GOTAS ORALES 30ML KNOP</t>
  </si>
  <si>
    <t>RHUS TOXiCODENDRON D6 MEDICAMENTO HOMEOPATICO 90 COMP. LAB KNOP</t>
  </si>
  <si>
    <t>RIBOLAC RIFAXIMINA 200MG x10COMP LAB. ABBOTT</t>
  </si>
  <si>
    <t>RIGOTAX 10 MG X 30 COMP.</t>
  </si>
  <si>
    <t>RIGOTAX CETIRIZINA DICLORHIDRATO 10MG 15ML LAB. PRATER</t>
  </si>
  <si>
    <t>RIGOTAX CETIRIZINA DICLORHIDRATO 10MG X10COMP LAB. PRATER</t>
  </si>
  <si>
    <t>RIGOTAX CETIRIZINA DICLORHIDRATO 5MG X60ML LAB. PRATER</t>
  </si>
  <si>
    <t>RIGOTAX-D 30 CAPS. PRATER</t>
  </si>
  <si>
    <t>RIGOTAX-D CETIRIZINA + PSEUDOEFEDRINA 5MG + 120MG X10CAPS LAB. PRATER</t>
  </si>
  <si>
    <t>RIMADYL 25MG ANTI INFLAMATORIO USO EN PERROS X14COMP</t>
  </si>
  <si>
    <t>RIMADYL CARPROFENO ANTIINFLAMATORIO 100MG X60COMP ZOETIS</t>
  </si>
  <si>
    <t>RIMIVAT OSELTAMIVIR 75MG X10COMP LAB. ANDROMACO</t>
  </si>
  <si>
    <t>RINGER LACTATO X500ML</t>
  </si>
  <si>
    <t>RINIDUAL SUSPENSION 137MCG/50 MCG 120DOS</t>
  </si>
  <si>
    <t>RINO-B AQUA BUDESONIDA 100MCG 100DOSIS</t>
  </si>
  <si>
    <t>RINOBANEDIF UNGUENTO NASAL X10GR BAGO</t>
  </si>
  <si>
    <t>RINOKID CLORURO DE SODIO 3MG 250DOSIS LAB. CASSARA</t>
  </si>
  <si>
    <t>RINOMASE</t>
  </si>
  <si>
    <t>RINOPLEX COMP. X60 DESCONGESTIONANTE</t>
  </si>
  <si>
    <t>RINOSTERYL CLORURO DE SODIO X30ML S. NASAL LAB. MINTLAB</t>
  </si>
  <si>
    <t>RINOVAL MOMETASONA FUROATO 50 MCG DOSIS. SUSP. NASAL. 120 DOSIS. RINOVAL</t>
  </si>
  <si>
    <t>RIPOL SILDENAFIL 100 MG. 10 COMP.</t>
  </si>
  <si>
    <t>RIPOL SILDENAFL 50MG X5COMP LAB. DE CHILE</t>
  </si>
  <si>
    <t>RISPYL 1MG RISPERIDONA X20 COMP LAB AXON PHARMA</t>
  </si>
  <si>
    <t>RISPYL 1MG RISPERIDONA X20COMP AXON PHARMA B</t>
  </si>
  <si>
    <t>RISPYL 3MG RISPERIDONA X20COMP AXON PHARMA</t>
  </si>
  <si>
    <t>RISPYL RISPERIDONA 3MG X20COMP LAB. AXON</t>
  </si>
  <si>
    <t>RIVAROXABAN 20 MG. 56 COMP. LAB. PINNACLE</t>
  </si>
  <si>
    <t>RIVAXORED 10MG RIVAROXABAN 10 COMPRIMIDOS</t>
  </si>
  <si>
    <t>RIVAXORED 20MG RIVAROXABAN X28COMP DR REDDYS B</t>
  </si>
  <si>
    <t>RIVAXORED RIVAROXABAN 15MG X28COMP LAB. DR.REDDYS</t>
  </si>
  <si>
    <t>RIVOXA RIVAROXABAN 10MG 10 COMP</t>
  </si>
  <si>
    <t>RIXOVITAE 15 MG X 28 MGRIVAROXABAN 15 MG</t>
  </si>
  <si>
    <t>RIXOVITAE 20 MG X 28 COMP. RIVAROXABAN 20 MG X 28</t>
  </si>
  <si>
    <t>RIXOVITAE RIVAROXABAN 10MG X10COMP LAB. GALEMOCI</t>
  </si>
  <si>
    <t>ROCALTROL CALCITRIOL 0.25MCG X30CAPS LAB. ATNAHS</t>
  </si>
  <si>
    <t>ROCALTROL CALCITRIOL 0.5MCG X30CAPS LAB. ATNAHS</t>
  </si>
  <si>
    <t>RODILLERA BAMBOO L</t>
  </si>
  <si>
    <t>RODILLERA ELASTICA 1UND SENTEC</t>
  </si>
  <si>
    <t>RODOLEY SHAMPOO SIN SAL X500ML TRAMA UNIFARM</t>
  </si>
  <si>
    <t>ROLL ON NIVEA MEN</t>
  </si>
  <si>
    <t>ROSAT-10 ROSUVASTATINA 10MG X30COMP LAB.PASTEUR</t>
  </si>
  <si>
    <t>ROSTRUM ENROFLOXACINO 25MG 20ML LAB. DRAG PHARMA</t>
  </si>
  <si>
    <t>ROSTRUM ENROFLOXACINO 50MG X10COMP. LAB. DRAG PHARMA</t>
  </si>
  <si>
    <t>ROSTRUM RAZA GRANDE 150MG X 10 COMP.</t>
  </si>
  <si>
    <t>ROSUVASTATINA  20MG 30COMP LAB IPHSA</t>
  </si>
  <si>
    <t>ROSUVASTATINA 10MG X30 COMP LAB SEVEN PHARMA</t>
  </si>
  <si>
    <t>ROSUVASTATINA 10MG X30COMP LAB. DE CHILE</t>
  </si>
  <si>
    <t>ROSUVASTATINA 20MG X30COMP LAB. DE CHILE</t>
  </si>
  <si>
    <t>ROSUVASTATINA 30COMP HET 20MG</t>
  </si>
  <si>
    <t>ROSUVITAE PLUS ROSUVASTATINA + EZEIMIBA 10MG + 10 MG X30COMP LAB. GALENICUM</t>
  </si>
  <si>
    <t>ROSUVITAE ROSUVASTATINA + EZEIMIBA 20MG + 10 MG X30COMP LAB. GALENICUM</t>
  </si>
  <si>
    <t>RUBRIMET METRONIDAZOL 0.75G X30G LAB. FOUCHARD</t>
  </si>
  <si>
    <t>RULOXAN RUPATADINA 10MG X30COMP LAB. SAVAL</t>
  </si>
  <si>
    <t>RUPAFIN RUPATADINA 10MG X30COMP LAB. ITF-LABOMED</t>
  </si>
  <si>
    <t>RUPAFIN SO RUPATADINA 1mgml x120ML ITF B</t>
  </si>
  <si>
    <t>RUPAX RUPATADINA 10MG X30COMP LAB. PASTEUR</t>
  </si>
  <si>
    <t>RYALTRIS OLOPATADINA MOMETASONA FUROATO 600MCG/25MCG</t>
  </si>
  <si>
    <t>S CARE CREMA HIDRATANTE DERMICA X500G</t>
  </si>
  <si>
    <t>S STIK DESSTK FRESH 60G</t>
  </si>
  <si>
    <t>SABAL SERRULATA COMPUESTA GOTAS ORALES 30ML KNOP</t>
  </si>
  <si>
    <t>SABANILLAS 90X60CM 6 UNIDADES COTOSAN</t>
  </si>
  <si>
    <t>SABANILLAS FAMILY SET 90X60 8 UNIDADES</t>
  </si>
  <si>
    <t>SACARINA 24MG X 300 COMPRIMIDOS</t>
  </si>
  <si>
    <t>SAE PROPIENAZONA + ADIFENINA CLORHIDRATO 440MG + 50 MG X6SUPOSITORIOS LAB. PASTEUR</t>
  </si>
  <si>
    <t>SAFETY RAZOR SHU-MORE MAQUINA DE AFEITAR</t>
  </si>
  <si>
    <t>SAGRAS ORLISTAT 120MG X105CAPS LAB. MILAB</t>
  </si>
  <si>
    <t>SAGRAS ORLISTAT 120MG XUND CAPSULAS LAB MILAB</t>
  </si>
  <si>
    <t>SAL INGLESA DROGUERIA NUNOA 30 G</t>
  </si>
  <si>
    <t>SALBUTAMOL 100 MCG + BECLOMETASONA DIPROPIONATO 50 MCG. AEROSOL PARA INHALACION.</t>
  </si>
  <si>
    <t>SALBUTAMOL 200 DOSIS MIN 100MCGDOS</t>
  </si>
  <si>
    <t>SALBUTAMOL AEROSOL PARA INHALAR 100MCG DOSIS X1UN ENVASE DE 200 DOSIS</t>
  </si>
  <si>
    <t>SALBUTAMOL SALBUTAMOL 2MG X100ML LAB. MILAB</t>
  </si>
  <si>
    <t>SALBUTAMOL SALBUTAMOL SULFATO 120.5MCG X200DOSIS</t>
  </si>
  <si>
    <t>SALBUTRAL AC SALBUTAMOL + IPRATROPIO BROMURO 100MCG + 20 MCG 250DOSIS LAB. CASSARA</t>
  </si>
  <si>
    <t>SALOFALK MESALAZINA 500MG X100COMP LAB. DRFALK</t>
  </si>
  <si>
    <t>SALONPAS 10 PARCHES HISAM 6.5X4.2CM</t>
  </si>
  <si>
    <t>SANGRE DE DRAGO 60 CAPS VALLE DE SOL</t>
  </si>
  <si>
    <t>SANGRE DE DRAGO GOTAS 30ML VALLE Y SOL</t>
  </si>
  <si>
    <t>SANGUINARIA COMPUESTA GOTAS ORALES X30ML KNOP</t>
  </si>
  <si>
    <t>SAUCO FLOR MATERIA PRIMA 5G</t>
  </si>
  <si>
    <t>SAYANA PRESS INYECTABLE</t>
  </si>
  <si>
    <t>SCALP VEIN CRANBERRY AGUJA CALIBRE 21G 34</t>
  </si>
  <si>
    <t>SCAN MED TENSIOMETRO DE MUÑECA</t>
  </si>
  <si>
    <t>SCANDMED TES EMBARAZO X2</t>
  </si>
  <si>
    <t>SCANMED MULTIDROGAS 4 DROGAS</t>
  </si>
  <si>
    <t>SCANMED TENSIOMETRO DE BRAZO AUTOMATICO DIGITAL BP-103H</t>
  </si>
  <si>
    <t>SCANMED TES DE DROGA COCAINA</t>
  </si>
  <si>
    <t>SCANMED TEST DE DROGA MARIHUANA</t>
  </si>
  <si>
    <t>SCANMED TEST DE EMBARAZO DIGITAL IND. SEMANAS X1UND</t>
  </si>
  <si>
    <t>SCANMED TEST DE EMBARAZO X1</t>
  </si>
  <si>
    <t>SCANMED TIRAS REACTIVA 50UNDS</t>
  </si>
  <si>
    <t>SCHICK 4</t>
  </si>
  <si>
    <t>SCHICK XTRE.3 HAWAI.MAQ.6</t>
  </si>
  <si>
    <t>SCHICK XTREME3 -MUJER -X2-</t>
  </si>
  <si>
    <t>SECRET ANTITRANSPIRANTE EN BARRA PH BALANCEADO X45</t>
  </si>
  <si>
    <t>SECRET GEL 45 GR.</t>
  </si>
  <si>
    <t>SECRET MUJER ANTITRANSPIRANTE COCONUT X45G</t>
  </si>
  <si>
    <t>SECRETOS DE LA CHAMI N-15 X30ML VALLE Y SOL</t>
  </si>
  <si>
    <t>SECRETOS DE LA CHAMI N-20 X 30ML VALLE Y SOL</t>
  </si>
  <si>
    <t>SECRETOS DE LA MACHI N 3 VALLE Y SOL</t>
  </si>
  <si>
    <t>SECRETOS DE LA MACHI N-10 X 30ML VALLE Y SOL</t>
  </si>
  <si>
    <t>SECRETOS DE LA MACHI N-11 X 30ML VALLE Y SOL</t>
  </si>
  <si>
    <t>SECRETOS DE LA MACHI N-12 BEB VALL-SOL 30ML</t>
  </si>
  <si>
    <t>SECRETOS DE LA MACHI N-13 X 30ML VALLE Y SOL</t>
  </si>
  <si>
    <t>SECRETOS DE LA MACHI N-14 X 30ML VALLE Y SOL</t>
  </si>
  <si>
    <t>SECRETOS DE LA MACHI N-16 X 30ML VALLE Y SOL</t>
  </si>
  <si>
    <t>SECRETOS DE LA MACHI N-17 X 30ML VALLE Y SOL</t>
  </si>
  <si>
    <t>SECRETOS DE LA MACHI N-18 X 30ML VALLE Y SOL</t>
  </si>
  <si>
    <t>SECRETOS DE LA MACHI N-19 X 30ML VALLE Y SOL</t>
  </si>
  <si>
    <t>SECRETOS DE LA MACHI N-2 X30ML VALLE Y SOL</t>
  </si>
  <si>
    <t>SECRETOS DE LA MACHI N-4  X30ML VALLE Y SOL</t>
  </si>
  <si>
    <t>SECRETOS DE LA MACHI N-5 X 30ML VALLE Y SOL</t>
  </si>
  <si>
    <t>SECRETOS DE LA MACHI N-6 BEB X 30ML VALLE Y SOL</t>
  </si>
  <si>
    <t>SECRETOS DE LA MACHI N-7 X30ML VALLE Y SOL</t>
  </si>
  <si>
    <t>SECRETOS DE LA MACHI N-8 X 30ML VALLE Y SOL</t>
  </si>
  <si>
    <t>SECRETOS DE LA MACHI N-9 X 30ML VALLE Y SOL</t>
  </si>
  <si>
    <t>SECURITY WAY COLORES</t>
  </si>
  <si>
    <t>SECURITY XTRA 3 PRESERVATIVOS DE LATEX</t>
  </si>
  <si>
    <t>SEDA DENTAL FAM SET PACK X 2</t>
  </si>
  <si>
    <t>SEDAL ACONDICIONADOR CELULAS MADRE</t>
  </si>
  <si>
    <t>SEDAL ACONDICIONADOR COLECCION NATURAL BOMBA DE COCO X340 ML UNILEVER</t>
  </si>
  <si>
    <t>SEDAL ACONDICIONADOR RESTAURACION INSTANTANEA X340 ML UNILEVER</t>
  </si>
  <si>
    <t>SEDAL ACONDICIONAR GLYCOL + VITA C X340 ML UNILEVER</t>
  </si>
  <si>
    <t>SEDAL CARE SHAMPOO 340ML</t>
  </si>
  <si>
    <t>SEDAL CARE+ COLAGENO CON VITAMINA C 340ML</t>
  </si>
  <si>
    <t>SEDAL CR.PELLUMIN/UV300M</t>
  </si>
  <si>
    <t>SEDAL RIZOS DEFINIDOS ACONDICIONADOR</t>
  </si>
  <si>
    <t>SELENIO PRO 350MG 90CAPS AURA VITALIS</t>
  </si>
  <si>
    <t>SELENIO+VITAMINA FULL ENERGIC</t>
  </si>
  <si>
    <t>SELENIUM 200MCG X90 NOW</t>
  </si>
  <si>
    <t>SEN HOJAS MATERIA PRIMA 8G</t>
  </si>
  <si>
    <t>SENIOR CARE OXIDO DE ZINC + CENTELLA ASIATICA CR 250G</t>
  </si>
  <si>
    <t>SENSITIVE BALSAMO NIVEA MEN100ML/101G</t>
  </si>
  <si>
    <t>SENSODINA PROTECCION COMPLETA + 90G</t>
  </si>
  <si>
    <t>SENSODINE SENSIBILIDAD &amp; ESMALTE 100G BLANQ</t>
  </si>
  <si>
    <t>SENSODYNE BLANQUEADOR 90G</t>
  </si>
  <si>
    <t>SENSODYNE CEPILLO DENTAL SENSIBILIDADENCIAS</t>
  </si>
  <si>
    <t>SENSODYNE CEPILLO MULTIPROTECCION</t>
  </si>
  <si>
    <t>SENSODYNE CEPILLO SENSITIVE CARE X 2 UNIDADES</t>
  </si>
  <si>
    <t>SENSODYNE CEPILLO SUAVE PACK X2</t>
  </si>
  <si>
    <t>SENSODYNE EXTRA FRESH CREM DENT GSK 90G</t>
  </si>
  <si>
    <t>SENSODYNE LIMPIEZA PROFUNDA SUAVE</t>
  </si>
  <si>
    <t>SENSODYNE MULTIPROTECCION 90G GSK</t>
  </si>
  <si>
    <t>SENSODYNE RAPIDO ALIVIO 100G</t>
  </si>
  <si>
    <t>SENSOR PLUS 3 CONDONES DE LATEX LUBRICADOS</t>
  </si>
  <si>
    <t>SENTIS FENTERMINA CLORHIDRATO 37.5MG X30CAPS LCH TEVA</t>
  </si>
  <si>
    <t>SEPTONA DAILY CLEAN DUO PETALO DESMA</t>
  </si>
  <si>
    <t>SEPTONA TOALLITAS ANTIBACTERIALES X 15</t>
  </si>
  <si>
    <t>SEREDAN-3 60CAP ARAM 33G</t>
  </si>
  <si>
    <t>SERESTO COLLAR PARA GATOS Y PERROS - 8KG IMIDACLOPRIDA 1.25G+FLUMETRINA 0.56G ELANCO</t>
  </si>
  <si>
    <t>SERESTO COLLAR PARA PERRO 8KL 1X70CM ELANCO</t>
  </si>
  <si>
    <t>SERTRALINA 100MG X30COMP LAB. MINTLAB</t>
  </si>
  <si>
    <t>SERTRALINA 50MG</t>
  </si>
  <si>
    <t>SERTRALINA 50MG X30COMP LCH B</t>
  </si>
  <si>
    <t>SERTRALINA SERTRALINA 50MG X30COMP LAB.MINTLAB</t>
  </si>
  <si>
    <t>SERTRALINA X100MG X30COMP HETERO B</t>
  </si>
  <si>
    <t>SET BRUSH</t>
  </si>
  <si>
    <t>SET CORTAUNAS + TIJERAS 0+</t>
  </si>
  <si>
    <t>SET DE BROCHAS GENESIS</t>
  </si>
  <si>
    <t>SET DE MAQUILLAJE DOLCE BELLA</t>
  </si>
  <si>
    <t>SET DE PINZAS</t>
  </si>
  <si>
    <t>SET DE SHAMPOO+EMULSIONADO+COLONIA BUBU</t>
  </si>
  <si>
    <t>SET PFIFFERY ESPONJA. PINZAS. ENCRESPADOR. BROCHA</t>
  </si>
  <si>
    <t>SET SHAMPOO+EMULSIONADO+COLONIA BUBU</t>
  </si>
  <si>
    <t>SET SIMONDS DERMO CREAM DIABETIC SKIN</t>
  </si>
  <si>
    <t>SET SIMONDS MI PRIMER CEPILLO + PEINETA 0+M</t>
  </si>
  <si>
    <t>SHAKIRA ROCK EDT50+LOC75</t>
  </si>
  <si>
    <t>SHAMPO HEAD SHOULDERS LIMPIEZA RENOVADORA X180ML</t>
  </si>
  <si>
    <t>SHAMPO Y LOCION CUASIA DUO QH</t>
  </si>
  <si>
    <t>SHAMPOO + ACONDICIONADOR VINAGRE HERBAL- 150 ML. ALL OUT</t>
  </si>
  <si>
    <t>SHAMPOO 2 EN 1 300ML</t>
  </si>
  <si>
    <t>SHAMPOO 2 EN 1 RAPUNZEL X250ML</t>
  </si>
  <si>
    <t>SHAMPOO ACONDICIONADOR SHOWER GEL 3 EN 1 GELATTI</t>
  </si>
  <si>
    <t>SHAMPOO ACONDICIONADOR Y GEL SHOWER 3 EN 1 GELATTI SPIDER</t>
  </si>
  <si>
    <t>SHAMPOO ANTI-CAIDA TIO NACHO 415 ML. ENGROSADOR.</t>
  </si>
  <si>
    <t>SHAMPOO ARANDANO MAQUI FAMILAND</t>
  </si>
  <si>
    <t>SHAMPOO ARGAN SEDAL 340ML</t>
  </si>
  <si>
    <t>SHAMPOO BABY SHARK 3 EN 1 SHAMPOOSHOWER GELACONDICIONADOR</t>
  </si>
  <si>
    <t>SHAMPOO BALLERINA BRILLO LUMINOSO MANZANILLA X750ML</t>
  </si>
  <si>
    <t>SHAMPOO BALLERINA LARGO INCREIBLE X750CC</t>
  </si>
  <si>
    <t>SHAMPOO BAMBU NUTRE Y CRECE DE PANTENE PRO V X400ML</t>
  </si>
  <si>
    <t>SHAMPOO CARBON ACTIVADO 500ML</t>
  </si>
  <si>
    <t>SHAMPOO CONTROL CASPA HEAD SHOLDERS PROTECCION CAIDA X375ML</t>
  </si>
  <si>
    <t>SHAMPOO DE COCO SEDAL 340ML</t>
  </si>
  <si>
    <t>SHAMPOO DERCOS DENSI SOLUCION X250ML</t>
  </si>
  <si>
    <t>SHAMPOO DERMATOLOGICO BABY LEE RIZOS Y RISAS X400ML</t>
  </si>
  <si>
    <t>SHAMPOO DOVE BRILLO+OLEO MICELAR X400ML</t>
  </si>
  <si>
    <t>SHAMPOO DOVE HIDRA LISO+HIALURONICO X400ML</t>
  </si>
  <si>
    <t>SHAMPOO ELVIVE DREAM LISO</t>
  </si>
  <si>
    <t>SHAMPOO ELVIVE LOREAL GLOSS X370ML</t>
  </si>
  <si>
    <t>SHAMPOO EN SECO BATISTE BLUSH X200ML</t>
  </si>
  <si>
    <t>SHAMPOO EN SECO BATISTE CHERRY X200ML</t>
  </si>
  <si>
    <t>SHAMPOO EN SECO BATISTE FRESH X200ML</t>
  </si>
  <si>
    <t>SHAMPOO EN SECO BATISTE ORIGINAL CLASSIC FRESH X200ML</t>
  </si>
  <si>
    <t>SHAMPOO EN SECO BATISTE PARA MORENAS X200ML</t>
  </si>
  <si>
    <t>SHAMPOO FORMULA NEUTRA BABY AMMENS 750ML</t>
  </si>
  <si>
    <t>SHAMPOO FORTIFICANTE ALIVIO REFRESCANTE DOVE MEN+CARE X400ML</t>
  </si>
  <si>
    <t>SHAMPOO GARNIER LISO COCO FORTIFICANTE X350ML</t>
  </si>
  <si>
    <t>SHAMPOO HEAD SHOULDERS 2 EN 1 375ML</t>
  </si>
  <si>
    <t>SHAMPOO HEAD SHOULDERS DERMO SENSITIVE 375ML</t>
  </si>
  <si>
    <t>SHAMPOO HEAD SHOULDERS LIMPIEZA Y REVITALIZACION X375ML</t>
  </si>
  <si>
    <t>SHAMPOO HIDRA PURIFICANTE ELVIVE DE LOREAL PARIS HIALURONICO PURE</t>
  </si>
  <si>
    <t>SHAMPOO HIDRATANTE GARNIER FRUCTIS ALOE HIDRA BOMB 350ML</t>
  </si>
  <si>
    <t>SHAMPOO HIPOALERGENICO BABY LEE X400ML</t>
  </si>
  <si>
    <t>SHAMPOO HIPOALERGRENICOS BABY LEE BRILLO Y SUAVIDAD</t>
  </si>
  <si>
    <t>SHAMPOO KETOCONAZOL 2 220ML. TKC</t>
  </si>
  <si>
    <t>SHAMPOO LINIC ANTICASPA HIDRATACION Y FUERZA PELO SECO</t>
  </si>
  <si>
    <t>SHAMPOO LINIC ANTICASPA LIMPIEZA Y PURIFICACION PELO MIXTO A GRASO</t>
  </si>
  <si>
    <t>SHAMPOO LOREAL ELVIVE DREAM LONG RECONSTRUCTOR X370ML</t>
  </si>
  <si>
    <t>SHAMPOO MANZANILLA BUBU</t>
  </si>
  <si>
    <t>SHAMPOO MANZANILLA FAMILY</t>
  </si>
  <si>
    <t>SHAMPOO MATICO X500 Q &amp; H</t>
  </si>
  <si>
    <t>SHAMPOO MATIZADOR MORADO LOREAL ELVIVE COLOR VIVE</t>
  </si>
  <si>
    <t>SHAMPOO MATIZADOR SIMONDS ANTI EFECTO AMARILLO SIN SAL</t>
  </si>
  <si>
    <t>SHAMPOO MATIZADOR VIOLETA BELKIT PREMIUM</t>
  </si>
  <si>
    <t>SHAMPOO MICOPIROX CICLOPIROX 1 100ML</t>
  </si>
  <si>
    <t>SHAMPOO NOGAL ROMERO ORTIGA X500ML</t>
  </si>
  <si>
    <t>SHAMPOO NUTRICION+FUSION DE OLEOS X400ML</t>
  </si>
  <si>
    <t>SHAMPOO ONDAS Y RIZOS BALLERINA X750ML</t>
  </si>
  <si>
    <t>SHAMPOO ORTIGA QH 500ML</t>
  </si>
  <si>
    <t>SHAMPOO PANTENE BRILLO EXTREMO X400ML</t>
  </si>
  <si>
    <t>SHAMPOO PANTENE PRO V MIRACLES EQUILIBRIO RAIZ Y PUNTAS X300ML</t>
  </si>
  <si>
    <t>SHAMPOO QUILLAY QH 500ML</t>
  </si>
  <si>
    <t>SHAMPOO REPARADOR ELVIVE LOREAL PARIS CON KERATIN X370ML</t>
  </si>
  <si>
    <t>SHAMPOO RIZOS DEFINIDOS SEDAL 340ML</t>
  </si>
  <si>
    <t>SHAMPOO SEDAL CELULAS MADRES 340ML</t>
  </si>
  <si>
    <t>SHAMPOO SEDAL COLAGENO + VITAMINA C 340ML</t>
  </si>
  <si>
    <t>SHAMPOO SEDAL HIALURONICO + VITAMINA A 340ML</t>
  </si>
  <si>
    <t>SHAMPOO SIR DOG NEUTRALIZA OLORES CON PIROCTON OLAMINA X390ML DRAG PHARMA</t>
  </si>
  <si>
    <t>SHAMPOO SIR DOG PELAJE CAFE CON ACEITE DE ANDIROBA X390ML DRAG PHARMA</t>
  </si>
  <si>
    <t>SHAMPOO SUAVE DERMO CAPILLAIRE X250ML</t>
  </si>
  <si>
    <t>SHAMPOO TIGEL PH CONTROLADO 265ML</t>
  </si>
  <si>
    <t>SHAMPOO VITAMINA SIMONDS X400ML</t>
  </si>
  <si>
    <t>SHAMPOO+CEPILLO INFANTIL</t>
  </si>
  <si>
    <t>SHAROFF NAFAZOLINA CLORHIDRATO 0.12MG X15ML LAB. OPKO</t>
  </si>
  <si>
    <t>SHAVE CREAM PIEL NORMAL 340G ESPUMA PARA AFEITAR</t>
  </si>
  <si>
    <t>SHAVE CREAM PIEL SENSIBLE 340g</t>
  </si>
  <si>
    <t>SHICK 4 X 2 FOR WOMEN</t>
  </si>
  <si>
    <t>SIBILLA CD</t>
  </si>
  <si>
    <t>SIBILLA DIENOGESTETHINYLESTRADIOL X21COMP GEDEON RICHTER B</t>
  </si>
  <si>
    <t>SILDENAFIL 100 MG. 5 COMP.</t>
  </si>
  <si>
    <t>SILDENAFILO 100 MG X 10 COMP. ENHORA</t>
  </si>
  <si>
    <t>SILICEA C200 KNOP</t>
  </si>
  <si>
    <t>SILIGAZ DOMPERIDONA 10MG X20ML LAB. PRATER</t>
  </si>
  <si>
    <t>SILIMADRAG SILIMARINA + DL- METIONINA + COLINA CLORURO 25MG + 80MG + 80MG X120ML LAB. DRAG PHARMA</t>
  </si>
  <si>
    <t>SILIMARIBNA</t>
  </si>
  <si>
    <t>SILIMARINA VITANIMAL CONCENTRADO DE SILYMARINA 120MG X30COMP LAB. GMP</t>
  </si>
  <si>
    <t>SILUET LINE 530MG 60CAP FUENTE VITAL</t>
  </si>
  <si>
    <t>SIMILAC 2</t>
  </si>
  <si>
    <t>SIMILIBUS ALEGIAS GOTAS ORALES X30ML KNOP</t>
  </si>
  <si>
    <t>SIMIN SAMPOO DETOX SIN SAL 410ML</t>
  </si>
  <si>
    <t>SIMON .SH.MANZANLLA X40M</t>
  </si>
  <si>
    <t>SIMON BAL NIÑOS 400ML</t>
  </si>
  <si>
    <t>SIMON KIDS SHAMPOO SUAVID Y BRILLO 400ML</t>
  </si>
  <si>
    <t>SIMON.BAL.NIÑOS 610ML</t>
  </si>
  <si>
    <t>SIMOND1S COLONIA GREEN 260ML</t>
  </si>
  <si>
    <t>SIMONDS BABY CARE ACEITE BABY OIL VASELINA LIQUIDA HIPOALERGENICA X210 ML LAB. DURANDIN</t>
  </si>
  <si>
    <t>SIMONDS DERMO CREAM 750ML</t>
  </si>
  <si>
    <t>SIMONDS DERMO CREAM DIABETIC SKIN REPARACION PROFUNDA UREA 10 X400ML</t>
  </si>
  <si>
    <t>SIMONDS DERMO CREAM DIABETIC SKIN UREA 10% 80ML</t>
  </si>
  <si>
    <t>SIMONDS GLOSS POMADA COCEDURAS 60G</t>
  </si>
  <si>
    <t>SIMONDS LILA LOTION X260ML</t>
  </si>
  <si>
    <t>SIMONDS MARINA LOTION 260ML</t>
  </si>
  <si>
    <t>SIMONDS NIÑOS SHAMPOO 400ML</t>
  </si>
  <si>
    <t>SIMONDS NUBY CHUPETE ORTODONCICO 0 A 24MESES</t>
  </si>
  <si>
    <t>SIMONDS NUBY CHUPETE ORTODONCICO X1UND</t>
  </si>
  <si>
    <t>SIMONDS NUBY MORDEDOR LLAVES CGEL 3+M</t>
  </si>
  <si>
    <t>SIMONDS TALCO LAVANDA MANZANILLA X 200G</t>
  </si>
  <si>
    <t>SIMONS BALSAMO MANZANLLA 610ML</t>
  </si>
  <si>
    <t>SIMONS NUBY RESPUESTO CHUPETE BOCA ESTANDAR 0+</t>
  </si>
  <si>
    <t>SIMPARICA 1.3 A 2.5 KILOS. SAROLANER 5MG. 3COMP. LAB. ZOETIS</t>
  </si>
  <si>
    <t>SIMPARICA 10 A 20 KILOS . SAROLANER 40MG. 3COMP. LAB. ZOETIS</t>
  </si>
  <si>
    <t>SIMPARICA 10MG SAROLANER X3 COMP. MASTICABLES LAB ZOETIS</t>
  </si>
  <si>
    <t>SIMPARICA 20 A 40 KILOS. SAROLANER 80 MG. 3COMP. LAB. ZOETIS</t>
  </si>
  <si>
    <t>SIMPARICA 20MG SAROLANER 20MG X1COMP. ZOETIS XXC22</t>
  </si>
  <si>
    <t>SIMPARICA 40-60 KILOS. SAROLER 120 MG. 3 COMP. LAB. ZOETIS</t>
  </si>
  <si>
    <t>SIMPARICA 40MG SAROLANER PERROS DE 10 A 20KILOS X1COMP. MASTICABLES ZOETIS XXC19</t>
  </si>
  <si>
    <t>SIMPARICA 5 A 10 KILOS. SAROLANER 20MG. 3COMP. LAB. ZOETIS</t>
  </si>
  <si>
    <t>SIMPARICA 80MG SAROLANER PERROS DE 20 A 40KILOS X1COMP. MASTICABLES ZOETIS XXC18</t>
  </si>
  <si>
    <t>SINPUL SHAMPOO PERMETRINA 1+PROPOXUR 0.1 PULGAS Y GARRAPATAS EN PERROS X300ML DRAG PHARMA</t>
  </si>
  <si>
    <t>SINPUL SPRAY PERROS ANTI PULGAS Y GARRAPATAS X200ML LAB. DRAG PHARMA</t>
  </si>
  <si>
    <t>SINPUL SPRAY PULGAS Y GARRAPATAS PERMETRINA 0.2 PIPERONIL BUTOXIDO 2 X500ML DRAG PHARMA</t>
  </si>
  <si>
    <t>SINPULDRY POLVO ANTIPARASITARIO EXTERNO PARA GATOS X100 GR. DRAG PHARMA</t>
  </si>
  <si>
    <t>SINPULDRY POLVO ANTIPARASITARIO EXTERNO PARA PERROS X100 GR. DRAG PHARMA</t>
  </si>
  <si>
    <t>SISTANE COMPLETE SP OJO SECO 10ML</t>
  </si>
  <si>
    <t>SKIN INK 20 NEUT</t>
  </si>
  <si>
    <t>SKIN INK 260 WARM</t>
  </si>
  <si>
    <t>SKIN INK 290 WARM</t>
  </si>
  <si>
    <t>SKIN INK BASE 100LG</t>
  </si>
  <si>
    <t>SKIN INK BASE 140LIG</t>
  </si>
  <si>
    <t>SKIN INK BASE 15 NEUT</t>
  </si>
  <si>
    <t>SKYN FEEL EVERYTHING INTENSE FEEL</t>
  </si>
  <si>
    <t>SL ZINC 15 MG X 30 CAPSULAS</t>
  </si>
  <si>
    <t>SL.FIBRA CON CACAO X300GRS. PVO</t>
  </si>
  <si>
    <t>SL.FISH OIL 1000MG OMEGA 3 30CAP BLANDAS SPRINGLIFE</t>
  </si>
  <si>
    <t>SLIMBODY 60CAPS CNP</t>
  </si>
  <si>
    <t>SLINDA DROSPERIDONA 4 MG. 28 COMP. LAB LEON</t>
  </si>
  <si>
    <t>SMILE KIDS SHAMPOO SIMONDS COCONUT X400ML</t>
  </si>
  <si>
    <t>SMILE KIDS SHAMPOO SIMONDS MANZANILLA DESTELLOS LUMINOSOS X400ML DURANDIN</t>
  </si>
  <si>
    <t>SMILE KIDS SHAMPOO SIMONDS RIZOS PINEAPPLE DURANDIN</t>
  </si>
  <si>
    <t>SOBRE T.R.O SALES REHIDRATATENS 1L LAB. VALMA</t>
  </si>
  <si>
    <t>SOLBIOT PROBIOTICO 30 CAPS LAB. DE CHILE</t>
  </si>
  <si>
    <t>SOMBRA PARA OJOS X10 COLORES DOLCE BELLA</t>
  </si>
  <si>
    <t>SOMNO-CURE AMAPOLA LAVANDA 50CAPS AURA VITALIS</t>
  </si>
  <si>
    <t>SOMO-CURE x60 Caps -AmapolaNaranjoLavanda-</t>
  </si>
  <si>
    <t>SOOLANTRA IVERMECTINA 1G X30G LAB. GALDEMA</t>
  </si>
  <si>
    <t>SOPHIXIN CIPROFLOXACINO CLORHIDRATO MONOHIDRATO 3.5MG X5MLB LAB. SOPHIA</t>
  </si>
  <si>
    <t>SPASMEX TROSPIO CLORURO 30MG X30COMP LAB. SYNTHON</t>
  </si>
  <si>
    <t>SPASMODOX OTILONIO BROMURO 30 COMPRIMIDOS</t>
  </si>
  <si>
    <t>SPEED STICK  CARBON ABSORB 50G</t>
  </si>
  <si>
    <t>SPEED STICK CLASSIC 50G</t>
  </si>
  <si>
    <t>SPEED STICK X50G</t>
  </si>
  <si>
    <t>SPHAMPOO SEDAL X340</t>
  </si>
  <si>
    <t>SPIGELON COM X 50 HEEL</t>
  </si>
  <si>
    <t>SPIRON RISPERIDONA 1MG ML 30ML SOLUCION ORAL GOTAS LAB ANDROMACO</t>
  </si>
  <si>
    <t>SPIRULINA 500 MG 60 CAPSULAS PRANALAB</t>
  </si>
  <si>
    <t>SPIRULINA 60 CAP</t>
  </si>
  <si>
    <t>SPIRULINA 60 CAP VALLE Y SOL</t>
  </si>
  <si>
    <t>SPIRULINA 700MG X60 TABLETAS SPRINGLIFE</t>
  </si>
  <si>
    <t>SPIRULINA X 60 CAPSULAS</t>
  </si>
  <si>
    <t>SPORT BAMBOO TOBILLERA CON SOPORTE ELASTICO X1UND BLUNDING</t>
  </si>
  <si>
    <t>SPORT TAPE 3.8CM X 10M CJ 12</t>
  </si>
  <si>
    <t>SPORTE BAMBOO RODILLERA X1UND. BLUNDING</t>
  </si>
  <si>
    <t>SPRAY DE PROPOLEO SABOR MAQUI</t>
  </si>
  <si>
    <t>SPRAY DE PROPOLEO SABOR MATICO</t>
  </si>
  <si>
    <t>SPRAY MULTIFEVEFICIOS BALLERINA 200ML</t>
  </si>
  <si>
    <t>SPRAY PARA PEINAR DESENREDANTE FROZEN II X200ML</t>
  </si>
  <si>
    <t>STERI-STRIP 3M 6MMX75MM</t>
  </si>
  <si>
    <t>STERIMAR BEBE SOL AGUA DE MAR 50 ML</t>
  </si>
  <si>
    <t>STERIMAR INFANTIL AUXILIAR EN DESCONGESTION NASAL X50ML LAB. TS GRUP</t>
  </si>
  <si>
    <t>STERIMAR SOLUCION AGUA DE MAR 100ML LAB. CHURCH Y DWINGHT</t>
  </si>
  <si>
    <t>STREPFEN FLURBIPROFENO 875 MG MIEL LIMON</t>
  </si>
  <si>
    <t>STRESS SUPPORT ASHWAGANDHA ROOT 450MG X60CAPS LAB.</t>
  </si>
  <si>
    <t>SUAVICORT MOMETASONA FUROATO 0.1G X15G LAB. CASSARA</t>
  </si>
  <si>
    <t>SUAVICREM CREMA SUAVIZANTE 40G LAB. DNM PHARMA</t>
  </si>
  <si>
    <t>SUBELAN XR VENLAFAXINA 37.5 MG X30CAPS LAB. EXELTIS</t>
  </si>
  <si>
    <t>SUBELAN XR VENLAFAXINA 75MG X30CAPS LAB. EXELTIS</t>
  </si>
  <si>
    <t>SUBNITRATO DE BISMUTO X 1G</t>
  </si>
  <si>
    <t>SUCRAVET SUCRALFATO S. ORAL 100 ML LAB. CHEMIE</t>
  </si>
  <si>
    <t>SUENO ALBAR SUPLEMENTO ALIMENTICIO X60CAPS LAB. ALQUIMIA VERDE</t>
  </si>
  <si>
    <t>SUERO FISIOLOGICO 1 LITRO</t>
  </si>
  <si>
    <t>SUEROX ALIMENTO PARA DEPORTISTAS SABOR ARANDANO-POMELO 630 ML GENOMA LAB</t>
  </si>
  <si>
    <t>SUEROX ALIMENTO PARA DEPORTISTAS SABOR FRUTILLA - KIWI 630 ML GENOMA LAB</t>
  </si>
  <si>
    <t>SUEROX ALIMENTO PARA DEPORTISTAS SABOR FRUTOS ROJOS 630 ML LAB. GENOMA</t>
  </si>
  <si>
    <t>SUEROX ALIMENTO PARA DEPORTISTAS SABOR MANGO-DURAZNO 630 ML LAB. GENOMA LAB</t>
  </si>
  <si>
    <t>SUEROX ALIMENTO PARA DEPORTISTAS SABOR PIÑA 630 ML GENOMA LAB</t>
  </si>
  <si>
    <t>SUEROX BEBIDA ISOTONICA SABOR LIMON DE PICA X630ML</t>
  </si>
  <si>
    <t>SUEROX MANZANA</t>
  </si>
  <si>
    <t>SUEROX NARANJA GENOM 630ML</t>
  </si>
  <si>
    <t>SULFA-G CREMA TOPICA X30G HOSPIFARMA</t>
  </si>
  <si>
    <t>SULFATO FERROSO SULFATO FERROSOS HEPTAHIDRATADO 200MG X20COMP LAB. VALMA</t>
  </si>
  <si>
    <t>SULFUR D6 COMP. KNOP</t>
  </si>
  <si>
    <t>SULIX TAMSULOSINA CLORHIDRATO 0.4MG X30CAPS LAB. SYNTHON</t>
  </si>
  <si>
    <t>SULIX TAMSULOSINA CLORHIDRATO 0.4MG X60CAPS LAB. SYNTHON</t>
  </si>
  <si>
    <t>SULPILAN SULPIRIDA 50 MG. 30 CAPS</t>
  </si>
  <si>
    <t>SUPER MEGA MAQUI X500MG X60CAPS LAB .VALLE Y SOL</t>
  </si>
  <si>
    <t>SUPERFLOSS 50 FILAMENTOS</t>
  </si>
  <si>
    <t>SUPERPET OMEGA PERRO ADULTO OMEGA 3 Y 6 X125ML DRAG PHARMA</t>
  </si>
  <si>
    <t>SUPERPET OMEGA PUPPY OMEGA 3 Y 6 SUPLEMENTO NUTRICIONAL X125ML DRAG PHARMA</t>
  </si>
  <si>
    <t>SUPOSITORIOS DE GLICERINA 1G. X20 SUPOSITORIOS INFANTIL VALMA</t>
  </si>
  <si>
    <t>SUPOSITORIOS DE GLICERINA 3.5 GR X10UND. ADULTO VALMA</t>
  </si>
  <si>
    <t>SUPOSITORIOS DE GLICERINA ADULTO 3G X10UND VALMA</t>
  </si>
  <si>
    <t>SUPRA SURE  ADVANCE 850G</t>
  </si>
  <si>
    <t>SUPRADYN  30 GRAGEAS</t>
  </si>
  <si>
    <t>SUPRAHYAL HIALURONATO SODICO 25MG 2.5ML</t>
  </si>
  <si>
    <t>SUSPILAN CAP 50 MG 60 CAP</t>
  </si>
  <si>
    <t>SW BOLSA DE GOMA PARA AGUA CALIENTE SIN FUNDA</t>
  </si>
  <si>
    <t>SYNALLER MOMETASONA FUROATO SUS. NASAL 50 MCG. LAB. PASTEUR</t>
  </si>
  <si>
    <t>SYNDOL KETOROLACO TROMETANOL 30 MG 5 AMPOLLAS DE 1ML. LAB. MEGALABS</t>
  </si>
  <si>
    <t>SYNDOL SL KETOROLACO TROMETAMOL 30MG. 4COMP. MEGALABS</t>
  </si>
  <si>
    <t>SYSTANE HIDRATACION SP GOTAS OFTALMICAS X10ML LAB. ALCON</t>
  </si>
  <si>
    <t>SYSTANE ULTRA GOTAS LUBRICANTES X10ML LAB. ALCON</t>
  </si>
  <si>
    <t>SYSTANE ULTRA SP GOTAS OFTALMICAS X10ML LAB. ALCON</t>
  </si>
  <si>
    <t>T.R.O. SALES HIDRATACION ORAL 60mEq SODIOL X1UND 6.7G VALMA XXC8</t>
  </si>
  <si>
    <t>T4 - BAGO LEVOTIROXINA SODICA 100MCG X50COMP LAB.BAGO</t>
  </si>
  <si>
    <t>T4 BAGO LEVOTIROXINA SODICA 75MCG 50COMP. BAGO B</t>
  </si>
  <si>
    <t>T4 BAGO LEVOTIROXINA SODICA 75MCG. 50COMP. BAGO B</t>
  </si>
  <si>
    <t>TABLETAS ANTIACIDAS PHILLIPS X UNIDAD</t>
  </si>
  <si>
    <t>TADSEVEN TADALAFILO 20MG X4COMP LAB. HETERO</t>
  </si>
  <si>
    <t>TADSEVEN TADALAFILO 5MG X30COMP LAB.HETERO</t>
  </si>
  <si>
    <t>TAFLEX BI KETEPORFENO 150MG X14COMP LAB. BAGO</t>
  </si>
  <si>
    <t>TAKE A BREAK PETRIZZIO 200ML</t>
  </si>
  <si>
    <t>TALCO ACCION COBRE DESODORANTE PARA PIES OXIDO DE ZINC Y MENTOL 200G LAB. D ALBERT</t>
  </si>
  <si>
    <t>TALCO CORPORAL PARA BEBES SIMONDS 100G</t>
  </si>
  <si>
    <t>TALCO DESODORANTE DE PIES . FAMILY SET 80 GRS.</t>
  </si>
  <si>
    <t>TALCO DESODORANTE PARA PIES ACCION COBRE. 200 GRS. FITTING.</t>
  </si>
  <si>
    <t>TALCO FITTIG FRESH POLVO PARA PIES 200G</t>
  </si>
  <si>
    <t>TALCO PARA NINOS BABY LAND</t>
  </si>
  <si>
    <t>TALCO PARA NINOS BABYLAND 200G</t>
  </si>
  <si>
    <t>TALCO PARA PIES BROOKS 80G KIDS</t>
  </si>
  <si>
    <t>TALCO PARA ZAPATILLAS Y PIES BROOKS 80G</t>
  </si>
  <si>
    <t>TALCO PERFUNGOL 80G ELIMINA TRANSPIRACION Y HONGOS BAGO</t>
  </si>
  <si>
    <t>TAMIDES 5 MG 30 COMP REC</t>
  </si>
  <si>
    <t>TAMIFLU OSELTAMIVIR 75G 10 CAPS</t>
  </si>
  <si>
    <t>TAMPAX PEARL ABSORVENTES INTERNOS 8  SOBRES</t>
  </si>
  <si>
    <t>TAMPONES NOSOTRAS REGULAR 8 UNIDADES</t>
  </si>
  <si>
    <t>TAMPONES NOSOTRAS SUPER PLUS</t>
  </si>
  <si>
    <t>TAMSOL TAMSULOSINA CLORHIDRATO 0.4 MG X30CAPS LAB. GEDEON RICHTER</t>
  </si>
  <si>
    <t>TAMSULOSINA CLORHIDRATO 0.4MG 30CAP UNIFARMA</t>
  </si>
  <si>
    <t>TAMSULOSINA CLORHIDRATO 0.4MG 30COMP LCH</t>
  </si>
  <si>
    <t>TANSIN FLU DIA Y NOCHE 18 COMP</t>
  </si>
  <si>
    <t>TANVALS VALSARTAN X160MG X30COMP HETERO B</t>
  </si>
  <si>
    <t>TANVALS VALSARTAN X80MG X30COMP HETERO B</t>
  </si>
  <si>
    <t>TAPE KINESIOLOGIA 5CM X 5M DEROYAL</t>
  </si>
  <si>
    <t>TAPSIN CAFEINA X3UND</t>
  </si>
  <si>
    <t>TAPSIN CALIENTE DIA 1 SOBRE DE 5G ANTIGRIPAL MAVER</t>
  </si>
  <si>
    <t>TAPSIN CALIENTE DIA LIMON X60 SOBRES DE 5G ANTIGRIPAL MAVER R0161</t>
  </si>
  <si>
    <t>TAPSIN CALIENTE DIA PLUS</t>
  </si>
  <si>
    <t>TAPSIN CALIENTE NOCHE 1 SOBRE DE 5G ANTIGRIPAL MAVER</t>
  </si>
  <si>
    <t>TAPSIN CALIENTE NOCHE LIMON X60 SOBRES DE 5G ANTIGRIPAL MAVER R0161</t>
  </si>
  <si>
    <t>TAPSIN CON CAFEINA X30</t>
  </si>
  <si>
    <t>TAPSIN DIA CON CAFEINA 600 COMPRIMIDOS</t>
  </si>
  <si>
    <t>TAPSIN DN ANTIGRIPAL X18COMP LAB. MAVER</t>
  </si>
  <si>
    <t>TAPSIN DN+PLUS 18COMP MAV</t>
  </si>
  <si>
    <t>TAPSIN FORTE PARACETAMOL + CAFEINA ANHIDRA 650MG + 40MG X20COMPS LAB. MAYER</t>
  </si>
  <si>
    <t>TAPSIN FORTE PARACETAMOL + CAFEINA ANHIDRA 650MG + 40MG X30COMPS LAB. MAYER</t>
  </si>
  <si>
    <t>TAPSIN INFANTIL 16COMP TAP 160MG</t>
  </si>
  <si>
    <t>TAPSIN M PARACETAMOL + ACIDO ACETILSALICILICO +CAFEINA ANHIDRA</t>
  </si>
  <si>
    <t>TAPSIN NOCHE PLUS 5G</t>
  </si>
  <si>
    <t>TAPSIN NOCTURNO CAJA DE TAPSIN 6 TIRAS X 6 COMP MAVER</t>
  </si>
  <si>
    <t>TAPSIN NOCTURNO TIRA DE 6 COMP MAVER</t>
  </si>
  <si>
    <t>TAPSIN PERIODO PARACETAMOL + PAMABRON + MEPIRAMINA MALEATO 500MG + 25MG + 15MG X12COMP LAB MAVER</t>
  </si>
  <si>
    <t>TAPSIN PLUS DIA X30 SOBRES</t>
  </si>
  <si>
    <t>TAPSIN PLUS NOCHE X30 SOBRES</t>
  </si>
  <si>
    <t>TAPSIN SC PARACETAMOL 1 GR. 20 SOBRES SABOR LIMON MAVER</t>
  </si>
  <si>
    <t>TAXUS TAMOXIFENO 20MG X30COMP LAB. TECNOFARMA</t>
  </si>
  <si>
    <t>TAZA CLIK IT ETAPA 1 ANTIDERRAMES 270ML</t>
  </si>
  <si>
    <t>TE PECTORAL MATRI PRIMA. 15 GRS. DRIGUERIA NUNOA</t>
  </si>
  <si>
    <t>TEARS NATURAL II LAGRIMAS ARTIFICIALES X15ML LAB. ALCON</t>
  </si>
  <si>
    <t>TEATRICAL ACLARADORA X200GR</t>
  </si>
  <si>
    <t>TEATRICAL ANTIARRUGAS 100 GRS.</t>
  </si>
  <si>
    <t>TEATRICAL HUMECTANTE CREMA X100</t>
  </si>
  <si>
    <t>TEATRICAL SERUM JALEA REAL CELULAS MADRE</t>
  </si>
  <si>
    <t>TEGADERM + PAD 6CMX10CM X1UND 3M XXC6</t>
  </si>
  <si>
    <t>TEGADERM + PAD 6CMX10CM X50UND 3M XXU6</t>
  </si>
  <si>
    <t>TEGADERM FILM 10CMX12CM X1UND 3M XXC5</t>
  </si>
  <si>
    <t>TEGADERM FILM 10CMX12CM X50UND 3M XXU5</t>
  </si>
  <si>
    <t>TEGOVIR VALACICLOVIR 500MG X10COMP LAB. MEGALABS</t>
  </si>
  <si>
    <t>TEGOVIR VALACICLOVIR 500MG X42COMP LAB. MEGALABS</t>
  </si>
  <si>
    <t>TEJANIA DESOGESTREL 75 MCG. 28 COMP GEDEO RICHTER</t>
  </si>
  <si>
    <t>TELA ADH. TRANSPARENTE  5CMX 9MT CRANBERRY</t>
  </si>
  <si>
    <t>TELA ADHESIVA 5X2.5CM FARMACEROTTO MEDS CJ XII</t>
  </si>
  <si>
    <t>TELA ADHESIVA PAPEL 2.5CM 9MT CRANBERRY CJ XII</t>
  </si>
  <si>
    <t>TELA ADHESIVA PAPEL 5CM</t>
  </si>
  <si>
    <t>TELA DE BAMBOO TOALLITAS HUMEDAS HIPOALERGENICAS ANTIBACTERIANA X100UND ANASAC</t>
  </si>
  <si>
    <t>TELGARD TELMISARTAN 40MG. X30COMP HETERO B</t>
  </si>
  <si>
    <t>TELGARD TELMISARTAN 80MG 30COMP. HETERO B</t>
  </si>
  <si>
    <t>TELLMI - D TELMISARTEN + HIDROCLOROTIAZIDA 80MG + 12.5MG X30COMP LAB. SAVAL</t>
  </si>
  <si>
    <t>TELLMI AM 8010 TELMISARTAN 80MG AMLODIPINO 10MG</t>
  </si>
  <si>
    <t>TELLMI AM TELMISARTAN + AMLODIPINO 80MG + 5MG X30COMP LAB. SALVA</t>
  </si>
  <si>
    <t>TELLMI TELMISARTAN 80MG X30COMP LAB. SAVAL</t>
  </si>
  <si>
    <t>TELLMI-D 40125 TELMISARTAN 40 MGHIDROCLOROTIAZIDA 12.5MG ls</t>
  </si>
  <si>
    <t>TENA MEN TALLA G</t>
  </si>
  <si>
    <t>TENA PANTS MEN 10UND TALLA CHM</t>
  </si>
  <si>
    <t>TENA PANTS NOCTURNO X8 UND</t>
  </si>
  <si>
    <t>TENEXTON ACIDO TRANEXAMICO 650MG X30COMP LAB ABBOTT</t>
  </si>
  <si>
    <t>TENSIOMETRO DE MUNECA LOVE LIFE AUT. DIGITAL</t>
  </si>
  <si>
    <t>TENSOLIV CLIDINIO BROMURO + CLORDIAZEPOXIDO 2.5MG + 5.0MG X30COMP LAB. CHILE</t>
  </si>
  <si>
    <t>TENSUREN AM 80 5</t>
  </si>
  <si>
    <t>TENSUREN AM 8010 30 COM TEVA</t>
  </si>
  <si>
    <t>TENSUREN AM TELMISARTAN + AMILODIPINO 40MG + 5MG X30COMP LAB. DE CHILE</t>
  </si>
  <si>
    <t>TENSUREN D TELMISARTAN + HIDROCLOROTIAZIDA 40MG + 12.5MG X30COMP LAB. DE CHILE</t>
  </si>
  <si>
    <t>TENSUREN D'' TELMISARTAN HIDROCLOROTIAZIDA 80 - 12.50MG. 30 COMP. LAB. CHILE</t>
  </si>
  <si>
    <t>TENSUREN TELMISARTAN 40 MG 30 COMPRIMIDOS ...</t>
  </si>
  <si>
    <t>TENSUREN TELMISARTAN 80MG X30COMP LAB. DE CHILE</t>
  </si>
  <si>
    <t>TEO JABON EN BARRA VITAMINA E Y PANTENOL X90G ASLANKAYA</t>
  </si>
  <si>
    <t>TERBICIL TERBINAFINA CLORHIDRATO CREMA TOPICA 1 X 20G ALQUIMIA</t>
  </si>
  <si>
    <t>TERBINAFINA 1. 20G CREMA TOPICA. LAB CHILE</t>
  </si>
  <si>
    <t>TERBINAFINA 250MG X30COMP. LAB. CURAESPRING</t>
  </si>
  <si>
    <t>TERBINAFINA CLORHIDRATO CREMA TOPICA 1%</t>
  </si>
  <si>
    <t>TERMOMETRO  DIGITAL RIGIDO / MUNCARE</t>
  </si>
  <si>
    <t>TERMOMETRO DIGITAL</t>
  </si>
  <si>
    <t>TERMOMETRO DIGITAL FAMILY SET</t>
  </si>
  <si>
    <t>TERMOMETRO DIGITAL PUNTA FLEXIBLE DIGITAL PUNTA FLEXIBLE FAMILY SET</t>
  </si>
  <si>
    <t>TERMOMETRO LA PREPIE STICKER NINOS X6</t>
  </si>
  <si>
    <t>TESODRIN LEVODROPROPIZINA 30MG X120ML LAB. CHEMO</t>
  </si>
  <si>
    <t>TEST DE EMBARAZO SCAND MED</t>
  </si>
  <si>
    <t>TEST DE EMBARAZO SCANMED X1</t>
  </si>
  <si>
    <t>TEST DE EMBARAZOX1UND ZEN MED</t>
  </si>
  <si>
    <t>TEST EMBARAZO SCANMED CASSETE HCG 1</t>
  </si>
  <si>
    <t>TEST MULTIDROGA</t>
  </si>
  <si>
    <t>TEST MULTIDROGA LAB. GREEN MEDICAL</t>
  </si>
  <si>
    <t>TEST MULTIDROGAS ZENMED 4 TEST</t>
  </si>
  <si>
    <t>TETERO MASCOTAS X60CC LHAURA</t>
  </si>
  <si>
    <t>TETINA AVENT ANTICOLICOS FLUJO MEDIO 3M+ 2 UND</t>
  </si>
  <si>
    <t>TETINA JERINGA CON TAPA BEST HOUSE ANTI-ASFIXIA</t>
  </si>
  <si>
    <t>TETINA PLANA SUAVE MAM 4+ X2UND</t>
  </si>
  <si>
    <t>TETINA REPUESTO FLEXIBLE PIGEON BOCA ESTANDAR 2 UND 6+</t>
  </si>
  <si>
    <t>TETINA REPUESTO SOFTOCH 2 UND 0+</t>
  </si>
  <si>
    <t>TETRACICLINA 500MG X8CAPS LAB. MILAB</t>
  </si>
  <si>
    <t>TETRALYSAL LIMECICLINA 300MG X28CAP LAB. GALDERMA</t>
  </si>
  <si>
    <t>TEXINAL TELMISARATAN 80MG X30COMP LAB. ASCEND</t>
  </si>
  <si>
    <t>TEXINAL TELMISARTAN 40MG X30COMP LAB. ASCEND</t>
  </si>
  <si>
    <t>THEALOZ DUO GEL TREHALOSA + HILAURONATO DE SODIO + CARBOMERO 3% + 0.15% + 0.25% X30 ENVASES LAB THE</t>
  </si>
  <si>
    <t>THEALOZ DUO TREHALOSA + HIALURONATO DE SODIO 3% + 0.15% X10ML LAB. THEA</t>
  </si>
  <si>
    <t>THERAPY ACEITE CHOCOLATE X250 LAB. COSEDEB</t>
  </si>
  <si>
    <t>THERAPY SKIN ACEITE LAVANDA 250ML LAB. COSEDEB</t>
  </si>
  <si>
    <t>THERMOMETER</t>
  </si>
  <si>
    <t>THRIVE NAFAZOLINA CLORHIDRATO 1.0ML X15ML LAB. NOVOFARMA</t>
  </si>
  <si>
    <t>THUJA D6 MEDICAMENTO HOMEOPATICO 90 COMP. LAB. KNOP</t>
  </si>
  <si>
    <t>THUJA OCCIDENTALIS GLOBULOS D-6 KNOP</t>
  </si>
  <si>
    <t>THUJA T.M. GOTAS ORALES X30ML KNOP</t>
  </si>
  <si>
    <t>THYROFIX  LEVOTIROXINA SODICA  75MCG  X50COMP  LAB. ETHON</t>
  </si>
  <si>
    <t>THYROFIX LEVOTIROXINA SODICA 25MG X50COMP LAB.ETHON</t>
  </si>
  <si>
    <t>THYROZOL TIAMAZOL 10MG X50COMP LAB. MERCK</t>
  </si>
  <si>
    <t>THYROZOL TIAMOZOL 5MG X50COMP LAB. MERCK</t>
  </si>
  <si>
    <t>TIAMINA CLORHIDRATO 10MG X40COMP LAB. CH</t>
  </si>
  <si>
    <t>TIDY GATOS SHAMPOO SECO PERFUMADO</t>
  </si>
  <si>
    <t>TIDY PERRO SHAMPOO</t>
  </si>
  <si>
    <t>TIJERA</t>
  </si>
  <si>
    <t>TIJERA ESCOLAR 1 UND.</t>
  </si>
  <si>
    <t>TIJERA PARA BEBE CON TAPA BEST HOUSE</t>
  </si>
  <si>
    <t>TIJERA PUNTA ROMA</t>
  </si>
  <si>
    <t>TILDIEM DILTIAZEM CLORHIDRATO 90MG X20COMP LAB. CHEMO</t>
  </si>
  <si>
    <t>TILO D. NUNOA</t>
  </si>
  <si>
    <t>TIMOLOL 500MG X10ML LAB. HOSPIFARMA</t>
  </si>
  <si>
    <t>TINOX TIBOLONA 2.5MG X30COMPS LAB. ABBOTT</t>
  </si>
  <si>
    <t>TINTE PARA CABELLO ILICIT CASTANO MEDIO 4.0</t>
  </si>
  <si>
    <t>TINTE PARA EL CABELLO ILICIT NEGRO 1.0</t>
  </si>
  <si>
    <t>TINTURA PARA PELO. 6.0. RUBIO OSCURO.</t>
  </si>
  <si>
    <t>TIO NACHO ACONDICIONADOR ANTI-CAIDA -ANTI-DANO X415ML GENOMMA LAB</t>
  </si>
  <si>
    <t>TIO NACHO ACONDICIONADOR ANTI-CAIDA -ULTRA HIDRATANTE X415 ML GENOMMA LAB</t>
  </si>
  <si>
    <t>TIO NACHO ACONDICIONADOR ANTI-CAIDA HERBOLARIA MILENARIA JALEA REA+EXTRACTOS ANTI-CAIDA 415 ML GENO</t>
  </si>
  <si>
    <t>TIO NACHO ACONDICIONADOR ANTI-CAIDA PURIFICACION CON CELULAS MADRES X415 ML GENOMMA LAB</t>
  </si>
  <si>
    <t>TIO NACHO ACONDICIONADOR TIO NACHO ANTI-CAIDA JALEA REAL+EXTRACTO DE ORTIGA 415 ML GENOMMA LAB</t>
  </si>
  <si>
    <t>TIO NACHO ACONDIONADOR ANTI-CANAS HENNA EGIPCIA X415 ML GENOMMA LAB</t>
  </si>
  <si>
    <t>TIO NACHO SHAMPOO</t>
  </si>
  <si>
    <t>TIO NACHO SHAMPOO ACLARANTE NATURAL X415ML</t>
  </si>
  <si>
    <t>TIRA X8 IMECOL ADULTO x 16 Comprimidos</t>
  </si>
  <si>
    <t>TIRIZ LEVOCETIRIZINA 30 COMP. ADULTO Y PEDIATRICO</t>
  </si>
  <si>
    <t>TOALLA HIG. KOTEX EXTRA PROTECCION 8 UN.</t>
  </si>
  <si>
    <t>TOALLAS DE PAPEL ABOLENGO X3</t>
  </si>
  <si>
    <t>TOALLAS DESMAQUILLANTES MIA</t>
  </si>
  <si>
    <t>TOALLAS HIGIENICAS CAREFREE 40 TOALLAS FEMENINAS CAREFREE RETIENE FLUJOS LEVES</t>
  </si>
  <si>
    <t>TOALLAS HIGIENICAS KOTEX NOCTURNAS</t>
  </si>
  <si>
    <t>TOALLAS HIGIENICAS NOSOTRAS 8 TOALLAS HIGIENICAS BUENAS NOCHES NOSOTRAS</t>
  </si>
  <si>
    <t>TOALLAS HUMEDAS 99.9 AGUA X 60 UNIDADES</t>
  </si>
  <si>
    <t>TOALLAS HUMEDAS ADULTO PROACTIVE</t>
  </si>
  <si>
    <t>TOALLAS HUMEDAS PARA ADULTOS FAMILY SET 60 UNIDADES</t>
  </si>
  <si>
    <t>TOALLAS HUMEDAS PARA ADULTOS. 50 UNIDADES. EMUMED</t>
  </si>
  <si>
    <t>TOALLAS KOTEX ULTRADISCRETA DE DIA. 16 UN.</t>
  </si>
  <si>
    <t>TOALLAS LARGAS ALWAYS ULTRAFINAS SUAVE X8UND</t>
  </si>
  <si>
    <t>TOALLAS NOSOTRAS ULTRA DELGADAS EXTRA SUAVE X8UND</t>
  </si>
  <si>
    <t>TOALLAS NOSOTRAS X6 LARGA CLASICA</t>
  </si>
  <si>
    <t>TOALLITAS DESMAQ NIVEA X25</t>
  </si>
  <si>
    <t>TOALLITAS DESMAQ. NIVEA CUIDADO 3 EN 1 NAT</t>
  </si>
  <si>
    <t>TOALLITAS DESMAQ. NIVEA ROSE CARE</t>
  </si>
  <si>
    <t>TOALLITAS DESMAQUILLANTES NATURAL CARE HIPOALERGENICO</t>
  </si>
  <si>
    <t>TOALLITAS DESMAQUILLANTES NIVEA EXPERT 3 EN 1</t>
  </si>
  <si>
    <t>TOALLITAS DESMAQUILLANTES PZZO AGUA MICELAR</t>
  </si>
  <si>
    <t>TOALLITAS HUMEDAS BUBU 45 UN.</t>
  </si>
  <si>
    <t>TOALLITAS HUMEDAS BUBU X160UND</t>
  </si>
  <si>
    <t>TOALLITAS HUMEDAS CON CLORHEXIDINAX 40UND WUWU</t>
  </si>
  <si>
    <t>TOALLITAS HUMEDAS DE LIMPIEZA HUGGIES X48UND</t>
  </si>
  <si>
    <t>TOALLITAS HUMEDAS DESMAQUILLANTES E HIDRATANTES DOLCE BELLA</t>
  </si>
  <si>
    <t>TOALLITAS HUMEDAS EMU BABY PACK X2</t>
  </si>
  <si>
    <t>TOALLITAS HUMEDAS HUGGIES X80 UND</t>
  </si>
  <si>
    <t>TOALLITAS HUMEDAS SIMONDS X120 UND</t>
  </si>
  <si>
    <t>TOALLITAS HUMEDAS X20UND AYLA</t>
  </si>
  <si>
    <t>TOALLITAS HUMEDAS. 50 UNIDADES. COTTONSEC.</t>
  </si>
  <si>
    <t>TOBE TIBOLONA 2.5MG X30COMP LAB. TEVA</t>
  </si>
  <si>
    <t>TOBRADEX 3.5G NOVARTIS</t>
  </si>
  <si>
    <t>TOBRADEX SOL OFT X 5 ML</t>
  </si>
  <si>
    <t>TOBRAMICINA 0,3 LAB. HOSPIFARMA</t>
  </si>
  <si>
    <t>TOBREX TOBRAMICINA</t>
  </si>
  <si>
    <t>TOCEX LEVODROPROPIZINA 60MG X120ML LAB. BAGO</t>
  </si>
  <si>
    <t>TOL 12 FORTE amp VITAMINAS B12 + B6 +B1 100MCG + 100MCG + 100MCG 3ml LAB. SABAL</t>
  </si>
  <si>
    <t>TOL 12 ORAL VITAMINA B 12 + VITAMINA B6 + VITAMINA B1 50MCG + 15 MG + 15 MG X250ML LAB. SAVAL</t>
  </si>
  <si>
    <t>TOLERIANE ROSALIAC AR SPF30 REDUCE ROJECES ARDOR Y MOLESTIAS DE LA PIEL 50ML LAB. LA ROCHE POSAY</t>
  </si>
  <si>
    <t>TOLLAS HUMEDAS LIMPIEZA MASCOTAS</t>
  </si>
  <si>
    <t>TOLNAFTATO ANTIMICOTICO 1G X10ML LAB. DE CHILE</t>
  </si>
  <si>
    <t>TOMI SEPTIN JARABE 750MG5ML 100ML LCH</t>
  </si>
  <si>
    <t>TOMILLO JARABE X 120ML</t>
  </si>
  <si>
    <t>TOMILLO SOLUCION ORAL AURA VITALIS 150G</t>
  </si>
  <si>
    <t>TOMILLO SUPLEMENTO ALIMENTICIO 150ML LAB. AURA VITALIS</t>
  </si>
  <si>
    <t>TOPIVITAE 100MG X 28 COMP. TOPIRAMATO</t>
  </si>
  <si>
    <t>TOPIVITAE TOPIRAMATO 25MG X28COMP LAB. GALENICUM</t>
  </si>
  <si>
    <t>TOPIVITAE TOPIRAMATO 50MG X28COMP LAB. GALENICUM</t>
  </si>
  <si>
    <t>TOPTEAR HIALURONATO DE SODIO 4MG X10ML LAB. MEGALABS</t>
  </si>
  <si>
    <t>TRAMADOL CLORHIDRATO 100MG X20ML LAB OPKO</t>
  </si>
  <si>
    <t>TRAMADOL CLORHIDRATO 50 MG. 10 CAPS. LAB MINTLAB B</t>
  </si>
  <si>
    <t>TRAMADOL CLORHIDRATO SO 100MGML x20ML LCH B</t>
  </si>
  <si>
    <t>TRAMAL LONG 100MG</t>
  </si>
  <si>
    <t>TRAMAL LONG TRAMADOL CLORHIDRATO 50MG X10 COMP LAB GRUNENTHAL</t>
  </si>
  <si>
    <t>TRANEXTON 650MGACIDO TRANEXAMICO X10COMP. ABBOTT XXC9</t>
  </si>
  <si>
    <t>TRANSIMED SUSPENSION OTICA Y TOPICA USO EXTERNO X15ML DRAG PHARMA</t>
  </si>
  <si>
    <t>TRANSPORE 25MM X9.1MC/CJA</t>
  </si>
  <si>
    <t>TRAPER SHAMPOO ALOE VERA 260 ML</t>
  </si>
  <si>
    <t>TRAPER SHAMPOO AROM YOGURT</t>
  </si>
  <si>
    <t>TRAPER SHAMPOO GATOS ESPUMA SECA X170ML TRAPER</t>
  </si>
  <si>
    <t>TRATAMIENTO ANTI MANCHAS CELLULAR NIVEA X30ML</t>
  </si>
  <si>
    <t>TRATAMIENTO CON ENJUAGUE ELVIVE DE LOREAL ULTRA GLOSS PH ACIDO</t>
  </si>
  <si>
    <t>TRAUMEEL GEL 50MG HEEL</t>
  </si>
  <si>
    <t>TRAUMEEL HEEL 50 COMP. SUBLINGUALES</t>
  </si>
  <si>
    <t>TRAUMEEL MEDICAMENTO HOMEOPATICO X5AMPOLLAS LAB. HEEL</t>
  </si>
  <si>
    <t>TRAUMEEL SOL ORAL 30 ML LAB. HEEL</t>
  </si>
  <si>
    <t>TRAYENTA DUO 25850 MG X 60 COMP.</t>
  </si>
  <si>
    <t>TRAYENTA DUO LINAGLIPTINA + METFORMINA 2.5MG + 500MG X60COMP LAB. BEOHRINGER INGELHEIM</t>
  </si>
  <si>
    <t>TRAZIDEX TOBRAMICINA + DEXAMETASONA 0.30G + 0.10G X3.5G LAB. SOPHIA</t>
  </si>
  <si>
    <t>TRAZIDEX TOBRAMICINA + DEXAMETASONA 4.75MG + 3MG X5ML LAB. SOPHIA</t>
  </si>
  <si>
    <t>TRELIBEC FORTE SULFAMETOXAZOL + TRIMETOPRIMA 800MG + 160MG X10COMP LAB. MILAB</t>
  </si>
  <si>
    <t>TREO MAG MAGNESIO QUELADO X60 CAPS</t>
  </si>
  <si>
    <t>TRESOR  GUANTE VINILO AZUL TALLA L</t>
  </si>
  <si>
    <t>TRESOR  GUANTE VINILO AZUL TALLA S</t>
  </si>
  <si>
    <t>TRESOR GORRO CLIP DOBLE ELASTICO 100 UNDS. LAB. REUTTER</t>
  </si>
  <si>
    <t>TRESOR GUANTE VINILO AZUL TALLA M</t>
  </si>
  <si>
    <t>TREX AZITROMICINA 200MG X30ML LAB. SAVAL</t>
  </si>
  <si>
    <t>TREX AZITROMICINA 500MG</t>
  </si>
  <si>
    <t>TREX FORTE AZITROMICINA 400MG X30ML LAB SAVAL</t>
  </si>
  <si>
    <t>TREXXIA ETORICOXIB 120 MG X7COMP. LAB.SYNTON</t>
  </si>
  <si>
    <t>TREXXIA ETORICOXIB 60MG. 14COMP. SYNTHON</t>
  </si>
  <si>
    <t>TRI-MAGNESIO PLUS X90 CAPS ANC NUTRICION</t>
  </si>
  <si>
    <t>TRIBESONA CREMA CLOTRIMAZOL-DEXAMETASONA ACETATO</t>
  </si>
  <si>
    <t>TRIBUTAN X20 CAPS</t>
  </si>
  <si>
    <t>TRICOLON SIMPLE</t>
  </si>
  <si>
    <t>TRICOLON SIMPLE PARGEVERINA CLORHIDRATO 5MG X15ML LAB. EUROFARMA</t>
  </si>
  <si>
    <t>TRICOXANE MINOXIDIL  LOCION TOPICA X 2% X 100ML X LAB ITF-LABOMD</t>
  </si>
  <si>
    <t>TRILEPTAL 300MG OXCARBAZEPINA</t>
  </si>
  <si>
    <t>TRIM CORTA UÑAS GRANDE</t>
  </si>
  <si>
    <t>TRIM CORTA UÑAS MANO CON LIMA 1 UND. LAB. HOFMANN</t>
  </si>
  <si>
    <t>TRIM CORTA UÑAS PIES Y MANOS</t>
  </si>
  <si>
    <t>TRIM CORTAUÑAS MANO CON LIMA CHICO</t>
  </si>
  <si>
    <t>TRIM LIMA PROFESIONAL CURVA 2 UND. LAB. TRIM</t>
  </si>
  <si>
    <t>TRIM LIMAS LIJAS 10 UND. LAB. TRIM</t>
  </si>
  <si>
    <t>TRIM PINZA CEJA PUNTA DERECHA Y PUNTA ANGULAR</t>
  </si>
  <si>
    <t>TRIM PINZA CEJAS PTA ANGULAR</t>
  </si>
  <si>
    <t>TRIM PINZA DE CEJAS PUNTA RECTA</t>
  </si>
  <si>
    <t>TRIM TRIMEBUTINA MALEADO 300MG X10COMP LAB. SAVAL</t>
  </si>
  <si>
    <t>TRIMEBUTINO MALEATO 100MG X20COMP. LAB. MINLAB</t>
  </si>
  <si>
    <t>TRIO VAL PARACETAMOL + PSEUDOFEDRINA CLORHIDRATO + CLORFENAMINA MALEATO 500MG + 60MG + 4MG X20COMP</t>
  </si>
  <si>
    <t>TRIO VAL SO PARACETAMOLPSEUDOFEDRINA CLORHIDRATOCLORFENAMINA MALEATO X100ML LS</t>
  </si>
  <si>
    <t>TRIO-VAL PARACETAMOL+PSEUDOEFEDRINA+CLORFENAMINA 120MG+7.5MG+0.75MG X15ML LAB. SAVAL</t>
  </si>
  <si>
    <t>TRIPTOFANO 5-HTP SUPLEMENTO ALIMENTICO X90CAPS LAB. AURA VITALIS</t>
  </si>
  <si>
    <t>TRIPTOFANO B1 B6 B12 X60CAPS SPRINGLIFE</t>
  </si>
  <si>
    <t>TRITTICO TRAZODONA CLORHIDRATO 100 MG. 20 COMP. LABORATORIO CHILE</t>
  </si>
  <si>
    <t>TRITTICO TRAZODONA CLORHIDRATO 25MG 20 CAPS LAB. CHILE</t>
  </si>
  <si>
    <t>TRO 27.9 x 1 SALES REHIDRATANTES X UND</t>
  </si>
  <si>
    <t>TRONSALAN TRAZADONA CLORHIDRATO 100MG X30COMP LAB. EUROFARMA</t>
  </si>
  <si>
    <t>TULOX OXOLAMINA 50MG X100ML LAB. MILAB</t>
  </si>
  <si>
    <t>TULOX OXOLAMINA JBE INFANTIL 28 MG. 100 ML. LAB. MILAB</t>
  </si>
  <si>
    <t>TUSIGEN JARABE X120ML BAGO B</t>
  </si>
  <si>
    <t>TUTO BAMBINO PACK 3 CLASICO ALGODON ROSADO</t>
  </si>
  <si>
    <t>UBENAT 500ML</t>
  </si>
  <si>
    <t>UL-C GASTRI 60 CAP AURA VITALIS</t>
  </si>
  <si>
    <t>ULTRA COREGA FIJADOR DE PROTESIS EN POLVO. 22 GRS.</t>
  </si>
  <si>
    <t>ULTRA PRE UP OMEGA 3 JUNIOR ULTRA DHA 120 MICROCAPS. 1 UND. LAB. RAVEPHARMA</t>
  </si>
  <si>
    <t>ULTRA PURE UP OMEGA 3 SUPLEMENTO ALIMENTARIO 150 CAPS. LAB. RAVEPHARMA</t>
  </si>
  <si>
    <t>ULTRAFIL PLUS X20ML DRAG PHARMA</t>
  </si>
  <si>
    <t>ULTRAPURE UP OMEGA 3 800EPA400DHA 60 CAPS</t>
  </si>
  <si>
    <t>ULTRAPURE UP OMEGA 3 ACEITE DE PESCADO X120 CAPS LAB. RAVEPHARMA</t>
  </si>
  <si>
    <t>ULTRIMIN ANTIJAQUECOSO X10 COMP LAB FARMEX</t>
  </si>
  <si>
    <t>ULTRIPTAN NARATRIPTAN 2.5MG X10COMP. LAB. MINTLAB</t>
  </si>
  <si>
    <t>UNA DE GATO x 60CAPS MIUNDO NATURAL SPA</t>
  </si>
  <si>
    <t>UNA DE GATO x 60CAPS MUNDO NATURAL SPA</t>
  </si>
  <si>
    <t>UNCADOL UNCARIA TOMENTOSA 300 MG.</t>
  </si>
  <si>
    <t>UNDERAN 2 MUPIROCINA 2 UNG. DERMICO</t>
  </si>
  <si>
    <t>UP OMEGA 3JUN 230DHA 60 MICRO CAPSULAS</t>
  </si>
  <si>
    <t>UP TO 16HRS MATE TOTAL ETIENNE 6.5ML</t>
  </si>
  <si>
    <t>URAZOL OXIBUTINA CLORHIDRATO 5MG X30COMP LAB. TECNOFARMA</t>
  </si>
  <si>
    <t>UREAREPAIR PLUS CREMA PARA PIES 10% UREA X104G LAB. BEIERSDORF</t>
  </si>
  <si>
    <t>URELLE CRAMBERRY + VITAMINA C. 60 CAPS. CNP</t>
  </si>
  <si>
    <t>URICONT OXIBUTININA CLORHIDRATO 5.0ML X120ML LAB. SYNTHON</t>
  </si>
  <si>
    <t>URICONT OXIBUTININA CLORHIDRATO 50MG. X40COMP. LAB. SYNTHON</t>
  </si>
  <si>
    <t>URICONT T.U OXIBUTININA CLORHIDRATO 10MG X30COMP LAB SYNTHON</t>
  </si>
  <si>
    <t>URODIAL FLAVOXATO CLORHIDRATO 200MG 10COMP LAB. BAGO</t>
  </si>
  <si>
    <t>UROSTOP TOLTERODNA TARTRATO 2 MG. 30 COM. LAB SYNTON</t>
  </si>
  <si>
    <t>URSOVAT ACIDO URSODEOXICOLICO 50ML X60ML LAB. DRAG PHARMA</t>
  </si>
  <si>
    <t>V-LAVETA CARNITIN PERRO SOL ORAL GOTA X50ML</t>
  </si>
  <si>
    <t>V-LAVETA TAURINA GATO SOL ORAL X50ML</t>
  </si>
  <si>
    <t>V-NO LOVE REPELENTE PERROS SPRAY X50ML</t>
  </si>
  <si>
    <t>V05 GEL FIJADOR UNILEVER 500G</t>
  </si>
  <si>
    <t>VACIDOX ESTRIOL 0.1G</t>
  </si>
  <si>
    <t>VADIRAL 1G VALACICLOVIR</t>
  </si>
  <si>
    <t>VAINILLA. POLVO. NUNOA</t>
  </si>
  <si>
    <t>VALAPLE VALSARTAN 80MG X30 COMP LAB. DE CHILE</t>
  </si>
  <si>
    <t>VALAPLEX D FORTE 160/25</t>
  </si>
  <si>
    <t>VALAPLEX D VALSARTAN + HIDROCLOROTIAZIDA 160MG + 12.5MG X30COMP LAB. DE CHILE</t>
  </si>
  <si>
    <t>VALAPLEX D VALSARTAN + HIDROCLOROTIAZIDA 80MG + 12.5MG X30COMP LAB. DE CHILE</t>
  </si>
  <si>
    <t>VALAPLEX VALSARTAN 160MG X30COMP LAB. DE CHILE</t>
  </si>
  <si>
    <t>VALAPLEX VALSATAN 320MG X30COMP LAB. DE CHILE</t>
  </si>
  <si>
    <t>VALAPLEX-D 160/12,5MG 30COMP REC VALSARTAN+HCT</t>
  </si>
  <si>
    <t>VALAX D</t>
  </si>
  <si>
    <t>VALAX D VALSARTAN + HIDROCLOROTIAZIDA 160MG + 12.5 X30COMP LAB. SAVAL</t>
  </si>
  <si>
    <t>VALAX VALSARTAN 160MG</t>
  </si>
  <si>
    <t>VALAX VALSARTAN 80MG</t>
  </si>
  <si>
    <t>VALAXAM 1605 -VALSARTAN 160 MG AMLODIPINO 5 MG</t>
  </si>
  <si>
    <t>VALAXAM D VALSARTAN + AMLODIPINO + HIDROCLOTIAZIDA 160MG + 10MG + 12.5MG X30COMP LAB. SAVAL</t>
  </si>
  <si>
    <t>VALAXAM VALSARTAN + AMLODIPINA 160MG + 10MG X30COMP LAB. SALVAL</t>
  </si>
  <si>
    <t>VALAXAM VALSATAN + AMLODIPINO 80MG + 5MG X30COP LAB. SALVAL</t>
  </si>
  <si>
    <t>VALCOTE DIVAPROATO DE SODIO 250MG X20COMP LAB. ABBOTT</t>
  </si>
  <si>
    <t>VALKEM VALSARTAN + HIDROCLORITIAZIDA 80MG + 12.5MG X30COMP LAB. ASCEND</t>
  </si>
  <si>
    <t>VALKEN D 16012.5MG VALSARTAN 160MGHIDROCLOROTIAZIDA 12.5MG X30COMP ASCEND B</t>
  </si>
  <si>
    <t>VALKEN D 16025 VALSARTAN 160MG HIDROCLOROTIAZIDA 25MG</t>
  </si>
  <si>
    <t>VALMIRA 5160 28 COMP</t>
  </si>
  <si>
    <t>VALMIRA AMLODIPINO + VALSARTAN 10MG + 160 MG X28COMP LAB. ASCEND</t>
  </si>
  <si>
    <t>VALNOC 2MG 30 COMP.</t>
  </si>
  <si>
    <t>VALNOC 3MG ESZOPICLONA X30 COMP. LAB ABBOTT</t>
  </si>
  <si>
    <t>VALPAX 0.50MG CLONAZEPAM X30COMP ABBOTT B</t>
  </si>
  <si>
    <t>VALPAX 2MG CLONAZEPAM X30COMP. ABBOTT B</t>
  </si>
  <si>
    <t>VALSARTAN 160MG</t>
  </si>
  <si>
    <t>VALSARTAN 160MG X30COMP LAB. SEVEN PHARMA</t>
  </si>
  <si>
    <t>VALSARTAN 160MGAMLODIPINO 5MGHIDROCLOTATIZIDA125 MG. 30 COM VALAXAM D</t>
  </si>
  <si>
    <t>VALSARTAN 80MG X30 COMP. LAB HETERO</t>
  </si>
  <si>
    <t>VALUPASS INSOM KNO 24CAPS</t>
  </si>
  <si>
    <t>VALUPASS INSOM KNO 60CAPS</t>
  </si>
  <si>
    <t>VANGUARD SEXTUPLE PLUS 1MML</t>
  </si>
  <si>
    <t>VANNAIR BUDESONIDA + FORMOTEROL 160MCG + 4.5MCG 120DOSIS LAB. ASTRAZENECA</t>
  </si>
  <si>
    <t>VANTUX MAX SUPLEMENTO ALIMENTICIO X60CAPS LAB. ROYAL PHARMA</t>
  </si>
  <si>
    <t>VANTUX SHAMPOO ENERGIZANTE ANTICAIDA 100 ML</t>
  </si>
  <si>
    <t>VARIPLEX CASTANA DE INDIAS 60 COMP.</t>
  </si>
  <si>
    <t>VARITAS DE ALGODON 270 UNIDADES VARITAS DE ALGODON BUBU EXTRA SUAVES</t>
  </si>
  <si>
    <t>VASARTAN 160MG HETERO</t>
  </si>
  <si>
    <t>VASELINA 25G ELITE</t>
  </si>
  <si>
    <t>VASELINA BLANCA 1KG DROGUERIA NUNOA</t>
  </si>
  <si>
    <t>VASELINA BLANCA 500MG</t>
  </si>
  <si>
    <t>VASELINA BLANCA 70GR DR NUNOA</t>
  </si>
  <si>
    <t>VASELINA BLANCA UNGUENTO x30GR NUNOA</t>
  </si>
  <si>
    <t>VASELINA CREMA CORPORAL 350ML PIELARMINA</t>
  </si>
  <si>
    <t>VASELINA LIQUIDA 1000ML</t>
  </si>
  <si>
    <t>VASELINA LIQUIDA MEDICINAL SO 200ML VALMA</t>
  </si>
  <si>
    <t>VASELINA LIQUIDA MEDICINAL VASELINA 15ML X120ML LAB DE CHILE</t>
  </si>
  <si>
    <t>VASELINA LIQUIDA X125ML RAVEPHARMA</t>
  </si>
  <si>
    <t>VASELINA PURIFICADA SIMONDS 1UNI X110ML</t>
  </si>
  <si>
    <t>VASELINA. LIQUIDA. 250 ML. DROGUERIA NUNOA</t>
  </si>
  <si>
    <t>VATANAL ACEITE DE HIGADO DE BACALAO + CLOROCARVACROL 0.220G + 0.0007G X10G  SUPOSITORIOS LAB.FQP</t>
  </si>
  <si>
    <t>VATANAL ACEITE DE HIGADO DE BACALAO + CLOROCARVACROL 11.0G + 0.1G X20G CREMA RECTAL LAB.FQP</t>
  </si>
  <si>
    <t>VCALD 60 CALCIO 450MGVITAMINA D 175UI CAPSULAS</t>
  </si>
  <si>
    <t>VCALD FORTE</t>
  </si>
  <si>
    <t>VEET CR DEPIL P/SENSIBLE X 200ML</t>
  </si>
  <si>
    <t>VEET CREM DEPILATORIA AXI. BIKINI 100ML/100G</t>
  </si>
  <si>
    <t>VEET PURE AND FRESH BANDAS DE CERA X16</t>
  </si>
  <si>
    <t>VENARTEL</t>
  </si>
  <si>
    <t>VENDA  GASA ELASTOMULL 12CMX4M</t>
  </si>
  <si>
    <t>VENDA ADAPTABLE 10CMX4.5M X12UND ROKYMEDS CJ XII</t>
  </si>
  <si>
    <t>VENDA ADAPTABLE 8CMX4.5M X12 ROKYMEDS</t>
  </si>
  <si>
    <t>VENDA ADAPTABLE 8CMX4.5M X12UND ROKYMEDS CJ XII</t>
  </si>
  <si>
    <t>VENDA AUTO ADHERENTE 75MMX4.5M NEXCARE</t>
  </si>
  <si>
    <t>VENDA COHESIVA 5CM X 4.5M AZUL</t>
  </si>
  <si>
    <t>VENDA COHESIVA 5CM X 4.5M PIEL</t>
  </si>
  <si>
    <t>VENDA COHESIVA 5X4.5M PIEL</t>
  </si>
  <si>
    <t>VENDA DE GASA 6CM 4.5M</t>
  </si>
  <si>
    <t>VENDA DE GASA ELASTOMULL 10 CM X 4 M LEUKOPLAST X1UND CJ XX</t>
  </si>
  <si>
    <t>VENDA DE YESO 10CM X 2.7 M</t>
  </si>
  <si>
    <t>VENDA ELAST 5CMS X 4,5MTS CRANBERRY</t>
  </si>
  <si>
    <t>VENDA ELAST CRANBERRY X 7,5CM-4,5MT X REUTTER</t>
  </si>
  <si>
    <t>VENDA ELAST CRANBERRY12CM X 4M X 20 U</t>
  </si>
  <si>
    <t>VENDA ELASTICA 10 CMS X 4.5 MTS.</t>
  </si>
  <si>
    <t>VENDA ELASTICA 10CM X 4.5M X1UND ROKYMEDS CJ XII</t>
  </si>
  <si>
    <t>VENDA ELASTICA 5CM 4.5MT</t>
  </si>
  <si>
    <t>VENDA ELASTICA 5CM X 4.5M ROKYMEDS CJ XII</t>
  </si>
  <si>
    <t>VENDA ELASTICA 5CM X 4.5MTS</t>
  </si>
  <si>
    <t>VENDA ELASTICA 7.5CMX4.5M X1UND ROKYMEDS CJ XII</t>
  </si>
  <si>
    <t>VENDA GASA 10CM X 4.5MTS</t>
  </si>
  <si>
    <t>VENDA GASA 6CM X4.5M ROKYMEDS</t>
  </si>
  <si>
    <t>VENDA GASA 8CM X 4.5MTS ROCKYMEDS</t>
  </si>
  <si>
    <t>VENDA GASA ELASTOMULL 12CM 4MT TEJIDA X1UND CJ XX</t>
  </si>
  <si>
    <t>VENDA GASA ELASTOMULL 4CM 4MT TEJIDA X1UND CJ XX</t>
  </si>
  <si>
    <t>VENDA GASA ELASTOMULL 8 CM X 4 M X 1 UNID.</t>
  </si>
  <si>
    <t>VENDA GASA ELASTOMULL 8CMX4MT</t>
  </si>
  <si>
    <t>VENDA TAPE KINESIOLOGYX 5CM-5MT ROJO X LAB DEROYAL</t>
  </si>
  <si>
    <t>VENDA YESO 10CMX2.7M</t>
  </si>
  <si>
    <t>VENDA YESO 20CMX4MT GYPSONA</t>
  </si>
  <si>
    <t>VENLAFAXINA 150 MG. 30 CAPS.</t>
  </si>
  <si>
    <t>VENLAFAXINA 75MG 30 CAPSULAS</t>
  </si>
  <si>
    <t>VENLAKEM 150 VELAFAXINA 150MG</t>
  </si>
  <si>
    <t>VENLAKEM VENLAFAXINA 75MG X30COMP LAB. ASCEND</t>
  </si>
  <si>
    <t>VENOSMIL HIDROSMINA 200MG X60CAPS LAB. FAES FARMA</t>
  </si>
  <si>
    <t>VENOSMIL HIDROSMINA 2G 60G LAB. FAES FARMA</t>
  </si>
  <si>
    <t>VENOX CAPS X 90CAP AURA VITALIS</t>
  </si>
  <si>
    <t>VENUS GILLETTE SUAVE</t>
  </si>
  <si>
    <t>VERALPRES VALSARTAN 160MG. X30COMP. EUROFARMA B</t>
  </si>
  <si>
    <t>VERALPRES VALSARTAN 80 MG. 30 COMP</t>
  </si>
  <si>
    <t>VERMOIL ALBENDAZOL 200MG. X2COMP. LAB. FOP</t>
  </si>
  <si>
    <t>VERMOIL ALBENDAZOL 40MG X10ML LAB. FQP</t>
  </si>
  <si>
    <t>VERRUPLANT FORTE ACIDO SALICILICO 8G X1GEL LAB. CASSARA</t>
  </si>
  <si>
    <t>VERTIFIN BETAHISTINA DICLORHIDRATO 16 MG X30 COMP. LAB SAVAL</t>
  </si>
  <si>
    <t>VERTIFIN BETAHISTINA DICLORHIDRATO 24MG X30COMP LAB. SAVAL</t>
  </si>
  <si>
    <t>VERTIGOHEEL 30ML LAB. HEEL</t>
  </si>
  <si>
    <t>VERTIGOHEEL 50 COMPRIMIDOS SUBLINGUALES HEEL</t>
  </si>
  <si>
    <t>VERTIUM DIFENIIDOL 25MG X40COMP LAB. SAVAL</t>
  </si>
  <si>
    <t>VESICARE SOLIFENACINA SUCCINATO 5MG X10COMP LAB. ITF-LABOMED</t>
  </si>
  <si>
    <t>VESNIDAN DIOSMINA + HESPERIDINA 450MG + 50MG X60COMP LAB. EUROFARM</t>
  </si>
  <si>
    <t>VESNIDAN DIOSMINA/HESPERINIDA 500MG 30COMP</t>
  </si>
  <si>
    <t>VEXA 20 28COMP TEV 3002MG</t>
  </si>
  <si>
    <t>VEXA CD 28COMP TEV 3003MG</t>
  </si>
  <si>
    <t>VIADIL COMPUESTO PARGEVERINA + METAMIZOL MAGNESICO 6MG + 300MG X15ML LAB. MEGALABS</t>
  </si>
  <si>
    <t>VIADIL COMPUESTO PARGEVERINA CLORHIDRATO 5MG X2 AMPOLLAS LAB. MEGALABS</t>
  </si>
  <si>
    <t>VIADIL FORTE PARGEVERINA CLORHDRATO 10MG X15ML LAB. MEGALAB</t>
  </si>
  <si>
    <t>VIADIL FORTE PARGEVERINA CLORHIDRATO 10MG X10COMP LAB. MEGALABS</t>
  </si>
  <si>
    <t>VIADIL PARGEVERINA CLORHIDRATO 5MG X15ML LAB. MEGALABS</t>
  </si>
  <si>
    <t>VIADIL PARGEVERINA CLORHIDRATO 5MG X2UND AMPOLLAS LAB. MEGALABS</t>
  </si>
  <si>
    <t>VIBIEN 15 ML</t>
  </si>
  <si>
    <t>VICK VAPORUB MENTOL Y ALCANFOR DE EUCALIPTO X12 GRS.</t>
  </si>
  <si>
    <t>VICK VAPORUB UNG TOP VICK 50G</t>
  </si>
  <si>
    <t>VIDYN VITAMINA D3 50000 UI X4CAPS LAB. SANITAS</t>
  </si>
  <si>
    <t>VIGER TADALAFILO 20MG 10COMP IPHSA B</t>
  </si>
  <si>
    <t>VIGER TADALAFILO 20MG X4COMP LAB. IPHSA</t>
  </si>
  <si>
    <t>VIGER TADALAFILO 5MG X30COMP LAB. IPHSA</t>
  </si>
  <si>
    <t>VILDAGLIPTINA VILDAGLIPTINA 50MG X56COMP LAB.NOVARTIS</t>
  </si>
  <si>
    <t>VILDAVITAE VILDAGLIPTINA 50MG X56COMP LAB. GALENICUM</t>
  </si>
  <si>
    <t>VILZERMET VILDAGLIPTINA + METFORMINA CLORHIDRATO 50MG + 1000MG X60COMP LAB. TECNOFARMA</t>
  </si>
  <si>
    <t>VILZERMET VILDAGLIPTINAMETFORMINA CLORHIDRATO 50MG850MG X60COMP TECNOFARMA B</t>
  </si>
  <si>
    <t>VIMAX 50 SILDENAFILO 50MG X6COMP. LAB. MEGALABS BIOEQUIVALENTE</t>
  </si>
  <si>
    <t>VIMAX50 SILDENAFIL 50 MG 2 COMP. MASTICABLES.</t>
  </si>
  <si>
    <t>VINAGRE DE MANZANA 60 CAP´.</t>
  </si>
  <si>
    <t>VINAGRE DE MANZANA 60CAPS</t>
  </si>
  <si>
    <t>VINAGRE DE MANZANA 90 CAPSULA</t>
  </si>
  <si>
    <t>VINAGRE DE MANZANA X 30 GOMITAS VITAENERGY</t>
  </si>
  <si>
    <t>Vinagre de manzana x 60 capsulas.</t>
  </si>
  <si>
    <t>Vinagre Manzana x 60 capsulas - Knop</t>
  </si>
  <si>
    <t>VINCETOXICUM HIRUNDINARIA D 10 75 MG + D30 75MG +SULFUR D4 377. 50 COMP. SUBLINGUALES.</t>
  </si>
  <si>
    <t>VINTIX SACCHAROMYCES BOULARDII LIOFILIZADO 250MG X10CAPS LAB. MEGALABS</t>
  </si>
  <si>
    <t>VINTIX SACCHAROMYCES BOULARDII LIOFILIZADO 250MG X10SOBRES LAB. MEGALABS</t>
  </si>
  <si>
    <t>VIORA 20 2MG.28 COMP</t>
  </si>
  <si>
    <t>VIORA CD 28 COMP. RECUBIERTOS CLORMADINONA 2 MGETINILESTRADIOL 003 MG</t>
  </si>
  <si>
    <t>VIPROVIR 500 VALACICLOVIR 500MG 10COM</t>
  </si>
  <si>
    <t>VIPROVIR VALACICLOVIR 500 MG. 42 COMP. LAB. ASCEND</t>
  </si>
  <si>
    <t>VISSION HELP X 60CAP AURA VITALIS</t>
  </si>
  <si>
    <t>VIT ENERGY GINSENG+VITAMINAS X60CAPS AURA VITALIS</t>
  </si>
  <si>
    <t>VITA-C DE 1GR 30COMP MAST</t>
  </si>
  <si>
    <t>VITADRAG CON TAURINA SUPLEMENTO NUTRICIONAL X90GR DRAG PHARMA</t>
  </si>
  <si>
    <t>VITAFARMA CLARITROMICINA 250MG X60ML LAB. REUTTER</t>
  </si>
  <si>
    <t>VITAFEM SUPLEMENTO ALIMENTARIO X60 CAPS LAB. SCL</t>
  </si>
  <si>
    <t>VITAKRON  MUJER  60 COMP</t>
  </si>
  <si>
    <t>VITAKRON HOMBRE 44.1 X 30 COMP. RECUBIERTOS</t>
  </si>
  <si>
    <t>VITAKRON HOMBRE MULTIVITAMINICO MULTIMINERAL X60COMP. SANITAS</t>
  </si>
  <si>
    <t>VITAKRON MUJER MULTIVITAMINICO MULTIMINERAL X30COMP SANITAS</t>
  </si>
  <si>
    <t>VITALCE 200 COMP FRASCO</t>
  </si>
  <si>
    <t>VITAMINA A 500MG 60CAPS GREN MEDICAL</t>
  </si>
  <si>
    <t>VITAMINA B12 30 CAPSULAS ANC</t>
  </si>
  <si>
    <t>VITAMINA B12 SUPLEMENTO ALIMENTARIO X60 COMP. LAB. SPRINGLIFE</t>
  </si>
  <si>
    <t>VITAMINA B12 X60CAPS VEGAN CAPSULES</t>
  </si>
  <si>
    <t>VITAMINA C</t>
  </si>
  <si>
    <t>VITAMINA C 1000 MG SABOR BERRIES</t>
  </si>
  <si>
    <t>VITAMINA C 1000MG 30 UNIDADES</t>
  </si>
  <si>
    <t>VITAMINA C 1000MG CURAE</t>
  </si>
  <si>
    <t>VITAMINA C 1000MG MASTICABLES X60COMP SPRINGLIFE</t>
  </si>
  <si>
    <t>VITAMINA C 100MG SPRINLIFE</t>
  </si>
  <si>
    <t>VITAMINA C 500 MG. 32 COMP. CREVET LIG</t>
  </si>
  <si>
    <t>VITAMINA C 500MG 30 COMPRIMIDOS CURASPRING</t>
  </si>
  <si>
    <t>VITAMINA C ACIDO ASCORBICO 100COMP 100MG VITALCE</t>
  </si>
  <si>
    <t>VITAMINA C ACIDO ASCORBICO SABOR FRUTOS ROJOS 500COMP 100MG VALMA</t>
  </si>
  <si>
    <t>VITAMINA C CREVET LIGHT 100MG SABOR PINA NARANJA Y FRAM.</t>
  </si>
  <si>
    <t>VITAMINA C CREVET LIGHT 500 MG SABOR NARANJA</t>
  </si>
  <si>
    <t>VITAMINA C LIMON 20 TABLETA EFERVESCENTE SABOR LIMON SPRINGLIFE</t>
  </si>
  <si>
    <t>VITAMINA C MINTAVIT</t>
  </si>
  <si>
    <t>VITAMINA C NARANJA 20 TABLETA EFERVESCENTE SABOR NARANJA SPRINGLIFE</t>
  </si>
  <si>
    <t>VITAMINA C TABLETAS EFERVESCENTES X20UND EASYLIFE</t>
  </si>
  <si>
    <t>VITAMINA C X1000MG LAB SPRINGLIFE</t>
  </si>
  <si>
    <t>VITAMINA C X30 COMP LAB. GREEN MEDICAL</t>
  </si>
  <si>
    <t>VITAMINA D 60CAP SP-LIF 306G</t>
  </si>
  <si>
    <t>VITAMINA D 800 U.I X60COMP. CURAESPRING</t>
  </si>
  <si>
    <t>VITAMINA D3 30CAP FULLENERGIC</t>
  </si>
  <si>
    <t>VITAMINA D3 30CAP HOSPIFARMA</t>
  </si>
  <si>
    <t>VITAMINA D3 KNOP 800UI</t>
  </si>
  <si>
    <t>VITAMINA D3 X60CASP GREEN MEDICAL</t>
  </si>
  <si>
    <t>VITAMINA E</t>
  </si>
  <si>
    <t>VITAMINA E 400U.I. X30 CAPS LAB. GREEN MEDICAL</t>
  </si>
  <si>
    <t>VITAMINA E 400UI X30CAPS SPRINGLIFE</t>
  </si>
  <si>
    <t>VITAMINA E DL-ALPHA-TOCOPHEROL 22.2 G 30 CAP LAB. BYB FARMACEUTICA</t>
  </si>
  <si>
    <t>VITAMINA K 60CAP BLANDAS SPRINGLIFE</t>
  </si>
  <si>
    <t>VITAMINA K1 X60CAPS GREEN MEDICAL</t>
  </si>
  <si>
    <t>VITAMINA K2+D3 100MCG X60CAPS ANCNUTRICION</t>
  </si>
  <si>
    <t>VITAMINA K2+D3 X60CAPS 720MG FUENTEVITAL</t>
  </si>
  <si>
    <t>VITAMINAS ACD COMPLEMENTO VITAMINICO 30ML LAB. HOSPIFARMA</t>
  </si>
  <si>
    <t>VITANGO RHOD ROS 30COMP PH-IN 200MG</t>
  </si>
  <si>
    <t>VITAPOVIN ZINC OXIDE POMADA VITAMINICA 20G</t>
  </si>
  <si>
    <t>VITASCLEDINE PERSEA+GLYCINE MAX X30CAP. VITALAB</t>
  </si>
  <si>
    <t>VITB12 X60CAPS GREENMEDICAL</t>
  </si>
  <si>
    <t>VITDE GOTAS 800UI 20ML</t>
  </si>
  <si>
    <t>VITDE VITAMINA D3 800U.I. X10ML LAB. PASTEUR</t>
  </si>
  <si>
    <t>VITERNUM DIHEXAZIN 6MG X125 ML LAB. ITF-LABOMED</t>
  </si>
  <si>
    <t>VITERNUM VITAMINA 125 ML. SOLUCION PARA PREPARACION. ITF</t>
  </si>
  <si>
    <t>VITIS CEPILLO DENTAL MEDIO 1UND LAB. DENTAID</t>
  </si>
  <si>
    <t>VITIS CEPILLO DENTAL MONOTIP 1UNIDAD LAB. DENTAID</t>
  </si>
  <si>
    <t>VITIS CEPILLO DENTAL ORTHODONTIC ACCESS 1 UND LAB. DENTAID</t>
  </si>
  <si>
    <t>VITIS CEPILLO DENTAL SUAVE 1UND LAB. DETAID</t>
  </si>
  <si>
    <t>VITIS CEPILLO KIDS + GEL 8ML</t>
  </si>
  <si>
    <t>VITIS CINTA DENTAL CON CERA FLUOR Y MENTA 1UND. LAB. DENTAID</t>
  </si>
  <si>
    <t>VITIS ENCIAS PASTA DENTIFRICA</t>
  </si>
  <si>
    <t>VITIS ENCIAS SOLUCION X 500 ML</t>
  </si>
  <si>
    <t>VITIS JUNIOR + GEL 15 ML PACK</t>
  </si>
  <si>
    <t>VITIS JUNIOR TUTTI FRUTI 6+ PASTA DENTAL</t>
  </si>
  <si>
    <t>VITIS KIDS GEL DENT DENT 50ML</t>
  </si>
  <si>
    <t>VITIS ORTHODONTIC ENJUAGUE BUCAL SIN ALCOHOL SABOR MANZANA-MENTA 500ML LAB. DENTAID</t>
  </si>
  <si>
    <t>VITIS ORTHODONTIC PASTA DE DIENTES</t>
  </si>
  <si>
    <t>VITIS PASTA ANTICARIES 100 ML</t>
  </si>
  <si>
    <t>VITIS SEDA DENTAL CON CERA 1UND. LAB. DENTAID</t>
  </si>
  <si>
    <t>VITIS SENSIBLE CEP DEN DENT 1UNI</t>
  </si>
  <si>
    <t>VITIS SENSIBLE PASTA DIENTES 100ML</t>
  </si>
  <si>
    <t>VITIS TEROL 60CAP ALQUIMIA VERDE</t>
  </si>
  <si>
    <t>VITO ADULTO SUPLEMENTO PROTEICO CANINO X100G LAB. VITO</t>
  </si>
  <si>
    <t>VITO ARTICULAR SUPLEMENTO PROTEICO PERRO X100G LAB. VITO</t>
  </si>
  <si>
    <t>VITO JUNIOR SUP.PROTEICO 100 GRS</t>
  </si>
  <si>
    <t>VITO PREÑEZ PERRO SUPLEMENTO PROTEICO X100G LAB. VITO</t>
  </si>
  <si>
    <t>VITO SENIOR SUPLEMENTO PROTEICO CANINO X100G LAB. VITO</t>
  </si>
  <si>
    <t>VITOMIT DOXILAMNA SUCCINATO + PIRIOXINA CLORHIDRATO 10MG + 10MG X30COMP LAB. MINTLAB</t>
  </si>
  <si>
    <t>VIVERA LACTOBACILLUS RHAMNOSUS GG 16G X8SOBRES LAB. NOVOFARMA</t>
  </si>
  <si>
    <t>VOGUE 36HORAS MAC RESIST VOG 9G</t>
  </si>
  <si>
    <t>VOGUE ESM FANTASTIC DELICADO FRANCES 11 X 10ML</t>
  </si>
  <si>
    <t>VOGUE ESM FANTASTIC GIRASOL 70 X 10ML</t>
  </si>
  <si>
    <t>VOGUE ESM FANTASTIC JADE 67 X 10ML</t>
  </si>
  <si>
    <t>VOGUE ESM FANTASTIC SOL X 10ML</t>
  </si>
  <si>
    <t>VOGUE ESMALTE BASE ENDURECEDOR X 10 ML</t>
  </si>
  <si>
    <t>VOGUE ESMALTE EFECTO GEL X14 ML EXTROVERTIDA</t>
  </si>
  <si>
    <t>VOGUE ESMALTE EFECTO GEL X14 ML PAZ</t>
  </si>
  <si>
    <t>VOGUE ESMALTE EFECTO GEL X14 ML REGGAETON</t>
  </si>
  <si>
    <t>VOGUE ESMALTE FANTASTIC CIELO ROSA 12 10ML</t>
  </si>
  <si>
    <t>VOGUE ESMALTE GEL DEMBOW 14ML</t>
  </si>
  <si>
    <t>VOGUE ESMALTE PALO DE ROSA 24 10ML</t>
  </si>
  <si>
    <t>VOGUE MASCARA ESSENTIAL A PRUEBA AGUA 8 ml</t>
  </si>
  <si>
    <t>VOLUME MILLION LASHES WATERPROOF 9.4ML LOREAL</t>
  </si>
  <si>
    <t>VOLUME TOPPER GLOSS PZZO 2ML</t>
  </si>
  <si>
    <t>VONILLE CD 28 COMP</t>
  </si>
  <si>
    <t>WATER EMUBABY  99% H2O</t>
  </si>
  <si>
    <t>WOMEN1S SOLUTIONS VITAMINA E 1000IU X60CASP SOCOFAR</t>
  </si>
  <si>
    <t>X-RAY COLAGENO X 30 CAPSULAS NUTRAPHARM</t>
  </si>
  <si>
    <t>XARELTO 10MG RIVAROXABAN 10 COMPR</t>
  </si>
  <si>
    <t>XARELTO RIVAROXABAN 15MG X28COMP LAB. BAYER</t>
  </si>
  <si>
    <t>XEROS SPRAY BUCAL SABOR MANZANA</t>
  </si>
  <si>
    <t>XIGDUO XR DAPAGLIFLOZINA + CLORHIDRATO DE METFORMINA 5MG + 1000MG X56UNID LAB. ASTRAZENECA</t>
  </si>
  <si>
    <t>XIGDUO XR DAPAGLIFLOZINACLORHIDRATO DE METFORMINA 10MG1000MG x28COMP. ASTRAZENECA</t>
  </si>
  <si>
    <t>XINDER 0,05% CHAMPU 150G GLOBETASOL PROPIONATO</t>
  </si>
  <si>
    <t>XINDER CLOBETASOL PROPIONATO 0.05G X45G LAB. FOUCHARD</t>
  </si>
  <si>
    <t>XOLOF TOBRAMICINA 3MG X3.5ML LAB.NICOLICK</t>
  </si>
  <si>
    <t>XOLOF TOBRAMICINA 3MG X5ML LAB.NICOLICK</t>
  </si>
  <si>
    <t>XOLOF-D LAB. NICOLICH</t>
  </si>
  <si>
    <t>XOLOF-D TOBRAMICINA + DEXAMETASONA 3MG + 1 MG X5ML LAB. SAVAL</t>
  </si>
  <si>
    <t>XTREME 3 ECO</t>
  </si>
  <si>
    <t>XTREME 3 PAGUE 4 LLEVE 6</t>
  </si>
  <si>
    <t>XTREME 3 SCHICK HAWAIIAN</t>
  </si>
  <si>
    <t>XTREME SCHICK AZUL 3HOJAS PIEL NORMAL</t>
  </si>
  <si>
    <t>XUMADOL PARACETAMOL 1G 20COMP ITF B</t>
  </si>
  <si>
    <t>XUMADOL PARACETAMOL 1G IFT 1 SOBRE LABOMED</t>
  </si>
  <si>
    <t>XUMADOL PARACETAMOL EFERVESCENTE EN SOBRE 1G IFT CAJA LABOMED</t>
  </si>
  <si>
    <t>YACON 60 CAP VALLE Y SOL</t>
  </si>
  <si>
    <t>YES GEL NATURAL</t>
  </si>
  <si>
    <t>YES ICE LUBRICANTE Y ESTIMULANTE EFECTO FRIO 40ML</t>
  </si>
  <si>
    <t>YES OHH YESS LUBRICANTE Y ESTIMULANTE INTIMO. 40 ML.</t>
  </si>
  <si>
    <t>YESO ADHESIVO DE OXIDO DE ZINC 2.5CMX5M</t>
  </si>
  <si>
    <t>YESO ADHESIVO DE OXIDO DE ZINC 5CMX5M</t>
  </si>
  <si>
    <t>ZABAK KETOTIFENO 1.25MG X5ML LAB. THEA</t>
  </si>
  <si>
    <t>ZENMED TENSIOMETRO DE BRAZO DIGITAL MODELO BP35A 1 UND. INVERLA</t>
  </si>
  <si>
    <t>ZEOLITA CLINOPTILOLITA X90 CAPS</t>
  </si>
  <si>
    <t>ZEROLERG  BETAMETASONA  0.05%  15GR  LAB ETHON</t>
  </si>
  <si>
    <t>ZETIROL 10 EZETIMIBA 10MG 28 COMP</t>
  </si>
  <si>
    <t>ZETIROL EZETIMIBA 10MG X28COMP LAB. ASCEND</t>
  </si>
  <si>
    <t>ZINC 20MG 20 EFERC</t>
  </si>
  <si>
    <t>ZINCOVIT PLUS ZINC + VIT A B C D Y E 10 MG 3MG 50MG 400UI 10UI 120ML LAB ITF LABOMED</t>
  </si>
  <si>
    <t>ZINCOVIT ZINC 5MG X30ML LAB. ITF-LABOMED</t>
  </si>
  <si>
    <t>ZING 90 CAP FULLENERGIC</t>
  </si>
  <si>
    <t>ZINGER CUTICLE NIPPER</t>
  </si>
  <si>
    <t>ZINLERGIA FEXOFENAMIDA CLORHIDRATO 180MG 30 COMPRIMIDOS</t>
  </si>
  <si>
    <t>ZIVAL LEVOCETIRIZINA DICLORHIDRATO 5MG X40COMP LAB. SAVAL</t>
  </si>
  <si>
    <t>ZOLPIDEM TARTRATO 10MG X30COMP ETHON B</t>
  </si>
  <si>
    <t>ZOMEL HP AMOXICILINA + CLARITROMICINA + ESOMEPRAZOL 1G + 500MG + 20MCG 25DOSIS LAB. SAVAL</t>
  </si>
  <si>
    <t>ZOMETIC ZOPICLONA 7.5MG X30COMP. CHEMA B</t>
  </si>
  <si>
    <t>ZONIX 75 MG ZOPICLONA 75 X 30 COMP. RECUB.</t>
  </si>
  <si>
    <t>ZOPICLONA 7.5MG. X30COMP. MILAB B</t>
  </si>
  <si>
    <t>ZOPLICONA 7.5MG X30COMP LAB. SEVEM</t>
  </si>
  <si>
    <t>ZUBAM ODT CLOTIAZEPAM 10MG X30COMP LCH TEVA</t>
  </si>
  <si>
    <t/>
  </si>
  <si>
    <t>Grupo de Producto</t>
  </si>
  <si>
    <t xml:space="preserve">Precio Venta </t>
  </si>
  <si>
    <t>marca</t>
  </si>
  <si>
    <t xml:space="preserve">bioequivalente </t>
  </si>
  <si>
    <t>dosis</t>
  </si>
  <si>
    <t>cantidad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</si>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</sst>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ptos Narrow"/>
      <family val="1"/>
    </font>
    <font>
      <b/>
      <sz val="10"/>
      <color rgb="FFFFFFFF"/>
      <name val="Aptos Narrow"/>
      <family val="1"/>
    </font>
  </fonts>
  <fills count="3">
    <fill>
      <patternFill patternType="none"/>
    </fill>
    <fill>
      <patternFill patternType="gray125"/>
    </fill>
    <fill>
      <patternFill patternType="solid">
        <fgColor rgb="FF406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995"/>
  <sheetViews>
    <sheetView tabSelected="1" showOutlineSymbols="0" showWhiteSpace="0" zoomScale="90" zoomScaleNormal="90" workbookViewId="0">
      <selection activeCell="G5" sqref="G5"/>
    </sheetView>
  </sheetViews>
  <sheetFormatPr baseColWidth="10" defaultColWidth="8.796875" defaultRowHeight="14" x14ac:dyDescent="0.2"/>
  <cols>
    <col min="1" max="1" width="27.796875" customWidth="1"/>
    <col min="2" max="2" width="81.59765625" customWidth="1"/>
    <col min="3" max="3" width="55" customWidth="1"/>
    <col min="4" max="4" width="38.19921875" customWidth="1"/>
    <col min="5" max="7" width="35.19921875" customWidth="1"/>
    <col min="8" max="8" width="33" customWidth="1"/>
    <col min="9" max="9" width="28.796875" customWidth="1"/>
    <col min="10" max="10" width="32.3984375" customWidth="1"/>
    <col min="11" max="11" width="47.796875" customWidth="1"/>
  </cols>
  <sheetData>
    <row r="2" spans="1:11" ht="15" x14ac:dyDescent="0.2">
      <c r="A2" s="2" t="s">
        <v>4995</v>
      </c>
      <c r="B2" s="2" t="s">
        <v>0</v>
      </c>
      <c r="C2" s="2" t="s">
        <v>4997</v>
      </c>
      <c r="D2" s="2" t="s">
        <v>4998</v>
      </c>
      <c r="E2" s="2" t="s">
        <v>4999</v>
      </c>
      <c r="F2" s="2" t="s">
        <v>5000</v>
      </c>
      <c r="G2" s="2" t="s">
        <v>5001</v>
      </c>
      <c r="H2" s="2" t="s">
        <v>1</v>
      </c>
      <c r="I2" s="2" t="s">
        <v>2</v>
      </c>
      <c r="J2" s="2" t="s">
        <v>3</v>
      </c>
      <c r="K2" s="2" t="s">
        <v>4996</v>
      </c>
    </row>
    <row r="3" spans="1:11" x14ac:dyDescent="0.2">
      <c r="A3" s="1" t="s">
        <v>4994</v>
      </c>
      <c r="B3" s="1" t="s">
        <v>6</v>
      </c>
      <c r="C3" s="1"/>
      <c r="D3" s="1"/>
      <c r="E3" s="1"/>
      <c r="F3" s="1"/>
      <c r="G3" s="1"/>
      <c r="H3" s="1" t="str">
        <f>"736085402551"</f>
        <v>736085402551</v>
      </c>
      <c r="I3" s="3">
        <v>10</v>
      </c>
      <c r="J3" s="3">
        <v>0</v>
      </c>
      <c r="K3" s="3">
        <v>17000</v>
      </c>
    </row>
    <row r="4" spans="1:11" x14ac:dyDescent="0.2">
      <c r="A4" s="1" t="s">
        <v>4994</v>
      </c>
      <c r="B4" s="1" t="s">
        <v>6</v>
      </c>
      <c r="C4" s="1"/>
      <c r="D4" s="1"/>
      <c r="E4" s="1"/>
      <c r="F4" s="1"/>
      <c r="G4" s="1"/>
      <c r="H4" s="1" t="str">
        <f>"75952553883942"</f>
        <v>75952553883942</v>
      </c>
      <c r="I4" s="3">
        <v>0</v>
      </c>
      <c r="J4" s="3">
        <v>0</v>
      </c>
      <c r="K4" s="3">
        <v>0</v>
      </c>
    </row>
    <row r="5" spans="1:11" x14ac:dyDescent="0.2">
      <c r="A5" s="1" t="s">
        <v>4994</v>
      </c>
      <c r="B5" s="1" t="s">
        <v>7</v>
      </c>
      <c r="C5" s="1"/>
      <c r="D5" s="1"/>
      <c r="E5" s="1"/>
      <c r="F5" s="1"/>
      <c r="G5" s="1"/>
      <c r="H5" s="1" t="str">
        <f>"0104064035142742"</f>
        <v>0104064035142742</v>
      </c>
      <c r="I5" s="3">
        <v>0</v>
      </c>
      <c r="J5" s="3">
        <v>0</v>
      </c>
      <c r="K5" s="3">
        <v>2500</v>
      </c>
    </row>
    <row r="6" spans="1:11" x14ac:dyDescent="0.2">
      <c r="A6" s="1" t="s">
        <v>4994</v>
      </c>
      <c r="B6" s="1" t="s">
        <v>8</v>
      </c>
      <c r="C6" s="1"/>
      <c r="D6" s="1"/>
      <c r="E6" s="1"/>
      <c r="F6" s="1"/>
      <c r="G6" s="1"/>
      <c r="H6" s="1" t="str">
        <f>"7804945004115"</f>
        <v>7804945004115</v>
      </c>
      <c r="I6" s="3">
        <v>11</v>
      </c>
      <c r="J6" s="3">
        <v>0</v>
      </c>
      <c r="K6" s="3">
        <v>3500</v>
      </c>
    </row>
    <row r="7" spans="1:11" x14ac:dyDescent="0.2">
      <c r="A7" s="1" t="s">
        <v>4994</v>
      </c>
      <c r="B7" s="1" t="s">
        <v>11</v>
      </c>
      <c r="C7" s="1"/>
      <c r="D7" s="1"/>
      <c r="E7" s="1"/>
      <c r="F7" s="1"/>
      <c r="G7" s="1"/>
      <c r="H7" s="1" t="str">
        <f>"7804677770371"</f>
        <v>7804677770371</v>
      </c>
      <c r="I7" s="3">
        <v>5</v>
      </c>
      <c r="J7" s="3">
        <v>0</v>
      </c>
      <c r="K7" s="3">
        <v>10000</v>
      </c>
    </row>
    <row r="8" spans="1:11" x14ac:dyDescent="0.2">
      <c r="A8" s="1" t="s">
        <v>4994</v>
      </c>
      <c r="B8" s="1" t="s">
        <v>12</v>
      </c>
      <c r="C8" s="1"/>
      <c r="D8" s="1"/>
      <c r="E8" s="1"/>
      <c r="F8" s="1"/>
      <c r="G8" s="1"/>
      <c r="H8" s="1" t="str">
        <f>"7804677770401"</f>
        <v>7804677770401</v>
      </c>
      <c r="I8" s="3">
        <v>1</v>
      </c>
      <c r="J8" s="3">
        <v>0</v>
      </c>
      <c r="K8" s="3">
        <v>15000</v>
      </c>
    </row>
    <row r="9" spans="1:11" x14ac:dyDescent="0.2">
      <c r="A9" s="1" t="s">
        <v>4994</v>
      </c>
      <c r="B9" s="1" t="s">
        <v>15</v>
      </c>
      <c r="C9" s="1"/>
      <c r="D9" s="1"/>
      <c r="E9" s="1"/>
      <c r="F9" s="1"/>
      <c r="G9" s="1"/>
      <c r="H9" s="1" t="str">
        <f>"7800068010019"</f>
        <v>7800068010019</v>
      </c>
      <c r="I9" s="3">
        <v>0</v>
      </c>
      <c r="J9" s="3">
        <v>0</v>
      </c>
      <c r="K9" s="3">
        <v>6000</v>
      </c>
    </row>
    <row r="10" spans="1:11" x14ac:dyDescent="0.2">
      <c r="A10" s="1" t="s">
        <v>4994</v>
      </c>
      <c r="B10" s="1" t="s">
        <v>18</v>
      </c>
      <c r="C10" s="1"/>
      <c r="D10" s="1"/>
      <c r="E10" s="1"/>
      <c r="F10" s="1"/>
      <c r="G10" s="1"/>
      <c r="H10" s="1" t="str">
        <f>"7800063001845"</f>
        <v>7800063001845</v>
      </c>
      <c r="I10" s="3">
        <v>0</v>
      </c>
      <c r="J10" s="3">
        <v>0</v>
      </c>
      <c r="K10" s="3">
        <v>2500</v>
      </c>
    </row>
    <row r="11" spans="1:11" x14ac:dyDescent="0.2">
      <c r="A11" s="1" t="s">
        <v>4994</v>
      </c>
      <c r="B11" s="1" t="s">
        <v>19</v>
      </c>
      <c r="C11" s="1"/>
      <c r="D11" s="1"/>
      <c r="E11" s="1"/>
      <c r="F11" s="1"/>
      <c r="G11" s="1"/>
      <c r="H11" s="1" t="str">
        <f>"7800059006878"</f>
        <v>7800059006878</v>
      </c>
      <c r="I11" s="3">
        <v>0</v>
      </c>
      <c r="J11" s="3">
        <v>0</v>
      </c>
      <c r="K11" s="3">
        <v>11000</v>
      </c>
    </row>
    <row r="12" spans="1:11" x14ac:dyDescent="0.2">
      <c r="A12" s="1" t="s">
        <v>4994</v>
      </c>
      <c r="B12" s="1" t="s">
        <v>20</v>
      </c>
      <c r="C12" s="1"/>
      <c r="D12" s="1"/>
      <c r="E12" s="1"/>
      <c r="F12" s="1"/>
      <c r="G12" s="1"/>
      <c r="H12" s="1" t="str">
        <f>"7800026660089"</f>
        <v>7800026660089</v>
      </c>
      <c r="I12" s="3">
        <v>0</v>
      </c>
      <c r="J12" s="3">
        <v>0</v>
      </c>
      <c r="K12" s="3">
        <v>20000</v>
      </c>
    </row>
    <row r="13" spans="1:11" x14ac:dyDescent="0.2">
      <c r="A13" s="1" t="s">
        <v>4994</v>
      </c>
      <c r="B13" s="1" t="s">
        <v>21</v>
      </c>
      <c r="C13" s="1"/>
      <c r="D13" s="1"/>
      <c r="E13" s="1"/>
      <c r="F13" s="1"/>
      <c r="G13" s="1"/>
      <c r="H13" s="1" t="str">
        <f>"8436024617511"</f>
        <v>8436024617511</v>
      </c>
      <c r="I13" s="3">
        <v>3</v>
      </c>
      <c r="J13" s="3">
        <v>0</v>
      </c>
      <c r="K13" s="3">
        <v>24000</v>
      </c>
    </row>
    <row r="14" spans="1:11" x14ac:dyDescent="0.2">
      <c r="A14" s="1" t="s">
        <v>4994</v>
      </c>
      <c r="B14" s="1" t="s">
        <v>22</v>
      </c>
      <c r="C14" s="1"/>
      <c r="D14" s="1"/>
      <c r="E14" s="1"/>
      <c r="F14" s="1"/>
      <c r="G14" s="1"/>
      <c r="H14" s="1" t="str">
        <f>"7804629440536"</f>
        <v>7804629440536</v>
      </c>
      <c r="I14" s="3">
        <v>2</v>
      </c>
      <c r="J14" s="3">
        <v>0</v>
      </c>
      <c r="K14" s="3">
        <v>37000</v>
      </c>
    </row>
    <row r="15" spans="1:11" x14ac:dyDescent="0.2">
      <c r="A15" s="1" t="s">
        <v>4994</v>
      </c>
      <c r="B15" s="1" t="s">
        <v>23</v>
      </c>
      <c r="C15" s="1"/>
      <c r="D15" s="1"/>
      <c r="E15" s="1"/>
      <c r="F15" s="1"/>
      <c r="G15" s="1"/>
      <c r="H15" s="1" t="str">
        <f>"7804945001305"</f>
        <v>7804945001305</v>
      </c>
      <c r="I15" s="3">
        <v>1</v>
      </c>
      <c r="J15" s="3">
        <v>0</v>
      </c>
      <c r="K15" s="3">
        <v>3000</v>
      </c>
    </row>
    <row r="16" spans="1:11" x14ac:dyDescent="0.2">
      <c r="A16" s="1" t="s">
        <v>4994</v>
      </c>
      <c r="B16" s="1" t="s">
        <v>24</v>
      </c>
      <c r="C16" s="1"/>
      <c r="D16" s="1"/>
      <c r="E16" s="1"/>
      <c r="F16" s="1"/>
      <c r="G16" s="1"/>
      <c r="H16" s="1" t="str">
        <f>"7805350000617"</f>
        <v>7805350000617</v>
      </c>
      <c r="I16" s="3">
        <v>10</v>
      </c>
      <c r="J16" s="3">
        <v>0</v>
      </c>
      <c r="K16" s="3">
        <v>4000</v>
      </c>
    </row>
    <row r="17" spans="1:11" x14ac:dyDescent="0.2">
      <c r="A17" s="1" t="s">
        <v>4994</v>
      </c>
      <c r="B17" s="1" t="s">
        <v>25</v>
      </c>
      <c r="C17" s="1"/>
      <c r="D17" s="1"/>
      <c r="E17" s="1"/>
      <c r="F17" s="1"/>
      <c r="G17" s="1"/>
      <c r="H17" s="1" t="str">
        <f>"7500682354611"</f>
        <v>7500682354611</v>
      </c>
      <c r="I17" s="3">
        <v>0</v>
      </c>
      <c r="J17" s="3">
        <v>0</v>
      </c>
      <c r="K17" s="3">
        <v>3000</v>
      </c>
    </row>
    <row r="18" spans="1:11" x14ac:dyDescent="0.2">
      <c r="A18" s="1" t="s">
        <v>4994</v>
      </c>
      <c r="B18" s="1" t="s">
        <v>26</v>
      </c>
      <c r="C18" s="1"/>
      <c r="D18" s="1"/>
      <c r="E18" s="1"/>
      <c r="F18" s="1"/>
      <c r="G18" s="1"/>
      <c r="H18" s="1" t="str">
        <f>"7805357004014"</f>
        <v>7805357004014</v>
      </c>
      <c r="I18" s="3">
        <v>0</v>
      </c>
      <c r="J18" s="3">
        <v>0</v>
      </c>
      <c r="K18" s="3">
        <v>6500</v>
      </c>
    </row>
    <row r="19" spans="1:11" x14ac:dyDescent="0.2">
      <c r="A19" s="1" t="s">
        <v>4994</v>
      </c>
      <c r="B19" s="1" t="s">
        <v>28</v>
      </c>
      <c r="C19" s="1"/>
      <c r="D19" s="1"/>
      <c r="E19" s="1"/>
      <c r="F19" s="1"/>
      <c r="G19" s="1"/>
      <c r="H19" s="1" t="str">
        <f>"4623720660048"</f>
        <v>4623720660048</v>
      </c>
      <c r="I19" s="3">
        <v>0</v>
      </c>
      <c r="J19" s="3">
        <v>0</v>
      </c>
      <c r="K19" s="3">
        <v>11000</v>
      </c>
    </row>
    <row r="20" spans="1:11" x14ac:dyDescent="0.2">
      <c r="A20" s="1" t="s">
        <v>4994</v>
      </c>
      <c r="B20" s="1" t="s">
        <v>29</v>
      </c>
      <c r="C20" s="1"/>
      <c r="D20" s="1"/>
      <c r="E20" s="1"/>
      <c r="F20" s="1"/>
      <c r="G20" s="1"/>
      <c r="H20" s="1" t="str">
        <f>"7805357100020"</f>
        <v>7805357100020</v>
      </c>
      <c r="I20" s="3">
        <v>31</v>
      </c>
      <c r="J20" s="3">
        <v>0</v>
      </c>
      <c r="K20" s="3">
        <v>2500</v>
      </c>
    </row>
    <row r="21" spans="1:11" x14ac:dyDescent="0.2">
      <c r="A21" s="1" t="s">
        <v>4994</v>
      </c>
      <c r="B21" s="1" t="s">
        <v>30</v>
      </c>
      <c r="C21" s="1"/>
      <c r="D21" s="1"/>
      <c r="E21" s="1"/>
      <c r="F21" s="1"/>
      <c r="G21" s="1"/>
      <c r="H21" s="1" t="str">
        <f>"7800044000423"</f>
        <v>7800044000423</v>
      </c>
      <c r="I21" s="3">
        <v>28</v>
      </c>
      <c r="J21" s="3">
        <v>0</v>
      </c>
      <c r="K21" s="3">
        <v>1500</v>
      </c>
    </row>
    <row r="22" spans="1:11" x14ac:dyDescent="0.2">
      <c r="A22" s="1" t="s">
        <v>4994</v>
      </c>
      <c r="B22" s="1" t="s">
        <v>31</v>
      </c>
      <c r="C22" s="1"/>
      <c r="D22" s="1"/>
      <c r="E22" s="1"/>
      <c r="F22" s="1"/>
      <c r="G22" s="1"/>
      <c r="H22" s="1" t="str">
        <f>"7800044000430"</f>
        <v>7800044000430</v>
      </c>
      <c r="I22" s="3">
        <v>7</v>
      </c>
      <c r="J22" s="3">
        <v>0</v>
      </c>
      <c r="K22" s="3">
        <v>1500</v>
      </c>
    </row>
    <row r="23" spans="1:11" x14ac:dyDescent="0.2">
      <c r="A23" s="1" t="s">
        <v>4994</v>
      </c>
      <c r="B23" s="1" t="s">
        <v>32</v>
      </c>
      <c r="C23" s="1"/>
      <c r="D23" s="1"/>
      <c r="E23" s="1"/>
      <c r="F23" s="1"/>
      <c r="G23" s="1"/>
      <c r="H23" s="1" t="str">
        <f>"7800044000416"</f>
        <v>7800044000416</v>
      </c>
      <c r="I23" s="3">
        <v>8</v>
      </c>
      <c r="J23" s="3">
        <v>0</v>
      </c>
      <c r="K23" s="3">
        <v>1500</v>
      </c>
    </row>
    <row r="24" spans="1:11" x14ac:dyDescent="0.2">
      <c r="A24" s="1" t="s">
        <v>4994</v>
      </c>
      <c r="B24" s="1" t="s">
        <v>33</v>
      </c>
      <c r="C24" s="1"/>
      <c r="D24" s="1"/>
      <c r="E24" s="1"/>
      <c r="F24" s="1"/>
      <c r="G24" s="1"/>
      <c r="H24" s="1" t="str">
        <f>"7805357002003"</f>
        <v>7805357002003</v>
      </c>
      <c r="I24" s="3">
        <v>0</v>
      </c>
      <c r="J24" s="3">
        <v>0</v>
      </c>
      <c r="K24" s="3">
        <v>1500</v>
      </c>
    </row>
    <row r="25" spans="1:11" x14ac:dyDescent="0.2">
      <c r="A25" s="1" t="s">
        <v>4994</v>
      </c>
      <c r="B25" s="1" t="s">
        <v>38</v>
      </c>
      <c r="C25" s="1"/>
      <c r="D25" s="1"/>
      <c r="E25" s="1"/>
      <c r="F25" s="1"/>
      <c r="G25" s="1"/>
      <c r="H25" s="1" t="str">
        <f>"7800063111032"</f>
        <v>7800063111032</v>
      </c>
      <c r="I25" s="3">
        <v>0</v>
      </c>
      <c r="J25" s="3">
        <v>0</v>
      </c>
      <c r="K25" s="3">
        <v>3500</v>
      </c>
    </row>
    <row r="26" spans="1:11" x14ac:dyDescent="0.2">
      <c r="A26" s="1" t="s">
        <v>4994</v>
      </c>
      <c r="B26" s="1" t="s">
        <v>39</v>
      </c>
      <c r="C26" s="1"/>
      <c r="D26" s="1"/>
      <c r="E26" s="1"/>
      <c r="F26" s="1"/>
      <c r="G26" s="1"/>
      <c r="H26" s="1" t="str">
        <f>"7804650885832"</f>
        <v>7804650885832</v>
      </c>
      <c r="I26" s="3">
        <v>0</v>
      </c>
      <c r="J26" s="3">
        <v>0</v>
      </c>
      <c r="K26" s="3">
        <v>3500</v>
      </c>
    </row>
    <row r="27" spans="1:11" x14ac:dyDescent="0.2">
      <c r="A27" s="1" t="s">
        <v>4994</v>
      </c>
      <c r="B27" s="1" t="s">
        <v>40</v>
      </c>
      <c r="C27" s="1"/>
      <c r="D27" s="1"/>
      <c r="E27" s="1"/>
      <c r="F27" s="1"/>
      <c r="G27" s="1"/>
      <c r="H27" s="1" t="str">
        <f>"7892065357921"</f>
        <v>7892065357921</v>
      </c>
      <c r="I27" s="3">
        <v>0</v>
      </c>
      <c r="J27" s="3">
        <v>0</v>
      </c>
      <c r="K27" s="3">
        <v>500</v>
      </c>
    </row>
    <row r="28" spans="1:11" x14ac:dyDescent="0.2">
      <c r="A28" s="1" t="s">
        <v>4994</v>
      </c>
      <c r="B28" s="1" t="s">
        <v>41</v>
      </c>
      <c r="C28" s="1"/>
      <c r="D28" s="1"/>
      <c r="E28" s="1"/>
      <c r="F28" s="1"/>
      <c r="G28" s="1"/>
      <c r="H28" s="1" t="str">
        <f>"7800026012000"</f>
        <v>7800026012000</v>
      </c>
      <c r="I28" s="3">
        <v>2</v>
      </c>
      <c r="J28" s="3">
        <v>0</v>
      </c>
      <c r="K28" s="3">
        <v>12000</v>
      </c>
    </row>
    <row r="29" spans="1:11" x14ac:dyDescent="0.2">
      <c r="A29" s="1" t="s">
        <v>4994</v>
      </c>
      <c r="B29" s="1" t="s">
        <v>43</v>
      </c>
      <c r="C29" s="1"/>
      <c r="D29" s="1"/>
      <c r="E29" s="1"/>
      <c r="F29" s="1"/>
      <c r="G29" s="1"/>
      <c r="H29" s="1" t="str">
        <f>"7800007112743"</f>
        <v>7800007112743</v>
      </c>
      <c r="I29" s="3">
        <v>0</v>
      </c>
      <c r="J29" s="3">
        <v>0</v>
      </c>
      <c r="K29" s="3">
        <v>3000</v>
      </c>
    </row>
    <row r="30" spans="1:11" x14ac:dyDescent="0.2">
      <c r="A30" s="1" t="s">
        <v>4994</v>
      </c>
      <c r="B30" s="1" t="s">
        <v>46</v>
      </c>
      <c r="C30" s="1"/>
      <c r="D30" s="1"/>
      <c r="E30" s="1"/>
      <c r="F30" s="1"/>
      <c r="G30" s="1"/>
      <c r="H30" s="1" t="str">
        <f>"7800063116778"</f>
        <v>7800063116778</v>
      </c>
      <c r="I30" s="3">
        <v>0</v>
      </c>
      <c r="J30" s="3">
        <v>0</v>
      </c>
      <c r="K30" s="3">
        <v>3000</v>
      </c>
    </row>
    <row r="31" spans="1:11" x14ac:dyDescent="0.2">
      <c r="A31" s="1" t="s">
        <v>4994</v>
      </c>
      <c r="B31" s="1" t="s">
        <v>47</v>
      </c>
      <c r="C31" s="1"/>
      <c r="D31" s="1"/>
      <c r="E31" s="1"/>
      <c r="F31" s="1"/>
      <c r="G31" s="1"/>
      <c r="H31" s="1" t="str">
        <f>"7800007155719"</f>
        <v>7800007155719</v>
      </c>
      <c r="I31" s="3">
        <v>20</v>
      </c>
      <c r="J31" s="3">
        <v>0</v>
      </c>
      <c r="K31" s="3">
        <v>1000</v>
      </c>
    </row>
    <row r="32" spans="1:11" x14ac:dyDescent="0.2">
      <c r="A32" s="1" t="s">
        <v>4994</v>
      </c>
      <c r="B32" s="1" t="s">
        <v>48</v>
      </c>
      <c r="C32" s="1"/>
      <c r="D32" s="1"/>
      <c r="E32" s="1"/>
      <c r="F32" s="1"/>
      <c r="G32" s="1"/>
      <c r="H32" s="1" t="str">
        <f>"7804650885894"</f>
        <v>7804650885894</v>
      </c>
      <c r="I32" s="3">
        <v>0</v>
      </c>
      <c r="J32" s="3">
        <v>0</v>
      </c>
      <c r="K32" s="3">
        <v>2400</v>
      </c>
    </row>
    <row r="33" spans="1:11" x14ac:dyDescent="0.2">
      <c r="A33" s="1" t="s">
        <v>4994</v>
      </c>
      <c r="B33" s="1" t="s">
        <v>49</v>
      </c>
      <c r="C33" s="1"/>
      <c r="D33" s="1"/>
      <c r="E33" s="1"/>
      <c r="F33" s="1"/>
      <c r="G33" s="1"/>
      <c r="H33" s="1" t="str">
        <f>"7800063160016"</f>
        <v>7800063160016</v>
      </c>
      <c r="I33" s="3">
        <v>0</v>
      </c>
      <c r="J33" s="3">
        <v>0</v>
      </c>
      <c r="K33" s="3">
        <v>800</v>
      </c>
    </row>
    <row r="34" spans="1:11" x14ac:dyDescent="0.2">
      <c r="A34" s="1" t="s">
        <v>4994</v>
      </c>
      <c r="B34" s="1" t="s">
        <v>50</v>
      </c>
      <c r="C34" s="1"/>
      <c r="D34" s="1"/>
      <c r="E34" s="1"/>
      <c r="F34" s="1"/>
      <c r="G34" s="1"/>
      <c r="H34" s="1" t="str">
        <f>"8901790708614"</f>
        <v>8901790708614</v>
      </c>
      <c r="I34" s="3">
        <v>38</v>
      </c>
      <c r="J34" s="3">
        <v>0</v>
      </c>
      <c r="K34" s="3">
        <v>1000</v>
      </c>
    </row>
    <row r="35" spans="1:11" x14ac:dyDescent="0.2">
      <c r="A35" s="1" t="s">
        <v>4994</v>
      </c>
      <c r="B35" s="1" t="s">
        <v>52</v>
      </c>
      <c r="C35" s="1"/>
      <c r="D35" s="1"/>
      <c r="E35" s="1"/>
      <c r="F35" s="1"/>
      <c r="G35" s="1"/>
      <c r="H35" s="1" t="str">
        <f>"7800007805799"</f>
        <v>7800007805799</v>
      </c>
      <c r="I35" s="3">
        <v>66</v>
      </c>
      <c r="J35" s="3">
        <v>0</v>
      </c>
      <c r="K35" s="3">
        <v>2000</v>
      </c>
    </row>
    <row r="36" spans="1:11" x14ac:dyDescent="0.2">
      <c r="A36" s="1" t="s">
        <v>4994</v>
      </c>
      <c r="B36" s="1" t="s">
        <v>53</v>
      </c>
      <c r="C36" s="1"/>
      <c r="D36" s="1"/>
      <c r="E36" s="1"/>
      <c r="F36" s="1"/>
      <c r="G36" s="1"/>
      <c r="H36" s="1" t="str">
        <f>"7800068030031"</f>
        <v>7800068030031</v>
      </c>
      <c r="I36" s="3">
        <v>0</v>
      </c>
      <c r="J36" s="3">
        <v>0</v>
      </c>
      <c r="K36" s="3">
        <v>2500</v>
      </c>
    </row>
    <row r="37" spans="1:11" x14ac:dyDescent="0.2">
      <c r="A37" s="1" t="s">
        <v>4994</v>
      </c>
      <c r="B37" s="1" t="s">
        <v>54</v>
      </c>
      <c r="C37" s="1"/>
      <c r="D37" s="1"/>
      <c r="E37" s="1"/>
      <c r="F37" s="1"/>
      <c r="G37" s="1"/>
      <c r="H37" s="1" t="str">
        <f>"7805357001167"</f>
        <v>7805357001167</v>
      </c>
      <c r="I37" s="3">
        <v>9</v>
      </c>
      <c r="J37" s="3">
        <v>0</v>
      </c>
      <c r="K37" s="3">
        <v>500</v>
      </c>
    </row>
    <row r="38" spans="1:11" x14ac:dyDescent="0.2">
      <c r="A38" s="1" t="s">
        <v>4994</v>
      </c>
      <c r="B38" s="1" t="s">
        <v>55</v>
      </c>
      <c r="C38" s="1"/>
      <c r="D38" s="1"/>
      <c r="E38" s="1"/>
      <c r="F38" s="1"/>
      <c r="G38" s="1"/>
      <c r="H38" s="1" t="str">
        <f>"7804673040225"</f>
        <v>7804673040225</v>
      </c>
      <c r="I38" s="3">
        <v>0</v>
      </c>
      <c r="J38" s="3">
        <v>0</v>
      </c>
      <c r="K38" s="3">
        <v>500</v>
      </c>
    </row>
    <row r="39" spans="1:11" x14ac:dyDescent="0.2">
      <c r="A39" s="1" t="s">
        <v>4994</v>
      </c>
      <c r="B39" s="1" t="s">
        <v>57</v>
      </c>
      <c r="C39" s="1"/>
      <c r="D39" s="1"/>
      <c r="E39" s="1"/>
      <c r="F39" s="1"/>
      <c r="G39" s="1"/>
      <c r="H39" s="1" t="str">
        <f>"7800007173881"</f>
        <v>7800007173881</v>
      </c>
      <c r="I39" s="3">
        <v>0</v>
      </c>
      <c r="J39" s="3">
        <v>0</v>
      </c>
      <c r="K39" s="3">
        <v>1000</v>
      </c>
    </row>
    <row r="40" spans="1:11" x14ac:dyDescent="0.2">
      <c r="A40" s="1" t="s">
        <v>4994</v>
      </c>
      <c r="B40" s="1" t="s">
        <v>58</v>
      </c>
      <c r="C40" s="1"/>
      <c r="D40" s="1"/>
      <c r="E40" s="1"/>
      <c r="F40" s="1"/>
      <c r="G40" s="1"/>
      <c r="H40" s="1" t="str">
        <f>"7805357001174"</f>
        <v>7805357001174</v>
      </c>
      <c r="I40" s="3">
        <v>0</v>
      </c>
      <c r="J40" s="3">
        <v>0</v>
      </c>
      <c r="K40" s="3">
        <v>350</v>
      </c>
    </row>
    <row r="41" spans="1:11" x14ac:dyDescent="0.2">
      <c r="A41" s="1" t="s">
        <v>4994</v>
      </c>
      <c r="B41" s="1" t="s">
        <v>59</v>
      </c>
      <c r="C41" s="1"/>
      <c r="D41" s="1"/>
      <c r="E41" s="1"/>
      <c r="F41" s="1"/>
      <c r="G41" s="1"/>
      <c r="H41" s="1" t="str">
        <f>"7800018000466"</f>
        <v>7800018000466</v>
      </c>
      <c r="I41" s="3">
        <v>0</v>
      </c>
      <c r="J41" s="3">
        <v>0</v>
      </c>
      <c r="K41" s="3">
        <v>6000</v>
      </c>
    </row>
    <row r="42" spans="1:11" x14ac:dyDescent="0.2">
      <c r="A42" s="1" t="s">
        <v>4994</v>
      </c>
      <c r="B42" s="1" t="s">
        <v>60</v>
      </c>
      <c r="C42" s="1"/>
      <c r="D42" s="1"/>
      <c r="E42" s="1"/>
      <c r="F42" s="1"/>
      <c r="G42" s="1"/>
      <c r="H42" s="1" t="str">
        <f>"7800018000473"</f>
        <v>7800018000473</v>
      </c>
      <c r="I42" s="3">
        <v>0</v>
      </c>
      <c r="J42" s="3">
        <v>0</v>
      </c>
      <c r="K42" s="3">
        <v>6500</v>
      </c>
    </row>
    <row r="43" spans="1:11" x14ac:dyDescent="0.2">
      <c r="A43" s="1" t="s">
        <v>4994</v>
      </c>
      <c r="B43" s="1" t="s">
        <v>62</v>
      </c>
      <c r="C43" s="1"/>
      <c r="D43" s="1"/>
      <c r="E43" s="1"/>
      <c r="F43" s="1"/>
      <c r="G43" s="1"/>
      <c r="H43" s="1" t="str">
        <f>"7804945032774"</f>
        <v>7804945032774</v>
      </c>
      <c r="I43" s="3">
        <v>3</v>
      </c>
      <c r="J43" s="3">
        <v>0</v>
      </c>
      <c r="K43" s="3">
        <v>4000</v>
      </c>
    </row>
    <row r="44" spans="1:11" x14ac:dyDescent="0.2">
      <c r="A44" s="1" t="s">
        <v>4994</v>
      </c>
      <c r="B44" s="1" t="s">
        <v>63</v>
      </c>
      <c r="C44" s="1"/>
      <c r="D44" s="1"/>
      <c r="E44" s="1"/>
      <c r="F44" s="1"/>
      <c r="G44" s="1"/>
      <c r="H44" s="1" t="str">
        <f>"7791293046433"</f>
        <v>7791293046433</v>
      </c>
      <c r="I44" s="3">
        <v>0</v>
      </c>
      <c r="J44" s="3">
        <v>0</v>
      </c>
      <c r="K44" s="3">
        <v>3500</v>
      </c>
    </row>
    <row r="45" spans="1:11" x14ac:dyDescent="0.2">
      <c r="A45" s="1" t="s">
        <v>4994</v>
      </c>
      <c r="B45" s="1" t="s">
        <v>64</v>
      </c>
      <c r="C45" s="1"/>
      <c r="D45" s="1"/>
      <c r="E45" s="1"/>
      <c r="F45" s="1"/>
      <c r="G45" s="1"/>
      <c r="H45" s="1" t="str">
        <f>"7800026547861"</f>
        <v>7800026547861</v>
      </c>
      <c r="I45" s="3">
        <v>31</v>
      </c>
      <c r="J45" s="3">
        <v>0</v>
      </c>
      <c r="K45" s="3">
        <v>15000</v>
      </c>
    </row>
    <row r="46" spans="1:11" x14ac:dyDescent="0.2">
      <c r="A46" s="1" t="s">
        <v>4994</v>
      </c>
      <c r="B46" s="1" t="s">
        <v>66</v>
      </c>
      <c r="C46" s="1"/>
      <c r="D46" s="1"/>
      <c r="E46" s="1"/>
      <c r="F46" s="1"/>
      <c r="G46" s="1"/>
      <c r="H46" s="1" t="str">
        <f>"7803501004569"</f>
        <v>7803501004569</v>
      </c>
      <c r="I46" s="3">
        <v>6</v>
      </c>
      <c r="J46" s="3">
        <v>0</v>
      </c>
      <c r="K46" s="3">
        <v>9000</v>
      </c>
    </row>
    <row r="47" spans="1:11" x14ac:dyDescent="0.2">
      <c r="A47" s="1" t="s">
        <v>4994</v>
      </c>
      <c r="B47" s="1" t="s">
        <v>68</v>
      </c>
      <c r="C47" s="1"/>
      <c r="D47" s="1"/>
      <c r="E47" s="1"/>
      <c r="F47" s="1"/>
      <c r="G47" s="1"/>
      <c r="H47" s="1" t="str">
        <f>"7800026004791"</f>
        <v>7800026004791</v>
      </c>
      <c r="I47" s="3">
        <v>5</v>
      </c>
      <c r="J47" s="3">
        <v>0</v>
      </c>
      <c r="K47" s="3">
        <v>19000</v>
      </c>
    </row>
    <row r="48" spans="1:11" x14ac:dyDescent="0.2">
      <c r="A48" s="1" t="s">
        <v>4994</v>
      </c>
      <c r="B48" s="1" t="s">
        <v>69</v>
      </c>
      <c r="C48" s="1"/>
      <c r="D48" s="1"/>
      <c r="E48" s="1"/>
      <c r="F48" s="1"/>
      <c r="G48" s="1"/>
      <c r="H48" s="1" t="str">
        <f>"76045284619649"</f>
        <v>76045284619649</v>
      </c>
      <c r="I48" s="3">
        <v>5</v>
      </c>
      <c r="J48" s="3">
        <v>0</v>
      </c>
      <c r="K48" s="3">
        <v>20000</v>
      </c>
    </row>
    <row r="49" spans="1:11" x14ac:dyDescent="0.2">
      <c r="A49" s="1" t="s">
        <v>4994</v>
      </c>
      <c r="B49" s="1" t="s">
        <v>70</v>
      </c>
      <c r="C49" s="1"/>
      <c r="D49" s="1"/>
      <c r="E49" s="1"/>
      <c r="F49" s="1"/>
      <c r="G49" s="1"/>
      <c r="H49" s="1" t="str">
        <f>"7804612010661"</f>
        <v>7804612010661</v>
      </c>
      <c r="I49" s="3">
        <v>0</v>
      </c>
      <c r="J49" s="3">
        <v>0</v>
      </c>
      <c r="K49" s="3">
        <v>17000</v>
      </c>
    </row>
    <row r="50" spans="1:11" x14ac:dyDescent="0.2">
      <c r="A50" s="1" t="s">
        <v>4994</v>
      </c>
      <c r="B50" s="1" t="s">
        <v>71</v>
      </c>
      <c r="C50" s="1"/>
      <c r="D50" s="1"/>
      <c r="E50" s="1"/>
      <c r="F50" s="1"/>
      <c r="G50" s="1"/>
      <c r="H50" s="1" t="str">
        <f>"3616303321987"</f>
        <v>3616303321987</v>
      </c>
      <c r="I50" s="3">
        <v>2</v>
      </c>
      <c r="J50" s="3">
        <v>0</v>
      </c>
      <c r="K50" s="3">
        <v>0</v>
      </c>
    </row>
    <row r="51" spans="1:11" x14ac:dyDescent="0.2">
      <c r="A51" s="1" t="s">
        <v>4994</v>
      </c>
      <c r="B51" s="1" t="s">
        <v>72</v>
      </c>
      <c r="C51" s="1"/>
      <c r="D51" s="1"/>
      <c r="E51" s="1"/>
      <c r="F51" s="1"/>
      <c r="G51" s="1"/>
      <c r="H51" s="1" t="str">
        <f>"3616303321932"</f>
        <v>3616303321932</v>
      </c>
      <c r="I51" s="3">
        <v>0</v>
      </c>
      <c r="J51" s="3">
        <v>0</v>
      </c>
      <c r="K51" s="3">
        <v>13000</v>
      </c>
    </row>
    <row r="52" spans="1:11" x14ac:dyDescent="0.2">
      <c r="A52" s="1" t="s">
        <v>4994</v>
      </c>
      <c r="B52" s="1" t="s">
        <v>73</v>
      </c>
      <c r="C52" s="1"/>
      <c r="D52" s="1"/>
      <c r="E52" s="1"/>
      <c r="F52" s="1"/>
      <c r="G52" s="1"/>
      <c r="H52" s="1" t="str">
        <f>"7861073970613"</f>
        <v>7861073970613</v>
      </c>
      <c r="I52" s="3">
        <v>12</v>
      </c>
      <c r="J52" s="3">
        <v>0</v>
      </c>
      <c r="K52" s="3">
        <v>8000</v>
      </c>
    </row>
    <row r="53" spans="1:11" x14ac:dyDescent="0.2">
      <c r="A53" s="1" t="s">
        <v>4994</v>
      </c>
      <c r="B53" s="1" t="s">
        <v>79</v>
      </c>
      <c r="C53" s="1"/>
      <c r="D53" s="1"/>
      <c r="E53" s="1"/>
      <c r="F53" s="1"/>
      <c r="G53" s="1"/>
      <c r="H53" s="1" t="str">
        <f>"7804636190004"</f>
        <v>7804636190004</v>
      </c>
      <c r="I53" s="3">
        <v>0</v>
      </c>
      <c r="J53" s="3">
        <v>0</v>
      </c>
      <c r="K53" s="3">
        <v>3500</v>
      </c>
    </row>
    <row r="54" spans="1:11" x14ac:dyDescent="0.2">
      <c r="A54" s="1" t="s">
        <v>4994</v>
      </c>
      <c r="B54" s="1" t="s">
        <v>80</v>
      </c>
      <c r="C54" s="1"/>
      <c r="D54" s="1"/>
      <c r="E54" s="1"/>
      <c r="F54" s="1"/>
      <c r="G54" s="1"/>
      <c r="H54" s="1" t="str">
        <f>"7800060003651"</f>
        <v>7800060003651</v>
      </c>
      <c r="I54" s="3">
        <v>34</v>
      </c>
      <c r="J54" s="3">
        <v>0</v>
      </c>
      <c r="K54" s="3">
        <v>11500</v>
      </c>
    </row>
    <row r="55" spans="1:11" x14ac:dyDescent="0.2">
      <c r="A55" s="1" t="s">
        <v>4994</v>
      </c>
      <c r="B55" s="1" t="s">
        <v>81</v>
      </c>
      <c r="C55" s="1"/>
      <c r="D55" s="1"/>
      <c r="E55" s="1"/>
      <c r="F55" s="1"/>
      <c r="G55" s="1"/>
      <c r="H55" s="1" t="str">
        <f>"7800063000312"</f>
        <v>7800063000312</v>
      </c>
      <c r="I55" s="3">
        <v>0</v>
      </c>
      <c r="J55" s="3">
        <v>0</v>
      </c>
      <c r="K55" s="3">
        <v>3500</v>
      </c>
    </row>
    <row r="56" spans="1:11" x14ac:dyDescent="0.2">
      <c r="A56" s="1" t="s">
        <v>4994</v>
      </c>
      <c r="B56" s="1" t="s">
        <v>83</v>
      </c>
      <c r="C56" s="1"/>
      <c r="D56" s="1"/>
      <c r="E56" s="1"/>
      <c r="F56" s="1"/>
      <c r="G56" s="1"/>
      <c r="H56" s="1" t="str">
        <f>"7800029002480"</f>
        <v>7800029002480</v>
      </c>
      <c r="I56" s="3">
        <v>0</v>
      </c>
      <c r="J56" s="3">
        <v>0</v>
      </c>
      <c r="K56" s="3">
        <v>22000</v>
      </c>
    </row>
    <row r="57" spans="1:11" x14ac:dyDescent="0.2">
      <c r="A57" s="1" t="s">
        <v>4994</v>
      </c>
      <c r="B57" s="1" t="s">
        <v>84</v>
      </c>
      <c r="C57" s="1"/>
      <c r="D57" s="1"/>
      <c r="E57" s="1"/>
      <c r="F57" s="1"/>
      <c r="G57" s="1"/>
      <c r="H57" s="1" t="str">
        <f>"7795373013087"</f>
        <v>7795373013087</v>
      </c>
      <c r="I57" s="3">
        <v>0</v>
      </c>
      <c r="J57" s="3">
        <v>0</v>
      </c>
      <c r="K57" s="3">
        <v>9000</v>
      </c>
    </row>
    <row r="58" spans="1:11" x14ac:dyDescent="0.2">
      <c r="A58" s="1" t="s">
        <v>4994</v>
      </c>
      <c r="B58" s="1" t="s">
        <v>85</v>
      </c>
      <c r="C58" s="1"/>
      <c r="D58" s="1"/>
      <c r="E58" s="1"/>
      <c r="F58" s="1"/>
      <c r="G58" s="1"/>
      <c r="H58" s="1" t="str">
        <f>"2030751007612"</f>
        <v>2030751007612</v>
      </c>
      <c r="I58" s="3">
        <v>0</v>
      </c>
      <c r="J58" s="3">
        <v>0</v>
      </c>
      <c r="K58" s="3">
        <v>5000</v>
      </c>
    </row>
    <row r="59" spans="1:11" x14ac:dyDescent="0.2">
      <c r="A59" s="1" t="s">
        <v>4994</v>
      </c>
      <c r="B59" s="1" t="s">
        <v>86</v>
      </c>
      <c r="C59" s="1"/>
      <c r="D59" s="1"/>
      <c r="E59" s="1"/>
      <c r="F59" s="1"/>
      <c r="G59" s="1"/>
      <c r="H59" s="1" t="str">
        <f>"70330717565"</f>
        <v>70330717565</v>
      </c>
      <c r="I59" s="3">
        <v>0</v>
      </c>
      <c r="J59" s="3">
        <v>0</v>
      </c>
      <c r="K59" s="3">
        <v>1000</v>
      </c>
    </row>
    <row r="60" spans="1:11" x14ac:dyDescent="0.2">
      <c r="A60" s="1" t="s">
        <v>4994</v>
      </c>
      <c r="B60" s="1" t="s">
        <v>87</v>
      </c>
      <c r="C60" s="1"/>
      <c r="D60" s="1"/>
      <c r="E60" s="1"/>
      <c r="F60" s="1"/>
      <c r="G60" s="1"/>
      <c r="H60" s="1" t="str">
        <f>"70330731806"</f>
        <v>70330731806</v>
      </c>
      <c r="I60" s="3">
        <v>0</v>
      </c>
      <c r="J60" s="3">
        <v>0</v>
      </c>
      <c r="K60" s="3">
        <v>1000</v>
      </c>
    </row>
    <row r="61" spans="1:11" x14ac:dyDescent="0.2">
      <c r="A61" s="1" t="s">
        <v>4994</v>
      </c>
      <c r="B61" s="1" t="s">
        <v>88</v>
      </c>
      <c r="C61" s="1"/>
      <c r="D61" s="1"/>
      <c r="E61" s="1"/>
      <c r="F61" s="1"/>
      <c r="G61" s="1"/>
      <c r="H61" s="1" t="str">
        <f>"7800046004993"</f>
        <v>7800046004993</v>
      </c>
      <c r="I61" s="3">
        <v>1</v>
      </c>
      <c r="J61" s="3">
        <v>0</v>
      </c>
      <c r="K61" s="3">
        <v>4000</v>
      </c>
    </row>
    <row r="62" spans="1:11" x14ac:dyDescent="0.2">
      <c r="A62" s="1" t="s">
        <v>4994</v>
      </c>
      <c r="B62" s="1" t="s">
        <v>89</v>
      </c>
      <c r="C62" s="1"/>
      <c r="D62" s="1"/>
      <c r="E62" s="1"/>
      <c r="F62" s="1"/>
      <c r="G62" s="1"/>
      <c r="H62" s="1" t="str">
        <f>"8470003808996"</f>
        <v>8470003808996</v>
      </c>
      <c r="I62" s="3">
        <v>4</v>
      </c>
      <c r="J62" s="3">
        <v>0</v>
      </c>
      <c r="K62" s="3">
        <v>11000</v>
      </c>
    </row>
    <row r="63" spans="1:11" x14ac:dyDescent="0.2">
      <c r="A63" s="1" t="s">
        <v>4994</v>
      </c>
      <c r="B63" s="1" t="s">
        <v>91</v>
      </c>
      <c r="C63" s="1"/>
      <c r="D63" s="1"/>
      <c r="E63" s="1"/>
      <c r="F63" s="1"/>
      <c r="G63" s="1"/>
      <c r="H63" s="1" t="str">
        <f>"7807761896896"</f>
        <v>7807761896896</v>
      </c>
      <c r="I63" s="3">
        <v>0</v>
      </c>
      <c r="J63" s="3">
        <v>0</v>
      </c>
      <c r="K63" s="3">
        <v>17500</v>
      </c>
    </row>
    <row r="64" spans="1:11" x14ac:dyDescent="0.2">
      <c r="A64" s="1" t="s">
        <v>4994</v>
      </c>
      <c r="B64" s="1" t="s">
        <v>92</v>
      </c>
      <c r="C64" s="1"/>
      <c r="D64" s="1"/>
      <c r="E64" s="1"/>
      <c r="F64" s="1"/>
      <c r="G64" s="1"/>
      <c r="H64" s="1" t="str">
        <f>"7800062001853"</f>
        <v>7800062001853</v>
      </c>
      <c r="I64" s="3">
        <v>10</v>
      </c>
      <c r="J64" s="3">
        <v>0</v>
      </c>
      <c r="K64" s="3">
        <v>3000</v>
      </c>
    </row>
    <row r="65" spans="1:11" x14ac:dyDescent="0.2">
      <c r="A65" s="1" t="s">
        <v>4994</v>
      </c>
      <c r="B65" s="1" t="s">
        <v>93</v>
      </c>
      <c r="C65" s="1"/>
      <c r="D65" s="1"/>
      <c r="E65" s="1"/>
      <c r="F65" s="1"/>
      <c r="G65" s="1"/>
      <c r="H65" s="1" t="str">
        <f>"7800062001792"</f>
        <v>7800062001792</v>
      </c>
      <c r="I65" s="3">
        <v>33</v>
      </c>
      <c r="J65" s="3">
        <v>0</v>
      </c>
      <c r="K65" s="3">
        <v>2000</v>
      </c>
    </row>
    <row r="66" spans="1:11" x14ac:dyDescent="0.2">
      <c r="A66" s="1" t="s">
        <v>4994</v>
      </c>
      <c r="B66" s="1" t="s">
        <v>94</v>
      </c>
      <c r="C66" s="1"/>
      <c r="D66" s="1"/>
      <c r="E66" s="1"/>
      <c r="F66" s="1"/>
      <c r="G66" s="1"/>
      <c r="H66" s="1" t="str">
        <f>"8411061401804"</f>
        <v>8411061401804</v>
      </c>
      <c r="I66" s="3">
        <v>0</v>
      </c>
      <c r="J66" s="3">
        <v>0</v>
      </c>
      <c r="K66" s="3">
        <v>15000</v>
      </c>
    </row>
    <row r="67" spans="1:11" x14ac:dyDescent="0.2">
      <c r="A67" s="1" t="s">
        <v>4994</v>
      </c>
      <c r="B67" s="1" t="s">
        <v>97</v>
      </c>
      <c r="C67" s="1"/>
      <c r="D67" s="1"/>
      <c r="E67" s="1"/>
      <c r="F67" s="1"/>
      <c r="G67" s="1"/>
      <c r="H67" s="1" t="str">
        <f>"7805633016878"</f>
        <v>7805633016878</v>
      </c>
      <c r="I67" s="3">
        <v>0</v>
      </c>
      <c r="J67" s="3">
        <v>0</v>
      </c>
      <c r="K67" s="3">
        <v>8000</v>
      </c>
    </row>
    <row r="68" spans="1:11" x14ac:dyDescent="0.2">
      <c r="A68" s="1" t="s">
        <v>4994</v>
      </c>
      <c r="B68" s="1" t="s">
        <v>98</v>
      </c>
      <c r="C68" s="1"/>
      <c r="D68" s="1"/>
      <c r="E68" s="1"/>
      <c r="F68" s="1"/>
      <c r="G68" s="1"/>
      <c r="H68" s="1" t="str">
        <f>"7800068010125"</f>
        <v>7800068010125</v>
      </c>
      <c r="I68" s="3">
        <v>30</v>
      </c>
      <c r="J68" s="3">
        <v>0</v>
      </c>
      <c r="K68" s="3">
        <v>5500</v>
      </c>
    </row>
    <row r="69" spans="1:11" x14ac:dyDescent="0.2">
      <c r="A69" s="1" t="s">
        <v>4994</v>
      </c>
      <c r="B69" s="1" t="s">
        <v>99</v>
      </c>
      <c r="C69" s="1"/>
      <c r="D69" s="1"/>
      <c r="E69" s="1"/>
      <c r="F69" s="1"/>
      <c r="G69" s="1"/>
      <c r="H69" s="1" t="str">
        <f>"7800068010118"</f>
        <v>7800068010118</v>
      </c>
      <c r="I69" s="3">
        <v>5</v>
      </c>
      <c r="J69" s="3">
        <v>0</v>
      </c>
      <c r="K69" s="3">
        <v>2500</v>
      </c>
    </row>
    <row r="70" spans="1:11" x14ac:dyDescent="0.2">
      <c r="A70" s="1" t="s">
        <v>4994</v>
      </c>
      <c r="B70" s="1" t="s">
        <v>100</v>
      </c>
      <c r="C70" s="1"/>
      <c r="D70" s="1"/>
      <c r="E70" s="1"/>
      <c r="F70" s="1"/>
      <c r="G70" s="1"/>
      <c r="H70" s="1" t="str">
        <f>"010501"</f>
        <v>010501</v>
      </c>
      <c r="I70" s="3">
        <v>0</v>
      </c>
      <c r="J70" s="3">
        <v>0</v>
      </c>
      <c r="K70" s="3">
        <v>1000</v>
      </c>
    </row>
    <row r="71" spans="1:11" x14ac:dyDescent="0.2">
      <c r="A71" s="1" t="s">
        <v>4994</v>
      </c>
      <c r="B71" s="1" t="s">
        <v>101</v>
      </c>
      <c r="C71" s="1"/>
      <c r="D71" s="1"/>
      <c r="E71" s="1"/>
      <c r="F71" s="1"/>
      <c r="G71" s="1"/>
      <c r="H71" s="1" t="str">
        <f>"7800038040510"</f>
        <v>7800038040510</v>
      </c>
      <c r="I71" s="3">
        <v>9</v>
      </c>
      <c r="J71" s="3">
        <v>0</v>
      </c>
      <c r="K71" s="3">
        <v>2500</v>
      </c>
    </row>
    <row r="72" spans="1:11" x14ac:dyDescent="0.2">
      <c r="A72" s="1" t="s">
        <v>4994</v>
      </c>
      <c r="B72" s="1" t="s">
        <v>102</v>
      </c>
      <c r="C72" s="1"/>
      <c r="D72" s="1"/>
      <c r="E72" s="1"/>
      <c r="F72" s="1"/>
      <c r="G72" s="1"/>
      <c r="H72" s="1" t="str">
        <f>"7509552843705"</f>
        <v>7509552843705</v>
      </c>
      <c r="I72" s="3">
        <v>0</v>
      </c>
      <c r="J72" s="3">
        <v>0</v>
      </c>
      <c r="K72" s="3">
        <v>6000</v>
      </c>
    </row>
    <row r="73" spans="1:11" x14ac:dyDescent="0.2">
      <c r="A73" s="1" t="s">
        <v>4994</v>
      </c>
      <c r="B73" s="1" t="s">
        <v>103</v>
      </c>
      <c r="C73" s="1"/>
      <c r="D73" s="1"/>
      <c r="E73" s="1"/>
      <c r="F73" s="1"/>
      <c r="G73" s="1"/>
      <c r="H73" s="1" t="str">
        <f>"7804907994362"</f>
        <v>7804907994362</v>
      </c>
      <c r="I73" s="3">
        <v>0</v>
      </c>
      <c r="J73" s="3">
        <v>0</v>
      </c>
      <c r="K73" s="3">
        <v>3500</v>
      </c>
    </row>
    <row r="74" spans="1:11" x14ac:dyDescent="0.2">
      <c r="A74" s="1" t="s">
        <v>4994</v>
      </c>
      <c r="B74" s="1" t="s">
        <v>104</v>
      </c>
      <c r="C74" s="1"/>
      <c r="D74" s="1"/>
      <c r="E74" s="1"/>
      <c r="F74" s="1"/>
      <c r="G74" s="1"/>
      <c r="H74" s="1" t="str">
        <f>"7708935094554"</f>
        <v>7708935094554</v>
      </c>
      <c r="I74" s="3">
        <v>0</v>
      </c>
      <c r="J74" s="3">
        <v>0</v>
      </c>
      <c r="K74" s="3">
        <v>5000</v>
      </c>
    </row>
    <row r="75" spans="1:11" x14ac:dyDescent="0.2">
      <c r="A75" s="1" t="s">
        <v>4994</v>
      </c>
      <c r="B75" s="1" t="s">
        <v>105</v>
      </c>
      <c r="C75" s="1"/>
      <c r="D75" s="1"/>
      <c r="E75" s="1"/>
      <c r="F75" s="1"/>
      <c r="G75" s="1"/>
      <c r="H75" s="1" t="str">
        <f>"7891010251048"</f>
        <v>7891010251048</v>
      </c>
      <c r="I75" s="3">
        <v>0</v>
      </c>
      <c r="J75" s="3">
        <v>0</v>
      </c>
      <c r="K75" s="3">
        <v>5000</v>
      </c>
    </row>
    <row r="76" spans="1:11" x14ac:dyDescent="0.2">
      <c r="A76" s="1" t="s">
        <v>4994</v>
      </c>
      <c r="B76" s="1" t="s">
        <v>106</v>
      </c>
      <c r="C76" s="1"/>
      <c r="D76" s="1"/>
      <c r="E76" s="1"/>
      <c r="F76" s="1"/>
      <c r="G76" s="1"/>
      <c r="H76" s="1" t="str">
        <f>"7509552455557"</f>
        <v>7509552455557</v>
      </c>
      <c r="I76" s="3">
        <v>3</v>
      </c>
      <c r="J76" s="3">
        <v>0</v>
      </c>
      <c r="K76" s="3">
        <v>4000</v>
      </c>
    </row>
    <row r="77" spans="1:11" x14ac:dyDescent="0.2">
      <c r="A77" s="1" t="s">
        <v>4994</v>
      </c>
      <c r="B77" s="1" t="s">
        <v>107</v>
      </c>
      <c r="C77" s="1"/>
      <c r="D77" s="1"/>
      <c r="E77" s="1"/>
      <c r="F77" s="1"/>
      <c r="G77" s="1"/>
      <c r="H77" s="1" t="str">
        <f>"3600542109802"</f>
        <v>3600542109802</v>
      </c>
      <c r="I77" s="3">
        <v>4</v>
      </c>
      <c r="J77" s="3">
        <v>0</v>
      </c>
      <c r="K77" s="3">
        <v>3500</v>
      </c>
    </row>
    <row r="78" spans="1:11" x14ac:dyDescent="0.2">
      <c r="A78" s="1" t="s">
        <v>4994</v>
      </c>
      <c r="B78" s="1" t="s">
        <v>108</v>
      </c>
      <c r="C78" s="1"/>
      <c r="D78" s="1"/>
      <c r="E78" s="1"/>
      <c r="F78" s="1"/>
      <c r="G78" s="1"/>
      <c r="H78" s="1" t="str">
        <f>"7509552800098"</f>
        <v>7509552800098</v>
      </c>
      <c r="I78" s="3">
        <v>0</v>
      </c>
      <c r="J78" s="3">
        <v>0</v>
      </c>
      <c r="K78" s="3">
        <v>6500</v>
      </c>
    </row>
    <row r="79" spans="1:11" x14ac:dyDescent="0.2">
      <c r="A79" s="1" t="s">
        <v>4994</v>
      </c>
      <c r="B79" s="1" t="s">
        <v>110</v>
      </c>
      <c r="C79" s="1"/>
      <c r="D79" s="1"/>
      <c r="E79" s="1"/>
      <c r="F79" s="1"/>
      <c r="G79" s="1"/>
      <c r="H79" s="1" t="str">
        <f>"7804900000558"</f>
        <v>7804900000558</v>
      </c>
      <c r="I79" s="3">
        <v>0</v>
      </c>
      <c r="J79" s="3">
        <v>0</v>
      </c>
      <c r="K79" s="3">
        <v>3500</v>
      </c>
    </row>
    <row r="80" spans="1:11" x14ac:dyDescent="0.2">
      <c r="A80" s="1" t="s">
        <v>4994</v>
      </c>
      <c r="B80" s="1" t="s">
        <v>111</v>
      </c>
      <c r="C80" s="1"/>
      <c r="D80" s="1"/>
      <c r="E80" s="1"/>
      <c r="F80" s="1"/>
      <c r="G80" s="1"/>
      <c r="H80" s="1" t="str">
        <f>"7800059002733"</f>
        <v>7800059002733</v>
      </c>
      <c r="I80" s="3">
        <v>3</v>
      </c>
      <c r="J80" s="3">
        <v>0</v>
      </c>
      <c r="K80" s="3">
        <v>3000</v>
      </c>
    </row>
    <row r="81" spans="1:11" x14ac:dyDescent="0.2">
      <c r="A81" s="1" t="s">
        <v>4994</v>
      </c>
      <c r="B81" s="1" t="s">
        <v>112</v>
      </c>
      <c r="C81" s="1"/>
      <c r="D81" s="1"/>
      <c r="E81" s="1"/>
      <c r="F81" s="1"/>
      <c r="G81" s="1"/>
      <c r="H81" s="1" t="str">
        <f>"76063093681043"</f>
        <v>76063093681043</v>
      </c>
      <c r="I81" s="3">
        <v>0</v>
      </c>
      <c r="J81" s="3">
        <v>0</v>
      </c>
      <c r="K81" s="3">
        <v>1000</v>
      </c>
    </row>
    <row r="82" spans="1:11" x14ac:dyDescent="0.2">
      <c r="A82" s="1" t="s">
        <v>4994</v>
      </c>
      <c r="B82" s="1" t="s">
        <v>113</v>
      </c>
      <c r="C82" s="1"/>
      <c r="D82" s="1"/>
      <c r="E82" s="1"/>
      <c r="F82" s="1"/>
      <c r="G82" s="1"/>
      <c r="H82" s="1" t="str">
        <f>"78909878"</f>
        <v>78909878</v>
      </c>
      <c r="I82" s="3">
        <v>0</v>
      </c>
      <c r="J82" s="3">
        <v>0</v>
      </c>
      <c r="K82" s="3">
        <v>100</v>
      </c>
    </row>
    <row r="83" spans="1:11" x14ac:dyDescent="0.2">
      <c r="A83" s="1" t="s">
        <v>4994</v>
      </c>
      <c r="B83" s="1" t="s">
        <v>114</v>
      </c>
      <c r="C83" s="1"/>
      <c r="D83" s="1"/>
      <c r="E83" s="1"/>
      <c r="F83" s="1"/>
      <c r="G83" s="1"/>
      <c r="H83" s="1" t="str">
        <f>"44Q2BMKAXBA9CB"</f>
        <v>44Q2BMKAXBA9CB</v>
      </c>
      <c r="I83" s="3">
        <v>0</v>
      </c>
      <c r="J83" s="3">
        <v>0</v>
      </c>
      <c r="K83" s="3">
        <v>100</v>
      </c>
    </row>
    <row r="84" spans="1:11" x14ac:dyDescent="0.2">
      <c r="A84" s="1" t="s">
        <v>4994</v>
      </c>
      <c r="B84" s="1" t="s">
        <v>115</v>
      </c>
      <c r="C84" s="1"/>
      <c r="D84" s="1"/>
      <c r="E84" s="1"/>
      <c r="F84" s="1"/>
      <c r="G84" s="1"/>
      <c r="H84" s="1" t="str">
        <f>"78909793"</f>
        <v>78909793</v>
      </c>
      <c r="I84" s="3">
        <v>0</v>
      </c>
      <c r="J84" s="3">
        <v>0</v>
      </c>
      <c r="K84" s="3">
        <v>100</v>
      </c>
    </row>
    <row r="85" spans="1:11" x14ac:dyDescent="0.2">
      <c r="A85" s="1" t="s">
        <v>4994</v>
      </c>
      <c r="B85" s="1" t="s">
        <v>116</v>
      </c>
      <c r="C85" s="1"/>
      <c r="D85" s="1"/>
      <c r="E85" s="1"/>
      <c r="F85" s="1"/>
      <c r="G85" s="1"/>
      <c r="H85" s="1" t="str">
        <f>"78909731"</f>
        <v>78909731</v>
      </c>
      <c r="I85" s="3">
        <v>0</v>
      </c>
      <c r="J85" s="3">
        <v>0</v>
      </c>
      <c r="K85" s="3">
        <v>100</v>
      </c>
    </row>
    <row r="86" spans="1:11" x14ac:dyDescent="0.2">
      <c r="A86" s="1" t="s">
        <v>4994</v>
      </c>
      <c r="B86" s="1" t="s">
        <v>117</v>
      </c>
      <c r="C86" s="1"/>
      <c r="D86" s="1"/>
      <c r="E86" s="1"/>
      <c r="F86" s="1"/>
      <c r="G86" s="1"/>
      <c r="H86" s="1" t="str">
        <f>"65670286"</f>
        <v>65670286</v>
      </c>
      <c r="I86" s="3">
        <v>100</v>
      </c>
      <c r="J86" s="3">
        <v>0</v>
      </c>
      <c r="K86" s="3">
        <v>100</v>
      </c>
    </row>
    <row r="87" spans="1:11" x14ac:dyDescent="0.2">
      <c r="A87" s="1" t="s">
        <v>4994</v>
      </c>
      <c r="B87" s="1" t="s">
        <v>118</v>
      </c>
      <c r="C87" s="1"/>
      <c r="D87" s="1"/>
      <c r="E87" s="1"/>
      <c r="F87" s="1"/>
      <c r="G87" s="1"/>
      <c r="H87" s="1" t="str">
        <f>"321"</f>
        <v>321</v>
      </c>
      <c r="I87" s="3">
        <v>0</v>
      </c>
      <c r="J87" s="3">
        <v>0</v>
      </c>
      <c r="K87" s="3">
        <v>100</v>
      </c>
    </row>
    <row r="88" spans="1:11" x14ac:dyDescent="0.2">
      <c r="A88" s="1" t="s">
        <v>4994</v>
      </c>
      <c r="B88" s="1" t="s">
        <v>120</v>
      </c>
      <c r="C88" s="1"/>
      <c r="D88" s="1"/>
      <c r="E88" s="1"/>
      <c r="F88" s="1"/>
      <c r="G88" s="1"/>
      <c r="H88" s="1" t="str">
        <f>"75942205625211"</f>
        <v>75942205625211</v>
      </c>
      <c r="I88" s="3">
        <v>6</v>
      </c>
      <c r="J88" s="3">
        <v>0</v>
      </c>
      <c r="K88" s="3">
        <v>7500</v>
      </c>
    </row>
    <row r="89" spans="1:11" x14ac:dyDescent="0.2">
      <c r="A89" s="1" t="s">
        <v>4994</v>
      </c>
      <c r="B89" s="1" t="s">
        <v>123</v>
      </c>
      <c r="C89" s="1"/>
      <c r="D89" s="1"/>
      <c r="E89" s="1"/>
      <c r="F89" s="1"/>
      <c r="G89" s="1"/>
      <c r="H89" s="1" t="str">
        <f>"7800026008126"</f>
        <v>7800026008126</v>
      </c>
      <c r="I89" s="3">
        <v>7</v>
      </c>
      <c r="J89" s="3">
        <v>0</v>
      </c>
      <c r="K89" s="3">
        <v>10000</v>
      </c>
    </row>
    <row r="90" spans="1:11" x14ac:dyDescent="0.2">
      <c r="A90" s="1" t="s">
        <v>4994</v>
      </c>
      <c r="B90" s="1" t="s">
        <v>125</v>
      </c>
      <c r="C90" s="1"/>
      <c r="D90" s="1"/>
      <c r="E90" s="1"/>
      <c r="F90" s="1"/>
      <c r="G90" s="1"/>
      <c r="H90" s="1" t="str">
        <f>"7800045001825"</f>
        <v>7800045001825</v>
      </c>
      <c r="I90" s="3">
        <v>0</v>
      </c>
      <c r="J90" s="3">
        <v>0</v>
      </c>
      <c r="K90" s="3">
        <v>1500</v>
      </c>
    </row>
    <row r="91" spans="1:11" x14ac:dyDescent="0.2">
      <c r="A91" s="1" t="s">
        <v>4994</v>
      </c>
      <c r="B91" s="1" t="s">
        <v>126</v>
      </c>
      <c r="C91" s="1"/>
      <c r="D91" s="1"/>
      <c r="E91" s="1"/>
      <c r="F91" s="1"/>
      <c r="G91" s="1"/>
      <c r="H91" s="1" t="str">
        <f>"10030189"</f>
        <v>10030189</v>
      </c>
      <c r="I91" s="3">
        <v>39</v>
      </c>
      <c r="J91" s="3">
        <v>0</v>
      </c>
      <c r="K91" s="3">
        <v>2000</v>
      </c>
    </row>
    <row r="92" spans="1:11" x14ac:dyDescent="0.2">
      <c r="A92" s="1" t="s">
        <v>4994</v>
      </c>
      <c r="B92" s="1" t="s">
        <v>127</v>
      </c>
      <c r="C92" s="1"/>
      <c r="D92" s="1"/>
      <c r="E92" s="1"/>
      <c r="F92" s="1"/>
      <c r="G92" s="1"/>
      <c r="H92" s="1" t="str">
        <f>"7800045001788"</f>
        <v>7800045001788</v>
      </c>
      <c r="I92" s="3">
        <v>48</v>
      </c>
      <c r="J92" s="3">
        <v>0</v>
      </c>
      <c r="K92" s="3">
        <v>3500</v>
      </c>
    </row>
    <row r="93" spans="1:11" x14ac:dyDescent="0.2">
      <c r="A93" s="1" t="s">
        <v>4994</v>
      </c>
      <c r="B93" s="1" t="s">
        <v>128</v>
      </c>
      <c r="C93" s="1"/>
      <c r="D93" s="1"/>
      <c r="E93" s="1"/>
      <c r="F93" s="1"/>
      <c r="G93" s="1"/>
      <c r="H93" s="1" t="str">
        <f>"10030707"</f>
        <v>10030707</v>
      </c>
      <c r="I93" s="3">
        <v>0</v>
      </c>
      <c r="J93" s="3">
        <v>0</v>
      </c>
      <c r="K93" s="3">
        <v>2500</v>
      </c>
    </row>
    <row r="94" spans="1:11" x14ac:dyDescent="0.2">
      <c r="A94" s="1" t="s">
        <v>4994</v>
      </c>
      <c r="B94" s="1" t="s">
        <v>129</v>
      </c>
      <c r="C94" s="1"/>
      <c r="D94" s="1"/>
      <c r="E94" s="1"/>
      <c r="F94" s="1"/>
      <c r="G94" s="1"/>
      <c r="H94" s="1" t="str">
        <f>"7800045001849"</f>
        <v>7800045001849</v>
      </c>
      <c r="I94" s="3">
        <v>0</v>
      </c>
      <c r="J94" s="3">
        <v>0</v>
      </c>
      <c r="K94" s="3">
        <v>3500</v>
      </c>
    </row>
    <row r="95" spans="1:11" x14ac:dyDescent="0.2">
      <c r="A95" s="1" t="s">
        <v>4994</v>
      </c>
      <c r="B95" s="1" t="s">
        <v>130</v>
      </c>
      <c r="C95" s="1"/>
      <c r="D95" s="1"/>
      <c r="E95" s="1"/>
      <c r="F95" s="1"/>
      <c r="G95" s="1"/>
      <c r="H95" s="1" t="str">
        <f>"7800045001832"</f>
        <v>7800045001832</v>
      </c>
      <c r="I95" s="3">
        <v>38</v>
      </c>
      <c r="J95" s="3">
        <v>0</v>
      </c>
      <c r="K95" s="3">
        <v>2000</v>
      </c>
    </row>
    <row r="96" spans="1:11" x14ac:dyDescent="0.2">
      <c r="A96" s="1" t="s">
        <v>4994</v>
      </c>
      <c r="B96" s="1" t="s">
        <v>131</v>
      </c>
      <c r="C96" s="1"/>
      <c r="D96" s="1"/>
      <c r="E96" s="1"/>
      <c r="F96" s="1"/>
      <c r="G96" s="1"/>
      <c r="H96" s="1" t="str">
        <f>"7891537153979"</f>
        <v>7891537153979</v>
      </c>
      <c r="I96" s="3">
        <v>0</v>
      </c>
      <c r="J96" s="3">
        <v>0</v>
      </c>
      <c r="K96" s="3">
        <v>500</v>
      </c>
    </row>
    <row r="97" spans="1:11" x14ac:dyDescent="0.2">
      <c r="A97" s="1" t="s">
        <v>4994</v>
      </c>
      <c r="B97" s="1" t="s">
        <v>132</v>
      </c>
      <c r="C97" s="1"/>
      <c r="D97" s="1"/>
      <c r="E97" s="1"/>
      <c r="F97" s="1"/>
      <c r="G97" s="1"/>
      <c r="H97" s="1" t="str">
        <f>"10030431"</f>
        <v>10030431</v>
      </c>
      <c r="I97" s="3">
        <v>10</v>
      </c>
      <c r="J97" s="3">
        <v>0</v>
      </c>
      <c r="K97" s="3">
        <v>2500</v>
      </c>
    </row>
    <row r="98" spans="1:11" x14ac:dyDescent="0.2">
      <c r="A98" s="1" t="s">
        <v>4994</v>
      </c>
      <c r="B98" s="1" t="s">
        <v>133</v>
      </c>
      <c r="C98" s="1"/>
      <c r="D98" s="1"/>
      <c r="E98" s="1"/>
      <c r="F98" s="1"/>
      <c r="G98" s="1"/>
      <c r="H98" s="1" t="str">
        <f>"7801000275961"</f>
        <v>7801000275961</v>
      </c>
      <c r="I98" s="3">
        <v>0</v>
      </c>
      <c r="J98" s="3">
        <v>0</v>
      </c>
      <c r="K98" s="3">
        <v>3000</v>
      </c>
    </row>
    <row r="99" spans="1:11" x14ac:dyDescent="0.2">
      <c r="A99" s="1" t="s">
        <v>4994</v>
      </c>
      <c r="B99" s="1" t="s">
        <v>134</v>
      </c>
      <c r="C99" s="1"/>
      <c r="D99" s="1"/>
      <c r="E99" s="1"/>
      <c r="F99" s="1"/>
      <c r="G99" s="1"/>
      <c r="H99" s="1" t="str">
        <f>"7804647000002"</f>
        <v>7804647000002</v>
      </c>
      <c r="I99" s="3">
        <v>0</v>
      </c>
      <c r="J99" s="3">
        <v>0</v>
      </c>
      <c r="K99" s="3">
        <v>1000</v>
      </c>
    </row>
    <row r="100" spans="1:11" x14ac:dyDescent="0.2">
      <c r="A100" s="1" t="s">
        <v>4994</v>
      </c>
      <c r="B100" s="1" t="s">
        <v>135</v>
      </c>
      <c r="C100" s="1"/>
      <c r="D100" s="1"/>
      <c r="E100" s="1"/>
      <c r="F100" s="1"/>
      <c r="G100" s="1"/>
      <c r="H100" s="1" t="str">
        <f>"7801000000396"</f>
        <v>7801000000396</v>
      </c>
      <c r="I100" s="3">
        <v>10</v>
      </c>
      <c r="J100" s="3">
        <v>0</v>
      </c>
      <c r="K100" s="3">
        <v>4000</v>
      </c>
    </row>
    <row r="101" spans="1:11" x14ac:dyDescent="0.2">
      <c r="A101" s="1" t="s">
        <v>4994</v>
      </c>
      <c r="B101" s="1" t="s">
        <v>136</v>
      </c>
      <c r="C101" s="1"/>
      <c r="D101" s="1"/>
      <c r="E101" s="1"/>
      <c r="F101" s="1"/>
      <c r="G101" s="1"/>
      <c r="H101" s="1" t="str">
        <f>"7805633022374"</f>
        <v>7805633022374</v>
      </c>
      <c r="I101" s="3">
        <v>65</v>
      </c>
      <c r="J101" s="3">
        <v>0</v>
      </c>
      <c r="K101" s="3">
        <v>1000</v>
      </c>
    </row>
    <row r="102" spans="1:11" x14ac:dyDescent="0.2">
      <c r="A102" s="1" t="s">
        <v>4994</v>
      </c>
      <c r="B102" s="1" t="s">
        <v>137</v>
      </c>
      <c r="C102" s="1"/>
      <c r="D102" s="1"/>
      <c r="E102" s="1"/>
      <c r="F102" s="1"/>
      <c r="G102" s="1"/>
      <c r="H102" s="1" t="str">
        <f>"7800068010156"</f>
        <v>7800068010156</v>
      </c>
      <c r="I102" s="3">
        <v>2</v>
      </c>
      <c r="J102" s="3">
        <v>0</v>
      </c>
      <c r="K102" s="3">
        <v>15000</v>
      </c>
    </row>
    <row r="103" spans="1:11" x14ac:dyDescent="0.2">
      <c r="A103" s="1" t="s">
        <v>4994</v>
      </c>
      <c r="B103" s="1" t="s">
        <v>139</v>
      </c>
      <c r="C103" s="1"/>
      <c r="D103" s="1"/>
      <c r="E103" s="1"/>
      <c r="F103" s="1"/>
      <c r="G103" s="1"/>
      <c r="H103" s="1" t="str">
        <f>"7805357000009"</f>
        <v>7805357000009</v>
      </c>
      <c r="I103" s="3">
        <v>0</v>
      </c>
      <c r="J103" s="3">
        <v>0</v>
      </c>
      <c r="K103" s="3">
        <v>600</v>
      </c>
    </row>
    <row r="104" spans="1:11" x14ac:dyDescent="0.2">
      <c r="A104" s="1" t="s">
        <v>4994</v>
      </c>
      <c r="B104" s="1" t="s">
        <v>140</v>
      </c>
      <c r="C104" s="1"/>
      <c r="D104" s="1"/>
      <c r="E104" s="1"/>
      <c r="F104" s="1"/>
      <c r="G104" s="1"/>
      <c r="H104" s="1" t="str">
        <f>"7800030075008"</f>
        <v>7800030075008</v>
      </c>
      <c r="I104" s="3">
        <v>13</v>
      </c>
      <c r="J104" s="3">
        <v>0</v>
      </c>
      <c r="K104" s="3">
        <v>18500</v>
      </c>
    </row>
    <row r="105" spans="1:11" x14ac:dyDescent="0.2">
      <c r="A105" s="1" t="s">
        <v>4994</v>
      </c>
      <c r="B105" s="1" t="s">
        <v>142</v>
      </c>
      <c r="C105" s="1"/>
      <c r="D105" s="1"/>
      <c r="E105" s="1"/>
      <c r="F105" s="1"/>
      <c r="G105" s="1"/>
      <c r="H105" s="1" t="str">
        <f>"7800060414082"</f>
        <v>7800060414082</v>
      </c>
      <c r="I105" s="3">
        <v>0</v>
      </c>
      <c r="J105" s="3">
        <v>0</v>
      </c>
      <c r="K105" s="3">
        <v>20000</v>
      </c>
    </row>
    <row r="106" spans="1:11" x14ac:dyDescent="0.2">
      <c r="A106" s="1" t="s">
        <v>4994</v>
      </c>
      <c r="B106" s="1" t="s">
        <v>143</v>
      </c>
      <c r="C106" s="1"/>
      <c r="D106" s="1"/>
      <c r="E106" s="1"/>
      <c r="F106" s="1"/>
      <c r="G106" s="1"/>
      <c r="H106" s="1" t="str">
        <f>"737186232986"</f>
        <v>737186232986</v>
      </c>
      <c r="I106" s="3">
        <v>0</v>
      </c>
      <c r="J106" s="3">
        <v>0</v>
      </c>
      <c r="K106" s="3">
        <v>5000</v>
      </c>
    </row>
    <row r="107" spans="1:11" x14ac:dyDescent="0.2">
      <c r="A107" s="1" t="s">
        <v>4994</v>
      </c>
      <c r="B107" s="1" t="s">
        <v>144</v>
      </c>
      <c r="C107" s="1"/>
      <c r="D107" s="1"/>
      <c r="E107" s="1"/>
      <c r="F107" s="1"/>
      <c r="G107" s="1"/>
      <c r="H107" s="1" t="str">
        <f>"7800007805331"</f>
        <v>7800007805331</v>
      </c>
      <c r="I107" s="3">
        <v>0</v>
      </c>
      <c r="J107" s="3">
        <v>0</v>
      </c>
      <c r="K107" s="3">
        <v>14000</v>
      </c>
    </row>
    <row r="108" spans="1:11" x14ac:dyDescent="0.2">
      <c r="A108" s="1" t="s">
        <v>4994</v>
      </c>
      <c r="B108" s="1" t="s">
        <v>145</v>
      </c>
      <c r="C108" s="1"/>
      <c r="D108" s="1"/>
      <c r="E108" s="1"/>
      <c r="F108" s="1"/>
      <c r="G108" s="1"/>
      <c r="H108" s="1" t="str">
        <f>"7800007805324"</f>
        <v>7800007805324</v>
      </c>
      <c r="I108" s="3">
        <v>0</v>
      </c>
      <c r="J108" s="3">
        <v>0</v>
      </c>
      <c r="K108" s="3">
        <v>19000</v>
      </c>
    </row>
    <row r="109" spans="1:11" x14ac:dyDescent="0.2">
      <c r="A109" s="1" t="s">
        <v>4994</v>
      </c>
      <c r="B109" s="1" t="s">
        <v>146</v>
      </c>
      <c r="C109" s="1"/>
      <c r="D109" s="1"/>
      <c r="E109" s="1"/>
      <c r="F109" s="1"/>
      <c r="G109" s="1"/>
      <c r="H109" s="1" t="str">
        <f>"ALERXO"</f>
        <v>ALERXO</v>
      </c>
      <c r="I109" s="3">
        <v>0</v>
      </c>
      <c r="J109" s="3">
        <v>0</v>
      </c>
      <c r="K109" s="3">
        <v>17000</v>
      </c>
    </row>
    <row r="110" spans="1:11" x14ac:dyDescent="0.2">
      <c r="A110" s="1" t="s">
        <v>4994</v>
      </c>
      <c r="B110" s="1" t="s">
        <v>147</v>
      </c>
      <c r="C110" s="1"/>
      <c r="D110" s="1"/>
      <c r="E110" s="1"/>
      <c r="F110" s="1"/>
      <c r="G110" s="1"/>
      <c r="H110" s="1" t="str">
        <f>"7800060117037"</f>
        <v>7800060117037</v>
      </c>
      <c r="I110" s="3">
        <v>0</v>
      </c>
      <c r="J110" s="3">
        <v>0</v>
      </c>
      <c r="K110" s="3">
        <v>12000</v>
      </c>
    </row>
    <row r="111" spans="1:11" x14ac:dyDescent="0.2">
      <c r="A111" s="1" t="s">
        <v>4994</v>
      </c>
      <c r="B111" s="1" t="s">
        <v>148</v>
      </c>
      <c r="C111" s="1"/>
      <c r="D111" s="1"/>
      <c r="E111" s="1"/>
      <c r="F111" s="1"/>
      <c r="G111" s="1"/>
      <c r="H111" s="1" t="str">
        <f>"7800060112315"</f>
        <v>7800060112315</v>
      </c>
      <c r="I111" s="3">
        <v>0</v>
      </c>
      <c r="J111" s="3">
        <v>0</v>
      </c>
      <c r="K111" s="3">
        <v>14000</v>
      </c>
    </row>
    <row r="112" spans="1:11" x14ac:dyDescent="0.2">
      <c r="A112" s="1" t="s">
        <v>4994</v>
      </c>
      <c r="B112" s="1" t="s">
        <v>149</v>
      </c>
      <c r="C112" s="1"/>
      <c r="D112" s="1"/>
      <c r="E112" s="1"/>
      <c r="F112" s="1"/>
      <c r="G112" s="1"/>
      <c r="H112" s="1" t="str">
        <f>"7800060112582"</f>
        <v>7800060112582</v>
      </c>
      <c r="I112" s="3">
        <v>4</v>
      </c>
      <c r="J112" s="3">
        <v>0</v>
      </c>
      <c r="K112" s="3">
        <v>16000</v>
      </c>
    </row>
    <row r="113" spans="1:11" x14ac:dyDescent="0.2">
      <c r="A113" s="1" t="s">
        <v>4994</v>
      </c>
      <c r="B113" s="1" t="s">
        <v>150</v>
      </c>
      <c r="C113" s="1"/>
      <c r="D113" s="1"/>
      <c r="E113" s="1"/>
      <c r="F113" s="1"/>
      <c r="G113" s="1"/>
      <c r="H113" s="1" t="str">
        <f>"7800060118782"</f>
        <v>7800060118782</v>
      </c>
      <c r="I113" s="3">
        <v>0</v>
      </c>
      <c r="J113" s="3">
        <v>0</v>
      </c>
      <c r="K113" s="3">
        <v>16000</v>
      </c>
    </row>
    <row r="114" spans="1:11" x14ac:dyDescent="0.2">
      <c r="A114" s="1" t="s">
        <v>4994</v>
      </c>
      <c r="B114" s="1" t="s">
        <v>151</v>
      </c>
      <c r="C114" s="1"/>
      <c r="D114" s="1"/>
      <c r="E114" s="1"/>
      <c r="F114" s="1"/>
      <c r="G114" s="1"/>
      <c r="H114" s="1" t="str">
        <f>"7800060119321"</f>
        <v>7800060119321</v>
      </c>
      <c r="I114" s="3">
        <v>0</v>
      </c>
      <c r="J114" s="3">
        <v>0</v>
      </c>
      <c r="K114" s="3">
        <v>25000</v>
      </c>
    </row>
    <row r="115" spans="1:11" x14ac:dyDescent="0.2">
      <c r="A115" s="1" t="s">
        <v>4994</v>
      </c>
      <c r="B115" s="1" t="s">
        <v>153</v>
      </c>
      <c r="C115" s="1"/>
      <c r="D115" s="1"/>
      <c r="E115" s="1"/>
      <c r="F115" s="1"/>
      <c r="G115" s="1"/>
      <c r="H115" s="1" t="str">
        <f>"7804650885733"</f>
        <v>7804650885733</v>
      </c>
      <c r="I115" s="3">
        <v>0</v>
      </c>
      <c r="J115" s="3">
        <v>0</v>
      </c>
      <c r="K115" s="3">
        <v>12500</v>
      </c>
    </row>
    <row r="116" spans="1:11" x14ac:dyDescent="0.2">
      <c r="A116" s="1" t="s">
        <v>4994</v>
      </c>
      <c r="B116" s="1" t="s">
        <v>154</v>
      </c>
      <c r="C116" s="1"/>
      <c r="D116" s="1"/>
      <c r="E116" s="1"/>
      <c r="F116" s="1"/>
      <c r="G116" s="1"/>
      <c r="H116" s="1" t="str">
        <f>"7804650884491"</f>
        <v>7804650884491</v>
      </c>
      <c r="I116" s="3">
        <v>7</v>
      </c>
      <c r="J116" s="3">
        <v>0</v>
      </c>
      <c r="K116" s="3">
        <v>15000</v>
      </c>
    </row>
    <row r="117" spans="1:11" x14ac:dyDescent="0.2">
      <c r="A117" s="1" t="s">
        <v>4994</v>
      </c>
      <c r="B117" s="1" t="s">
        <v>155</v>
      </c>
      <c r="C117" s="1"/>
      <c r="D117" s="1"/>
      <c r="E117" s="1"/>
      <c r="F117" s="1"/>
      <c r="G117" s="1"/>
      <c r="H117" s="1" t="str">
        <f>"5392000067417"</f>
        <v>5392000067417</v>
      </c>
      <c r="I117" s="3">
        <v>21</v>
      </c>
      <c r="J117" s="3">
        <v>0</v>
      </c>
      <c r="K117" s="3">
        <v>25000</v>
      </c>
    </row>
    <row r="118" spans="1:11" x14ac:dyDescent="0.2">
      <c r="A118" s="1" t="s">
        <v>4994</v>
      </c>
      <c r="B118" s="1" t="s">
        <v>156</v>
      </c>
      <c r="C118" s="1"/>
      <c r="D118" s="1"/>
      <c r="E118" s="1"/>
      <c r="F118" s="1"/>
      <c r="G118" s="1"/>
      <c r="H118" s="1" t="str">
        <f>"2010341003620"</f>
        <v>2010341003620</v>
      </c>
      <c r="I118" s="3">
        <v>0</v>
      </c>
      <c r="J118" s="3">
        <v>0</v>
      </c>
      <c r="K118" s="3">
        <v>7000</v>
      </c>
    </row>
    <row r="119" spans="1:11" x14ac:dyDescent="0.2">
      <c r="A119" s="1" t="s">
        <v>4994</v>
      </c>
      <c r="B119" s="1" t="s">
        <v>157</v>
      </c>
      <c r="C119" s="1"/>
      <c r="D119" s="1"/>
      <c r="E119" s="1"/>
      <c r="F119" s="1"/>
      <c r="G119" s="1"/>
      <c r="H119" s="1" t="str">
        <f>"2010121011050"</f>
        <v>2010121011050</v>
      </c>
      <c r="I119" s="3">
        <v>0</v>
      </c>
      <c r="J119" s="3">
        <v>0</v>
      </c>
      <c r="K119" s="3">
        <v>4500</v>
      </c>
    </row>
    <row r="120" spans="1:11" x14ac:dyDescent="0.2">
      <c r="A120" s="1" t="s">
        <v>4994</v>
      </c>
      <c r="B120" s="1" t="s">
        <v>159</v>
      </c>
      <c r="C120" s="1"/>
      <c r="D120" s="1"/>
      <c r="E120" s="1"/>
      <c r="F120" s="1"/>
      <c r="G120" s="1"/>
      <c r="H120" s="1" t="str">
        <f>"6920230614058"</f>
        <v>6920230614058</v>
      </c>
      <c r="I120" s="3">
        <v>2</v>
      </c>
      <c r="J120" s="3">
        <v>0</v>
      </c>
      <c r="K120" s="3">
        <v>3500</v>
      </c>
    </row>
    <row r="121" spans="1:11" x14ac:dyDescent="0.2">
      <c r="A121" s="1" t="s">
        <v>4994</v>
      </c>
      <c r="B121" s="1" t="s">
        <v>160</v>
      </c>
      <c r="C121" s="1"/>
      <c r="D121" s="1"/>
      <c r="E121" s="1"/>
      <c r="F121" s="1"/>
      <c r="G121" s="1"/>
      <c r="H121" s="1" t="str">
        <f>"7806545010237"</f>
        <v>7806545010237</v>
      </c>
      <c r="I121" s="3">
        <v>0</v>
      </c>
      <c r="J121" s="3">
        <v>0</v>
      </c>
      <c r="K121" s="3">
        <v>2500</v>
      </c>
    </row>
    <row r="122" spans="1:11" x14ac:dyDescent="0.2">
      <c r="A122" s="1" t="s">
        <v>4994</v>
      </c>
      <c r="B122" s="1" t="s">
        <v>161</v>
      </c>
      <c r="C122" s="1"/>
      <c r="D122" s="1"/>
      <c r="E122" s="1"/>
      <c r="F122" s="1"/>
      <c r="G122" s="1"/>
      <c r="H122" s="1" t="str">
        <f>"7806545010121"</f>
        <v>7806545010121</v>
      </c>
      <c r="I122" s="3">
        <v>0</v>
      </c>
      <c r="J122" s="3">
        <v>0</v>
      </c>
      <c r="K122" s="3">
        <v>1200</v>
      </c>
    </row>
    <row r="123" spans="1:11" x14ac:dyDescent="0.2">
      <c r="A123" s="1" t="s">
        <v>4994</v>
      </c>
      <c r="B123" s="1" t="s">
        <v>162</v>
      </c>
      <c r="C123" s="1"/>
      <c r="D123" s="1"/>
      <c r="E123" s="1"/>
      <c r="F123" s="1"/>
      <c r="G123" s="1"/>
      <c r="H123" s="1" t="str">
        <f>"7806545010138"</f>
        <v>7806545010138</v>
      </c>
      <c r="I123" s="3">
        <v>0</v>
      </c>
      <c r="J123" s="3">
        <v>0</v>
      </c>
      <c r="K123" s="3">
        <v>2500</v>
      </c>
    </row>
    <row r="124" spans="1:11" x14ac:dyDescent="0.2">
      <c r="A124" s="1" t="s">
        <v>4994</v>
      </c>
      <c r="B124" s="1" t="s">
        <v>163</v>
      </c>
      <c r="C124" s="1"/>
      <c r="D124" s="1"/>
      <c r="E124" s="1"/>
      <c r="F124" s="1"/>
      <c r="G124" s="1"/>
      <c r="H124" s="1" t="str">
        <f>"7805633013419"</f>
        <v>7805633013419</v>
      </c>
      <c r="I124" s="3">
        <v>18</v>
      </c>
      <c r="J124" s="3">
        <v>0</v>
      </c>
      <c r="K124" s="3">
        <v>4000</v>
      </c>
    </row>
    <row r="125" spans="1:11" x14ac:dyDescent="0.2">
      <c r="A125" s="1" t="s">
        <v>4994</v>
      </c>
      <c r="B125" s="1" t="s">
        <v>164</v>
      </c>
      <c r="C125" s="1"/>
      <c r="D125" s="1"/>
      <c r="E125" s="1"/>
      <c r="F125" s="1"/>
      <c r="G125" s="1"/>
      <c r="H125" s="1" t="str">
        <f>"7805633013433"</f>
        <v>7805633013433</v>
      </c>
      <c r="I125" s="3">
        <v>49</v>
      </c>
      <c r="J125" s="3">
        <v>0</v>
      </c>
      <c r="K125" s="3">
        <v>600</v>
      </c>
    </row>
    <row r="126" spans="1:11" x14ac:dyDescent="0.2">
      <c r="A126" s="1" t="s">
        <v>4994</v>
      </c>
      <c r="B126" s="1" t="s">
        <v>165</v>
      </c>
      <c r="C126" s="1"/>
      <c r="D126" s="1"/>
      <c r="E126" s="1"/>
      <c r="F126" s="1"/>
      <c r="G126" s="1"/>
      <c r="H126" s="1" t="str">
        <f>"7806545030198"</f>
        <v>7806545030198</v>
      </c>
      <c r="I126" s="3">
        <v>0</v>
      </c>
      <c r="J126" s="3">
        <v>0</v>
      </c>
      <c r="K126" s="3">
        <v>2500</v>
      </c>
    </row>
    <row r="127" spans="1:11" x14ac:dyDescent="0.2">
      <c r="A127" s="1" t="s">
        <v>4994</v>
      </c>
      <c r="B127" s="1" t="s">
        <v>166</v>
      </c>
      <c r="C127" s="1"/>
      <c r="D127" s="1"/>
      <c r="E127" s="1"/>
      <c r="F127" s="1"/>
      <c r="G127" s="1"/>
      <c r="H127" s="1" t="str">
        <f>"48341000808"</f>
        <v>48341000808</v>
      </c>
      <c r="I127" s="3">
        <v>0</v>
      </c>
      <c r="J127" s="3">
        <v>0</v>
      </c>
      <c r="K127" s="3">
        <v>1500</v>
      </c>
    </row>
    <row r="128" spans="1:11" x14ac:dyDescent="0.2">
      <c r="A128" s="1" t="s">
        <v>4994</v>
      </c>
      <c r="B128" s="1" t="s">
        <v>167</v>
      </c>
      <c r="C128" s="1"/>
      <c r="D128" s="1"/>
      <c r="E128" s="1"/>
      <c r="F128" s="1"/>
      <c r="G128" s="1"/>
      <c r="H128" s="1" t="str">
        <f>"10030448"</f>
        <v>10030448</v>
      </c>
      <c r="I128" s="3">
        <v>0</v>
      </c>
      <c r="J128" s="3">
        <v>0</v>
      </c>
      <c r="K128" s="3">
        <v>2000</v>
      </c>
    </row>
    <row r="129" spans="1:11" x14ac:dyDescent="0.2">
      <c r="A129" s="1" t="s">
        <v>4994</v>
      </c>
      <c r="B129" s="1" t="s">
        <v>168</v>
      </c>
      <c r="C129" s="1"/>
      <c r="D129" s="1"/>
      <c r="E129" s="1"/>
      <c r="F129" s="1"/>
      <c r="G129" s="1"/>
      <c r="H129" s="1" t="str">
        <f>"7805190000303"</f>
        <v>7805190000303</v>
      </c>
      <c r="I129" s="3">
        <v>0</v>
      </c>
      <c r="J129" s="3">
        <v>0</v>
      </c>
      <c r="K129" s="3">
        <v>2500</v>
      </c>
    </row>
    <row r="130" spans="1:11" x14ac:dyDescent="0.2">
      <c r="A130" s="1" t="s">
        <v>4994</v>
      </c>
      <c r="B130" s="1" t="s">
        <v>169</v>
      </c>
      <c r="C130" s="1"/>
      <c r="D130" s="1"/>
      <c r="E130" s="1"/>
      <c r="F130" s="1"/>
      <c r="G130" s="1"/>
      <c r="H130" s="1" t="str">
        <f>"7806545010329"</f>
        <v>7806545010329</v>
      </c>
      <c r="I130" s="3">
        <v>0</v>
      </c>
      <c r="J130" s="3">
        <v>0</v>
      </c>
      <c r="K130" s="3">
        <v>1200</v>
      </c>
    </row>
    <row r="131" spans="1:11" x14ac:dyDescent="0.2">
      <c r="A131" s="1" t="s">
        <v>4994</v>
      </c>
      <c r="B131" s="1" t="s">
        <v>171</v>
      </c>
      <c r="C131" s="1"/>
      <c r="D131" s="1"/>
      <c r="E131" s="1"/>
      <c r="F131" s="1"/>
      <c r="G131" s="1"/>
      <c r="H131" s="1" t="str">
        <f>"7800004003693"</f>
        <v>7800004003693</v>
      </c>
      <c r="I131" s="3">
        <v>6</v>
      </c>
      <c r="J131" s="3">
        <v>0</v>
      </c>
      <c r="K131" s="3">
        <v>8500</v>
      </c>
    </row>
    <row r="132" spans="1:11" x14ac:dyDescent="0.2">
      <c r="A132" s="1" t="s">
        <v>4994</v>
      </c>
      <c r="B132" s="1" t="s">
        <v>173</v>
      </c>
      <c r="C132" s="1"/>
      <c r="D132" s="1"/>
      <c r="E132" s="1"/>
      <c r="F132" s="1"/>
      <c r="G132" s="1"/>
      <c r="H132" s="1" t="str">
        <f>"7804918410356"</f>
        <v>7804918410356</v>
      </c>
      <c r="I132" s="3">
        <v>11</v>
      </c>
      <c r="J132" s="3">
        <v>0</v>
      </c>
      <c r="K132" s="3">
        <v>8500</v>
      </c>
    </row>
    <row r="133" spans="1:11" x14ac:dyDescent="0.2">
      <c r="A133" s="1" t="s">
        <v>4994</v>
      </c>
      <c r="B133" s="1" t="s">
        <v>174</v>
      </c>
      <c r="C133" s="1"/>
      <c r="D133" s="1"/>
      <c r="E133" s="1"/>
      <c r="F133" s="1"/>
      <c r="G133" s="1"/>
      <c r="H133" s="1" t="str">
        <f>"7800056001463"</f>
        <v>7800056001463</v>
      </c>
      <c r="I133" s="3">
        <v>0</v>
      </c>
      <c r="J133" s="3">
        <v>0</v>
      </c>
      <c r="K133" s="3">
        <v>27000</v>
      </c>
    </row>
    <row r="134" spans="1:11" x14ac:dyDescent="0.2">
      <c r="A134" s="1" t="s">
        <v>4994</v>
      </c>
      <c r="B134" s="1" t="s">
        <v>175</v>
      </c>
      <c r="C134" s="1"/>
      <c r="D134" s="1"/>
      <c r="E134" s="1"/>
      <c r="F134" s="1"/>
      <c r="G134" s="1"/>
      <c r="H134" s="1" t="str">
        <f>"2010380011075"</f>
        <v>2010380011075</v>
      </c>
      <c r="I134" s="3">
        <v>0</v>
      </c>
      <c r="J134" s="3">
        <v>0</v>
      </c>
      <c r="K134" s="3">
        <v>7000</v>
      </c>
    </row>
    <row r="135" spans="1:11" x14ac:dyDescent="0.2">
      <c r="A135" s="1" t="s">
        <v>4994</v>
      </c>
      <c r="B135" s="1" t="s">
        <v>176</v>
      </c>
      <c r="C135" s="1"/>
      <c r="D135" s="1"/>
      <c r="E135" s="1"/>
      <c r="F135" s="1"/>
      <c r="G135" s="1"/>
      <c r="H135" s="1" t="str">
        <f>"9876795248658"</f>
        <v>9876795248658</v>
      </c>
      <c r="I135" s="3">
        <v>0</v>
      </c>
      <c r="J135" s="3">
        <v>0</v>
      </c>
      <c r="K135" s="3">
        <v>500</v>
      </c>
    </row>
    <row r="136" spans="1:11" x14ac:dyDescent="0.2">
      <c r="A136" s="1" t="s">
        <v>4994</v>
      </c>
      <c r="B136" s="1" t="s">
        <v>186</v>
      </c>
      <c r="C136" s="1"/>
      <c r="D136" s="1"/>
      <c r="E136" s="1"/>
      <c r="F136" s="1"/>
      <c r="G136" s="1"/>
      <c r="H136" s="1" t="str">
        <f>"7805118052308"</f>
        <v>7805118052308</v>
      </c>
      <c r="I136" s="3">
        <v>0</v>
      </c>
      <c r="J136" s="3">
        <v>0</v>
      </c>
      <c r="K136" s="3">
        <v>6000</v>
      </c>
    </row>
    <row r="137" spans="1:11" x14ac:dyDescent="0.2">
      <c r="A137" s="1" t="s">
        <v>4994</v>
      </c>
      <c r="B137" s="1" t="s">
        <v>187</v>
      </c>
      <c r="C137" s="1"/>
      <c r="D137" s="1"/>
      <c r="E137" s="1"/>
      <c r="F137" s="1"/>
      <c r="G137" s="1"/>
      <c r="H137" s="1" t="str">
        <f>"7805118052100"</f>
        <v>7805118052100</v>
      </c>
      <c r="I137" s="3">
        <v>0</v>
      </c>
      <c r="J137" s="3">
        <v>0</v>
      </c>
      <c r="K137" s="3">
        <v>34000</v>
      </c>
    </row>
    <row r="138" spans="1:11" x14ac:dyDescent="0.2">
      <c r="A138" s="1" t="s">
        <v>4994</v>
      </c>
      <c r="B138" s="1" t="s">
        <v>188</v>
      </c>
      <c r="C138" s="1"/>
      <c r="D138" s="1"/>
      <c r="E138" s="1"/>
      <c r="F138" s="1"/>
      <c r="G138" s="1"/>
      <c r="H138" s="1" t="str">
        <f>"7805118058720"</f>
        <v>7805118058720</v>
      </c>
      <c r="I138" s="3">
        <v>0</v>
      </c>
      <c r="J138" s="3">
        <v>0</v>
      </c>
      <c r="K138" s="3">
        <v>2800</v>
      </c>
    </row>
    <row r="139" spans="1:11" x14ac:dyDescent="0.2">
      <c r="A139" s="1" t="s">
        <v>4994</v>
      </c>
      <c r="B139" s="1" t="s">
        <v>189</v>
      </c>
      <c r="C139" s="1"/>
      <c r="D139" s="1"/>
      <c r="E139" s="1"/>
      <c r="F139" s="1"/>
      <c r="G139" s="1"/>
      <c r="H139" s="1" t="str">
        <f>"7805118024602"</f>
        <v>7805118024602</v>
      </c>
      <c r="I139" s="3">
        <v>0</v>
      </c>
      <c r="J139" s="3">
        <v>0</v>
      </c>
      <c r="K139" s="3">
        <v>1500</v>
      </c>
    </row>
    <row r="140" spans="1:11" x14ac:dyDescent="0.2">
      <c r="A140" s="1" t="s">
        <v>4994</v>
      </c>
      <c r="B140" s="1" t="s">
        <v>190</v>
      </c>
      <c r="C140" s="1"/>
      <c r="D140" s="1"/>
      <c r="E140" s="1"/>
      <c r="F140" s="1"/>
      <c r="G140" s="1"/>
      <c r="H140" s="1" t="str">
        <f>"7800059002511"</f>
        <v>7800059002511</v>
      </c>
      <c r="I140" s="3">
        <v>1</v>
      </c>
      <c r="J140" s="3">
        <v>0</v>
      </c>
      <c r="K140" s="3">
        <v>26000</v>
      </c>
    </row>
    <row r="141" spans="1:11" x14ac:dyDescent="0.2">
      <c r="A141" s="1" t="s">
        <v>4994</v>
      </c>
      <c r="B141" s="1" t="s">
        <v>191</v>
      </c>
      <c r="C141" s="1"/>
      <c r="D141" s="1"/>
      <c r="E141" s="1"/>
      <c r="F141" s="1"/>
      <c r="G141" s="1"/>
      <c r="H141" s="1" t="str">
        <f>"7703281002185"</f>
        <v>7703281002185</v>
      </c>
      <c r="I141" s="3">
        <v>0</v>
      </c>
      <c r="J141" s="3">
        <v>0</v>
      </c>
      <c r="K141" s="3">
        <v>29000</v>
      </c>
    </row>
    <row r="142" spans="1:11" x14ac:dyDescent="0.2">
      <c r="A142" s="1" t="s">
        <v>4994</v>
      </c>
      <c r="B142" s="1" t="s">
        <v>194</v>
      </c>
      <c r="C142" s="1"/>
      <c r="D142" s="1"/>
      <c r="E142" s="1"/>
      <c r="F142" s="1"/>
      <c r="G142" s="1"/>
      <c r="H142" s="1" t="str">
        <f>"8902281613981"</f>
        <v>8902281613981</v>
      </c>
      <c r="I142" s="3">
        <v>0</v>
      </c>
      <c r="J142" s="3">
        <v>0</v>
      </c>
      <c r="K142" s="3">
        <v>1000</v>
      </c>
    </row>
    <row r="143" spans="1:11" x14ac:dyDescent="0.2">
      <c r="A143" s="1" t="s">
        <v>4994</v>
      </c>
      <c r="B143" s="1" t="s">
        <v>196</v>
      </c>
      <c r="C143" s="1"/>
      <c r="D143" s="1"/>
      <c r="E143" s="1"/>
      <c r="F143" s="1"/>
      <c r="G143" s="1"/>
      <c r="H143" s="1" t="str">
        <f>"7800007368386"</f>
        <v>7800007368386</v>
      </c>
      <c r="I143" s="3">
        <v>62</v>
      </c>
      <c r="J143" s="3">
        <v>0</v>
      </c>
      <c r="K143" s="3">
        <v>1000</v>
      </c>
    </row>
    <row r="144" spans="1:11" x14ac:dyDescent="0.2">
      <c r="A144" s="1" t="s">
        <v>4994</v>
      </c>
      <c r="B144" s="1" t="s">
        <v>197</v>
      </c>
      <c r="C144" s="1"/>
      <c r="D144" s="1"/>
      <c r="E144" s="1"/>
      <c r="F144" s="1"/>
      <c r="G144" s="1"/>
      <c r="H144" s="1" t="str">
        <f>"7891317012007"</f>
        <v>7891317012007</v>
      </c>
      <c r="I144" s="3">
        <v>0</v>
      </c>
      <c r="J144" s="3">
        <v>0</v>
      </c>
      <c r="K144" s="3">
        <v>23000</v>
      </c>
    </row>
    <row r="145" spans="1:11" x14ac:dyDescent="0.2">
      <c r="A145" s="1" t="s">
        <v>4994</v>
      </c>
      <c r="B145" s="1" t="s">
        <v>198</v>
      </c>
      <c r="C145" s="1"/>
      <c r="D145" s="1"/>
      <c r="E145" s="1"/>
      <c r="F145" s="1"/>
      <c r="G145" s="1"/>
      <c r="H145" s="1" t="str">
        <f>"7800060122215"</f>
        <v>7800060122215</v>
      </c>
      <c r="I145" s="3">
        <v>0</v>
      </c>
      <c r="J145" s="3">
        <v>0</v>
      </c>
      <c r="K145" s="3">
        <v>15000</v>
      </c>
    </row>
    <row r="146" spans="1:11" x14ac:dyDescent="0.2">
      <c r="A146" s="1" t="s">
        <v>4994</v>
      </c>
      <c r="B146" s="1" t="s">
        <v>199</v>
      </c>
      <c r="C146" s="1"/>
      <c r="D146" s="1"/>
      <c r="E146" s="1"/>
      <c r="F146" s="1"/>
      <c r="G146" s="1"/>
      <c r="H146" s="1" t="str">
        <f>"7800060122383"</f>
        <v>7800060122383</v>
      </c>
      <c r="I146" s="3">
        <v>0</v>
      </c>
      <c r="J146" s="3">
        <v>0</v>
      </c>
      <c r="K146" s="3">
        <v>14000</v>
      </c>
    </row>
    <row r="147" spans="1:11" x14ac:dyDescent="0.2">
      <c r="A147" s="1" t="s">
        <v>4994</v>
      </c>
      <c r="B147" s="1" t="s">
        <v>200</v>
      </c>
      <c r="C147" s="1"/>
      <c r="D147" s="1"/>
      <c r="E147" s="1"/>
      <c r="F147" s="1"/>
      <c r="G147" s="1"/>
      <c r="H147" s="1" t="str">
        <f>"7800060122116"</f>
        <v>7800060122116</v>
      </c>
      <c r="I147" s="3">
        <v>7</v>
      </c>
      <c r="J147" s="3">
        <v>0</v>
      </c>
      <c r="K147" s="3">
        <v>15000</v>
      </c>
    </row>
    <row r="148" spans="1:11" x14ac:dyDescent="0.2">
      <c r="A148" s="1" t="s">
        <v>4994</v>
      </c>
      <c r="B148" s="1" t="s">
        <v>201</v>
      </c>
      <c r="C148" s="1"/>
      <c r="D148" s="1"/>
      <c r="E148" s="1"/>
      <c r="F148" s="1"/>
      <c r="G148" s="1"/>
      <c r="H148" s="1" t="str">
        <f>"9980808884440"</f>
        <v>9980808884440</v>
      </c>
      <c r="I148" s="3">
        <v>0</v>
      </c>
      <c r="J148" s="3">
        <v>0</v>
      </c>
      <c r="K148" s="3">
        <v>1000</v>
      </c>
    </row>
    <row r="149" spans="1:11" x14ac:dyDescent="0.2">
      <c r="A149" s="1" t="s">
        <v>4994</v>
      </c>
      <c r="B149" s="1" t="s">
        <v>202</v>
      </c>
      <c r="C149" s="1"/>
      <c r="D149" s="1"/>
      <c r="E149" s="1"/>
      <c r="F149" s="1"/>
      <c r="G149" s="1"/>
      <c r="H149" s="1" t="str">
        <f>"9778969688546"</f>
        <v>9778969688546</v>
      </c>
      <c r="I149" s="3">
        <v>0</v>
      </c>
      <c r="J149" s="3">
        <v>0</v>
      </c>
      <c r="K149" s="3">
        <v>700</v>
      </c>
    </row>
    <row r="150" spans="1:11" x14ac:dyDescent="0.2">
      <c r="A150" s="1" t="s">
        <v>4994</v>
      </c>
      <c r="B150" s="1" t="s">
        <v>204</v>
      </c>
      <c r="C150" s="1"/>
      <c r="D150" s="1"/>
      <c r="E150" s="1"/>
      <c r="F150" s="1"/>
      <c r="G150" s="1"/>
      <c r="H150" s="1" t="str">
        <f>"7590002012383"</f>
        <v>7590002012383</v>
      </c>
      <c r="I150" s="3">
        <v>9</v>
      </c>
      <c r="J150" s="3">
        <v>0</v>
      </c>
      <c r="K150" s="3">
        <v>2000</v>
      </c>
    </row>
    <row r="151" spans="1:11" x14ac:dyDescent="0.2">
      <c r="A151" s="1" t="s">
        <v>4994</v>
      </c>
      <c r="B151" s="1" t="s">
        <v>206</v>
      </c>
      <c r="C151" s="1"/>
      <c r="D151" s="1"/>
      <c r="E151" s="1"/>
      <c r="F151" s="1"/>
      <c r="G151" s="1"/>
      <c r="H151" s="1" t="str">
        <f>"7891317148942"</f>
        <v>7891317148942</v>
      </c>
      <c r="I151" s="3">
        <v>0</v>
      </c>
      <c r="J151" s="3">
        <v>0</v>
      </c>
      <c r="K151" s="3">
        <v>22000</v>
      </c>
    </row>
    <row r="152" spans="1:11" x14ac:dyDescent="0.2">
      <c r="A152" s="1" t="s">
        <v>4994</v>
      </c>
      <c r="B152" s="1" t="s">
        <v>207</v>
      </c>
      <c r="C152" s="1"/>
      <c r="D152" s="1"/>
      <c r="E152" s="1"/>
      <c r="F152" s="1"/>
      <c r="G152" s="1"/>
      <c r="H152" s="1" t="str">
        <f>"7804947001693"</f>
        <v>7804947001693</v>
      </c>
      <c r="I152" s="3">
        <v>0</v>
      </c>
      <c r="J152" s="3">
        <v>0</v>
      </c>
      <c r="K152" s="3">
        <v>2000</v>
      </c>
    </row>
    <row r="153" spans="1:11" x14ac:dyDescent="0.2">
      <c r="A153" s="1" t="s">
        <v>4994</v>
      </c>
      <c r="B153" s="1" t="s">
        <v>208</v>
      </c>
      <c r="C153" s="1"/>
      <c r="D153" s="1"/>
      <c r="E153" s="1"/>
      <c r="F153" s="1"/>
      <c r="G153" s="1"/>
      <c r="H153" s="1" t="str">
        <f>"7804947002362"</f>
        <v>7804947002362</v>
      </c>
      <c r="I153" s="3">
        <v>0</v>
      </c>
      <c r="J153" s="3">
        <v>0</v>
      </c>
      <c r="K153" s="3">
        <v>2000</v>
      </c>
    </row>
    <row r="154" spans="1:11" x14ac:dyDescent="0.2">
      <c r="A154" s="1" t="s">
        <v>4994</v>
      </c>
      <c r="B154" s="1" t="s">
        <v>209</v>
      </c>
      <c r="C154" s="1"/>
      <c r="D154" s="1"/>
      <c r="E154" s="1"/>
      <c r="F154" s="1"/>
      <c r="G154" s="1"/>
      <c r="H154" s="1" t="str">
        <f>"7800007782120"</f>
        <v>7800007782120</v>
      </c>
      <c r="I154" s="3">
        <v>2</v>
      </c>
      <c r="J154" s="3">
        <v>0</v>
      </c>
      <c r="K154" s="3">
        <v>24000</v>
      </c>
    </row>
    <row r="155" spans="1:11" x14ac:dyDescent="0.2">
      <c r="A155" s="1" t="s">
        <v>4994</v>
      </c>
      <c r="B155" s="1" t="s">
        <v>213</v>
      </c>
      <c r="C155" s="1"/>
      <c r="D155" s="1"/>
      <c r="E155" s="1"/>
      <c r="F155" s="1"/>
      <c r="G155" s="1"/>
      <c r="H155" s="1" t="str">
        <f>"8903831007601"</f>
        <v>8903831007601</v>
      </c>
      <c r="I155" s="3">
        <v>0</v>
      </c>
      <c r="J155" s="3">
        <v>0</v>
      </c>
      <c r="K155" s="3">
        <v>1500</v>
      </c>
    </row>
    <row r="156" spans="1:11" x14ac:dyDescent="0.2">
      <c r="A156" s="1" t="s">
        <v>4994</v>
      </c>
      <c r="B156" s="1" t="s">
        <v>215</v>
      </c>
      <c r="C156" s="1"/>
      <c r="D156" s="1"/>
      <c r="E156" s="1"/>
      <c r="F156" s="1"/>
      <c r="G156" s="1"/>
      <c r="H156" s="1" t="str">
        <f>"71603002142"</f>
        <v>71603002142</v>
      </c>
      <c r="I156" s="3">
        <v>0</v>
      </c>
      <c r="J156" s="3">
        <v>0</v>
      </c>
      <c r="K156" s="3">
        <v>1200</v>
      </c>
    </row>
    <row r="157" spans="1:11" x14ac:dyDescent="0.2">
      <c r="A157" s="1" t="s">
        <v>4994</v>
      </c>
      <c r="B157" s="1" t="s">
        <v>216</v>
      </c>
      <c r="C157" s="1"/>
      <c r="D157" s="1"/>
      <c r="E157" s="1"/>
      <c r="F157" s="1"/>
      <c r="G157" s="1"/>
      <c r="H157" s="1" t="str">
        <f>"7806545010114"</f>
        <v>7806545010114</v>
      </c>
      <c r="I157" s="3">
        <v>0</v>
      </c>
      <c r="J157" s="3">
        <v>0</v>
      </c>
      <c r="K157" s="3">
        <v>500</v>
      </c>
    </row>
    <row r="158" spans="1:11" x14ac:dyDescent="0.2">
      <c r="A158" s="1" t="s">
        <v>4994</v>
      </c>
      <c r="B158" s="1" t="s">
        <v>229</v>
      </c>
      <c r="C158" s="1"/>
      <c r="D158" s="1"/>
      <c r="E158" s="1"/>
      <c r="F158" s="1"/>
      <c r="G158" s="1"/>
      <c r="H158" s="1" t="str">
        <f>"7804945049918"</f>
        <v>7804945049918</v>
      </c>
      <c r="I158" s="3">
        <v>1</v>
      </c>
      <c r="J158" s="3">
        <v>0</v>
      </c>
      <c r="K158" s="3">
        <v>4500</v>
      </c>
    </row>
    <row r="159" spans="1:11" x14ac:dyDescent="0.2">
      <c r="A159" s="1" t="s">
        <v>4994</v>
      </c>
      <c r="B159" s="1" t="s">
        <v>230</v>
      </c>
      <c r="C159" s="1"/>
      <c r="D159" s="1"/>
      <c r="E159" s="1"/>
      <c r="F159" s="1"/>
      <c r="G159" s="1"/>
      <c r="H159" s="1" t="str">
        <f>"75898157196267"</f>
        <v>75898157196267</v>
      </c>
      <c r="I159" s="3">
        <v>6</v>
      </c>
      <c r="J159" s="3">
        <v>0</v>
      </c>
      <c r="K159" s="3">
        <v>3500</v>
      </c>
    </row>
    <row r="160" spans="1:11" x14ac:dyDescent="0.2">
      <c r="A160" s="1" t="s">
        <v>4994</v>
      </c>
      <c r="B160" s="1" t="s">
        <v>231</v>
      </c>
      <c r="C160" s="1"/>
      <c r="D160" s="1"/>
      <c r="E160" s="1"/>
      <c r="F160" s="1"/>
      <c r="G160" s="1"/>
      <c r="H160" s="1" t="str">
        <f>"7804945050198"</f>
        <v>7804945050198</v>
      </c>
      <c r="I160" s="3">
        <v>5</v>
      </c>
      <c r="J160" s="3">
        <v>0</v>
      </c>
      <c r="K160" s="3">
        <v>2500</v>
      </c>
    </row>
    <row r="161" spans="1:11" x14ac:dyDescent="0.2">
      <c r="A161" s="1" t="s">
        <v>4994</v>
      </c>
      <c r="B161" s="1" t="s">
        <v>232</v>
      </c>
      <c r="C161" s="1"/>
      <c r="D161" s="1"/>
      <c r="E161" s="1"/>
      <c r="F161" s="1"/>
      <c r="G161" s="1"/>
      <c r="H161" s="1" t="str">
        <f>"7800007782397"</f>
        <v>7800007782397</v>
      </c>
      <c r="I161" s="3">
        <v>0</v>
      </c>
      <c r="J161" s="3">
        <v>0</v>
      </c>
      <c r="K161" s="3">
        <v>13000</v>
      </c>
    </row>
    <row r="162" spans="1:11" x14ac:dyDescent="0.2">
      <c r="A162" s="1" t="s">
        <v>4994</v>
      </c>
      <c r="B162" s="1" t="s">
        <v>233</v>
      </c>
      <c r="C162" s="1"/>
      <c r="D162" s="1"/>
      <c r="E162" s="1"/>
      <c r="F162" s="1"/>
      <c r="G162" s="1"/>
      <c r="H162" s="1" t="str">
        <f>"7800007782472"</f>
        <v>7800007782472</v>
      </c>
      <c r="I162" s="3">
        <v>33</v>
      </c>
      <c r="J162" s="3">
        <v>0</v>
      </c>
      <c r="K162" s="3">
        <v>24000</v>
      </c>
    </row>
    <row r="163" spans="1:11" x14ac:dyDescent="0.2">
      <c r="A163" s="1" t="s">
        <v>4994</v>
      </c>
      <c r="B163" s="1" t="s">
        <v>234</v>
      </c>
      <c r="C163" s="1"/>
      <c r="D163" s="1"/>
      <c r="E163" s="1"/>
      <c r="F163" s="1"/>
      <c r="G163" s="1"/>
      <c r="H163" s="1" t="str">
        <f>"7800060111264"</f>
        <v>7800060111264</v>
      </c>
      <c r="I163" s="3">
        <v>4</v>
      </c>
      <c r="J163" s="3">
        <v>0</v>
      </c>
      <c r="K163" s="3">
        <v>11500</v>
      </c>
    </row>
    <row r="164" spans="1:11" x14ac:dyDescent="0.2">
      <c r="A164" s="1" t="s">
        <v>4994</v>
      </c>
      <c r="B164" s="1" t="s">
        <v>235</v>
      </c>
      <c r="C164" s="1"/>
      <c r="D164" s="1"/>
      <c r="E164" s="1"/>
      <c r="F164" s="1"/>
      <c r="G164" s="1"/>
      <c r="H164" s="1" t="str">
        <f>"7800060111349"</f>
        <v>7800060111349</v>
      </c>
      <c r="I164" s="3">
        <v>8</v>
      </c>
      <c r="J164" s="3">
        <v>0</v>
      </c>
      <c r="K164" s="3">
        <v>20000</v>
      </c>
    </row>
    <row r="165" spans="1:11" x14ac:dyDescent="0.2">
      <c r="A165" s="1" t="s">
        <v>4994</v>
      </c>
      <c r="B165" s="1" t="s">
        <v>236</v>
      </c>
      <c r="C165" s="1"/>
      <c r="D165" s="1"/>
      <c r="E165" s="1"/>
      <c r="F165" s="1"/>
      <c r="G165" s="1"/>
      <c r="H165" s="1" t="str">
        <f>"7800060017245"</f>
        <v>7800060017245</v>
      </c>
      <c r="I165" s="3">
        <v>0</v>
      </c>
      <c r="J165" s="3">
        <v>0</v>
      </c>
      <c r="K165" s="3">
        <v>16000</v>
      </c>
    </row>
    <row r="166" spans="1:11" x14ac:dyDescent="0.2">
      <c r="A166" s="1" t="s">
        <v>4994</v>
      </c>
      <c r="B166" s="1" t="s">
        <v>237</v>
      </c>
      <c r="C166" s="1"/>
      <c r="D166" s="1"/>
      <c r="E166" s="1"/>
      <c r="F166" s="1"/>
      <c r="G166" s="1"/>
      <c r="H166" s="1" t="str">
        <f>"7800060156012"</f>
        <v>7800060156012</v>
      </c>
      <c r="I166" s="3">
        <v>1</v>
      </c>
      <c r="J166" s="3">
        <v>0</v>
      </c>
      <c r="K166" s="3">
        <v>21000</v>
      </c>
    </row>
    <row r="167" spans="1:11" x14ac:dyDescent="0.2">
      <c r="A167" s="1" t="s">
        <v>4994</v>
      </c>
      <c r="B167" s="1" t="s">
        <v>238</v>
      </c>
      <c r="C167" s="1"/>
      <c r="D167" s="1"/>
      <c r="E167" s="1"/>
      <c r="F167" s="1"/>
      <c r="G167" s="1"/>
      <c r="H167" s="1" t="str">
        <f>"7800060119918"</f>
        <v>7800060119918</v>
      </c>
      <c r="I167" s="3">
        <v>2</v>
      </c>
      <c r="J167" s="3">
        <v>0</v>
      </c>
      <c r="K167" s="3">
        <v>19000</v>
      </c>
    </row>
    <row r="168" spans="1:11" x14ac:dyDescent="0.2">
      <c r="A168" s="1" t="s">
        <v>4994</v>
      </c>
      <c r="B168" s="1" t="s">
        <v>239</v>
      </c>
      <c r="C168" s="1"/>
      <c r="D168" s="1"/>
      <c r="E168" s="1"/>
      <c r="F168" s="1"/>
      <c r="G168" s="1"/>
      <c r="H168" s="1" t="str">
        <f>"7800060120099"</f>
        <v>7800060120099</v>
      </c>
      <c r="I168" s="3">
        <v>1</v>
      </c>
      <c r="J168" s="3">
        <v>0</v>
      </c>
      <c r="K168" s="3">
        <v>14000</v>
      </c>
    </row>
    <row r="169" spans="1:11" x14ac:dyDescent="0.2">
      <c r="A169" s="1" t="s">
        <v>4994</v>
      </c>
      <c r="B169" s="1" t="s">
        <v>240</v>
      </c>
      <c r="C169" s="1"/>
      <c r="D169" s="1"/>
      <c r="E169" s="1"/>
      <c r="F169" s="1"/>
      <c r="G169" s="1"/>
      <c r="H169" s="1" t="str">
        <f>"7804620833818"</f>
        <v>7804620833818</v>
      </c>
      <c r="I169" s="3">
        <v>50</v>
      </c>
      <c r="J169" s="3">
        <v>0</v>
      </c>
      <c r="K169" s="3">
        <v>6000</v>
      </c>
    </row>
    <row r="170" spans="1:11" x14ac:dyDescent="0.2">
      <c r="A170" s="1" t="s">
        <v>4994</v>
      </c>
      <c r="B170" s="1" t="s">
        <v>242</v>
      </c>
      <c r="C170" s="1"/>
      <c r="D170" s="1"/>
      <c r="E170" s="1"/>
      <c r="F170" s="1"/>
      <c r="G170" s="1"/>
      <c r="H170" s="1" t="str">
        <f>"7804620833535"</f>
        <v>7804620833535</v>
      </c>
      <c r="I170" s="3">
        <v>50</v>
      </c>
      <c r="J170" s="3">
        <v>0</v>
      </c>
      <c r="K170" s="3">
        <v>5000</v>
      </c>
    </row>
    <row r="171" spans="1:11" x14ac:dyDescent="0.2">
      <c r="A171" s="1" t="s">
        <v>4994</v>
      </c>
      <c r="B171" s="1" t="s">
        <v>251</v>
      </c>
      <c r="C171" s="1"/>
      <c r="D171" s="1"/>
      <c r="E171" s="1"/>
      <c r="F171" s="1"/>
      <c r="G171" s="1"/>
      <c r="H171" s="1" t="str">
        <f>"7804650885306"</f>
        <v>7804650885306</v>
      </c>
      <c r="I171" s="3">
        <v>0</v>
      </c>
      <c r="J171" s="3">
        <v>0</v>
      </c>
      <c r="K171" s="3">
        <v>5500</v>
      </c>
    </row>
    <row r="172" spans="1:11" x14ac:dyDescent="0.2">
      <c r="A172" s="1" t="s">
        <v>4994</v>
      </c>
      <c r="B172" s="1" t="s">
        <v>251</v>
      </c>
      <c r="C172" s="1"/>
      <c r="D172" s="1"/>
      <c r="E172" s="1"/>
      <c r="F172" s="1"/>
      <c r="G172" s="1"/>
      <c r="H172" s="1" t="str">
        <f>"75613043935614"</f>
        <v>75613043935614</v>
      </c>
      <c r="I172" s="3">
        <v>0</v>
      </c>
      <c r="J172" s="3">
        <v>0</v>
      </c>
      <c r="K172" s="3">
        <v>5500</v>
      </c>
    </row>
    <row r="173" spans="1:11" x14ac:dyDescent="0.2">
      <c r="A173" s="1" t="s">
        <v>4994</v>
      </c>
      <c r="B173" s="1" t="s">
        <v>255</v>
      </c>
      <c r="C173" s="1"/>
      <c r="D173" s="1"/>
      <c r="E173" s="1"/>
      <c r="F173" s="1"/>
      <c r="G173" s="1"/>
      <c r="H173" s="1" t="str">
        <f>"7804640560640"</f>
        <v>7804640560640</v>
      </c>
      <c r="I173" s="3">
        <v>0</v>
      </c>
      <c r="J173" s="3">
        <v>0</v>
      </c>
      <c r="K173" s="3">
        <v>2000</v>
      </c>
    </row>
    <row r="174" spans="1:11" x14ac:dyDescent="0.2">
      <c r="A174" s="1" t="s">
        <v>4994</v>
      </c>
      <c r="B174" s="1" t="s">
        <v>259</v>
      </c>
      <c r="C174" s="1"/>
      <c r="D174" s="1"/>
      <c r="E174" s="1"/>
      <c r="F174" s="1"/>
      <c r="G174" s="1"/>
      <c r="H174" s="1" t="str">
        <f>"7804900000961"</f>
        <v>7804900000961</v>
      </c>
      <c r="I174" s="3">
        <v>0</v>
      </c>
      <c r="J174" s="3">
        <v>0</v>
      </c>
      <c r="K174" s="3">
        <v>3500</v>
      </c>
    </row>
    <row r="175" spans="1:11" x14ac:dyDescent="0.2">
      <c r="A175" s="1" t="s">
        <v>4994</v>
      </c>
      <c r="B175" s="1" t="s">
        <v>260</v>
      </c>
      <c r="C175" s="1"/>
      <c r="D175" s="1"/>
      <c r="E175" s="1"/>
      <c r="F175" s="1"/>
      <c r="G175" s="1"/>
      <c r="H175" s="1" t="str">
        <f>"7804900000954"</f>
        <v>7804900000954</v>
      </c>
      <c r="I175" s="3">
        <v>5</v>
      </c>
      <c r="J175" s="3">
        <v>0</v>
      </c>
      <c r="K175" s="3">
        <v>1500</v>
      </c>
    </row>
    <row r="176" spans="1:11" x14ac:dyDescent="0.2">
      <c r="A176" s="1" t="s">
        <v>4994</v>
      </c>
      <c r="B176" s="1" t="s">
        <v>261</v>
      </c>
      <c r="C176" s="1"/>
      <c r="D176" s="1"/>
      <c r="E176" s="1"/>
      <c r="F176" s="1"/>
      <c r="G176" s="1"/>
      <c r="H176" s="1" t="str">
        <f>"7804900000930"</f>
        <v>7804900000930</v>
      </c>
      <c r="I176" s="3">
        <v>19</v>
      </c>
      <c r="J176" s="3">
        <v>0</v>
      </c>
      <c r="K176" s="3">
        <v>1500</v>
      </c>
    </row>
    <row r="177" spans="1:11" x14ac:dyDescent="0.2">
      <c r="A177" s="1" t="s">
        <v>4994</v>
      </c>
      <c r="B177" s="1" t="s">
        <v>262</v>
      </c>
      <c r="C177" s="1"/>
      <c r="D177" s="1"/>
      <c r="E177" s="1"/>
      <c r="F177" s="1"/>
      <c r="G177" s="1"/>
      <c r="H177" s="1" t="str">
        <f>"7804900000947"</f>
        <v>7804900000947</v>
      </c>
      <c r="I177" s="3">
        <v>0</v>
      </c>
      <c r="J177" s="3">
        <v>0</v>
      </c>
      <c r="K177" s="3">
        <v>4000</v>
      </c>
    </row>
    <row r="178" spans="1:11" x14ac:dyDescent="0.2">
      <c r="A178" s="1" t="s">
        <v>4994</v>
      </c>
      <c r="B178" s="1" t="s">
        <v>263</v>
      </c>
      <c r="C178" s="1"/>
      <c r="D178" s="1"/>
      <c r="E178" s="1"/>
      <c r="F178" s="1"/>
      <c r="G178" s="1"/>
      <c r="H178" s="1" t="str">
        <f>"7795373010062"</f>
        <v>7795373010062</v>
      </c>
      <c r="I178" s="3">
        <v>6</v>
      </c>
      <c r="J178" s="3">
        <v>0</v>
      </c>
      <c r="K178" s="3">
        <v>2300</v>
      </c>
    </row>
    <row r="179" spans="1:11" x14ac:dyDescent="0.2">
      <c r="A179" s="1" t="s">
        <v>4994</v>
      </c>
      <c r="B179" s="1" t="s">
        <v>264</v>
      </c>
      <c r="C179" s="1"/>
      <c r="D179" s="1"/>
      <c r="E179" s="1"/>
      <c r="F179" s="1"/>
      <c r="G179" s="1"/>
      <c r="H179" s="1" t="str">
        <f>"7804603700410"</f>
        <v>7804603700410</v>
      </c>
      <c r="I179" s="3">
        <v>0</v>
      </c>
      <c r="J179" s="3">
        <v>0</v>
      </c>
      <c r="K179" s="3">
        <v>500</v>
      </c>
    </row>
    <row r="180" spans="1:11" x14ac:dyDescent="0.2">
      <c r="A180" s="1" t="s">
        <v>4994</v>
      </c>
      <c r="B180" s="1" t="s">
        <v>265</v>
      </c>
      <c r="C180" s="1"/>
      <c r="D180" s="1"/>
      <c r="E180" s="1"/>
      <c r="F180" s="1"/>
      <c r="G180" s="1"/>
      <c r="H180" s="1" t="str">
        <f>"7999788887572"</f>
        <v>7999788887572</v>
      </c>
      <c r="I180" s="3">
        <v>0</v>
      </c>
      <c r="J180" s="3">
        <v>0</v>
      </c>
      <c r="K180" s="3">
        <v>500</v>
      </c>
    </row>
    <row r="181" spans="1:11" x14ac:dyDescent="0.2">
      <c r="A181" s="1" t="s">
        <v>4994</v>
      </c>
      <c r="B181" s="1" t="s">
        <v>266</v>
      </c>
      <c r="C181" s="1"/>
      <c r="D181" s="1"/>
      <c r="E181" s="1"/>
      <c r="F181" s="1"/>
      <c r="G181" s="1"/>
      <c r="H181" s="1" t="str">
        <f>"7804603700397"</f>
        <v>7804603700397</v>
      </c>
      <c r="I181" s="3">
        <v>0</v>
      </c>
      <c r="J181" s="3">
        <v>0</v>
      </c>
      <c r="K181" s="3">
        <v>500</v>
      </c>
    </row>
    <row r="182" spans="1:11" x14ac:dyDescent="0.2">
      <c r="A182" s="1" t="s">
        <v>4994</v>
      </c>
      <c r="B182" s="1" t="s">
        <v>267</v>
      </c>
      <c r="C182" s="1"/>
      <c r="D182" s="1"/>
      <c r="E182" s="1"/>
      <c r="F182" s="1"/>
      <c r="G182" s="1"/>
      <c r="H182" s="1" t="str">
        <f>"10008010"</f>
        <v>10008010</v>
      </c>
      <c r="I182" s="3">
        <v>0</v>
      </c>
      <c r="J182" s="3">
        <v>0</v>
      </c>
      <c r="K182" s="3">
        <v>1500</v>
      </c>
    </row>
    <row r="183" spans="1:11" x14ac:dyDescent="0.2">
      <c r="A183" s="1" t="s">
        <v>4994</v>
      </c>
      <c r="B183" s="1" t="s">
        <v>268</v>
      </c>
      <c r="C183" s="1"/>
      <c r="D183" s="1"/>
      <c r="E183" s="1"/>
      <c r="F183" s="1"/>
      <c r="G183" s="1"/>
      <c r="H183" s="1" t="str">
        <f>"7805357003901"</f>
        <v>7805357003901</v>
      </c>
      <c r="I183" s="3">
        <v>12</v>
      </c>
      <c r="J183" s="3">
        <v>0</v>
      </c>
      <c r="K183" s="3">
        <v>5500</v>
      </c>
    </row>
    <row r="184" spans="1:11" x14ac:dyDescent="0.2">
      <c r="A184" s="1" t="s">
        <v>4994</v>
      </c>
      <c r="B184" s="1" t="s">
        <v>269</v>
      </c>
      <c r="C184" s="1"/>
      <c r="D184" s="1"/>
      <c r="E184" s="1"/>
      <c r="F184" s="1"/>
      <c r="G184" s="1"/>
      <c r="H184" s="1" t="str">
        <f>"7805357000863"</f>
        <v>7805357000863</v>
      </c>
      <c r="I184" s="3">
        <v>2</v>
      </c>
      <c r="J184" s="3">
        <v>0</v>
      </c>
      <c r="K184" s="3">
        <v>8500</v>
      </c>
    </row>
    <row r="185" spans="1:11" x14ac:dyDescent="0.2">
      <c r="A185" s="1" t="s">
        <v>4994</v>
      </c>
      <c r="B185" s="1" t="s">
        <v>270</v>
      </c>
      <c r="C185" s="1"/>
      <c r="D185" s="1"/>
      <c r="E185" s="1"/>
      <c r="F185" s="1"/>
      <c r="G185" s="1"/>
      <c r="H185" s="1" t="str">
        <f>"7805357001648"</f>
        <v>7805357001648</v>
      </c>
      <c r="I185" s="3">
        <v>23</v>
      </c>
      <c r="J185" s="3">
        <v>0</v>
      </c>
      <c r="K185" s="3">
        <v>4000</v>
      </c>
    </row>
    <row r="186" spans="1:11" x14ac:dyDescent="0.2">
      <c r="A186" s="1" t="s">
        <v>4994</v>
      </c>
      <c r="B186" s="1" t="s">
        <v>272</v>
      </c>
      <c r="C186" s="1"/>
      <c r="D186" s="1"/>
      <c r="E186" s="1"/>
      <c r="F186" s="1"/>
      <c r="G186" s="1"/>
      <c r="H186" s="1" t="str">
        <f>"7805327000039"</f>
        <v>7805327000039</v>
      </c>
      <c r="I186" s="3">
        <v>0</v>
      </c>
      <c r="J186" s="3">
        <v>0</v>
      </c>
      <c r="K186" s="3">
        <v>2200</v>
      </c>
    </row>
    <row r="187" spans="1:11" x14ac:dyDescent="0.2">
      <c r="A187" s="1" t="s">
        <v>4994</v>
      </c>
      <c r="B187" s="1" t="s">
        <v>273</v>
      </c>
      <c r="C187" s="1"/>
      <c r="D187" s="1"/>
      <c r="E187" s="1"/>
      <c r="F187" s="1"/>
      <c r="G187" s="1"/>
      <c r="H187" s="1" t="str">
        <f>"7798112050015"</f>
        <v>7798112050015</v>
      </c>
      <c r="I187" s="3">
        <v>0</v>
      </c>
      <c r="J187" s="3">
        <v>0</v>
      </c>
      <c r="K187" s="3">
        <v>2000</v>
      </c>
    </row>
    <row r="188" spans="1:11" x14ac:dyDescent="0.2">
      <c r="A188" s="1" t="s">
        <v>4994</v>
      </c>
      <c r="B188" s="1" t="s">
        <v>274</v>
      </c>
      <c r="C188" s="1"/>
      <c r="D188" s="1"/>
      <c r="E188" s="1"/>
      <c r="F188" s="1"/>
      <c r="G188" s="1"/>
      <c r="H188" s="1" t="str">
        <f>"7805327000275"</f>
        <v>7805327000275</v>
      </c>
      <c r="I188" s="3">
        <v>0</v>
      </c>
      <c r="J188" s="3">
        <v>0</v>
      </c>
      <c r="K188" s="3">
        <v>2000</v>
      </c>
    </row>
    <row r="189" spans="1:11" x14ac:dyDescent="0.2">
      <c r="A189" s="1" t="s">
        <v>4994</v>
      </c>
      <c r="B189" s="1" t="s">
        <v>275</v>
      </c>
      <c r="C189" s="1"/>
      <c r="D189" s="1"/>
      <c r="E189" s="1"/>
      <c r="F189" s="1"/>
      <c r="G189" s="1"/>
      <c r="H189" s="1" t="str">
        <f>"7805327001005"</f>
        <v>7805327001005</v>
      </c>
      <c r="I189" s="3">
        <v>0</v>
      </c>
      <c r="J189" s="3">
        <v>0</v>
      </c>
      <c r="K189" s="3">
        <v>2000</v>
      </c>
    </row>
    <row r="190" spans="1:11" x14ac:dyDescent="0.2">
      <c r="A190" s="1" t="s">
        <v>4994</v>
      </c>
      <c r="B190" s="1" t="s">
        <v>276</v>
      </c>
      <c r="C190" s="1"/>
      <c r="D190" s="1"/>
      <c r="E190" s="1"/>
      <c r="F190" s="1"/>
      <c r="G190" s="1"/>
      <c r="H190" s="1" t="str">
        <f>"7805327000220"</f>
        <v>7805327000220</v>
      </c>
      <c r="I190" s="3">
        <v>0</v>
      </c>
      <c r="J190" s="3">
        <v>0</v>
      </c>
      <c r="K190" s="3">
        <v>2000</v>
      </c>
    </row>
    <row r="191" spans="1:11" x14ac:dyDescent="0.2">
      <c r="A191" s="1" t="s">
        <v>4994</v>
      </c>
      <c r="B191" s="1" t="s">
        <v>277</v>
      </c>
      <c r="C191" s="1"/>
      <c r="D191" s="1"/>
      <c r="E191" s="1"/>
      <c r="F191" s="1"/>
      <c r="G191" s="1"/>
      <c r="H191" s="1" t="str">
        <f>"7805327000183"</f>
        <v>7805327000183</v>
      </c>
      <c r="I191" s="3">
        <v>0</v>
      </c>
      <c r="J191" s="3">
        <v>0</v>
      </c>
      <c r="K191" s="3">
        <v>2000</v>
      </c>
    </row>
    <row r="192" spans="1:11" x14ac:dyDescent="0.2">
      <c r="A192" s="1" t="s">
        <v>4994</v>
      </c>
      <c r="B192" s="1" t="s">
        <v>278</v>
      </c>
      <c r="C192" s="1"/>
      <c r="D192" s="1"/>
      <c r="E192" s="1"/>
      <c r="F192" s="1"/>
      <c r="G192" s="1"/>
      <c r="H192" s="1" t="str">
        <f>"7805327000015"</f>
        <v>7805327000015</v>
      </c>
      <c r="I192" s="3">
        <v>14</v>
      </c>
      <c r="J192" s="3">
        <v>0</v>
      </c>
      <c r="K192" s="3">
        <v>2000</v>
      </c>
    </row>
    <row r="193" spans="1:11" x14ac:dyDescent="0.2">
      <c r="A193" s="1" t="s">
        <v>4994</v>
      </c>
      <c r="B193" s="1" t="s">
        <v>279</v>
      </c>
      <c r="C193" s="1"/>
      <c r="D193" s="1"/>
      <c r="E193" s="1"/>
      <c r="F193" s="1"/>
      <c r="G193" s="1"/>
      <c r="H193" s="1" t="str">
        <f>"7805327000312"</f>
        <v>7805327000312</v>
      </c>
      <c r="I193" s="3">
        <v>0</v>
      </c>
      <c r="J193" s="3">
        <v>0</v>
      </c>
      <c r="K193" s="3">
        <v>2000</v>
      </c>
    </row>
    <row r="194" spans="1:11" x14ac:dyDescent="0.2">
      <c r="A194" s="1" t="s">
        <v>4994</v>
      </c>
      <c r="B194" s="1" t="s">
        <v>280</v>
      </c>
      <c r="C194" s="1"/>
      <c r="D194" s="1"/>
      <c r="E194" s="1"/>
      <c r="F194" s="1"/>
      <c r="G194" s="1"/>
      <c r="H194" s="1" t="str">
        <f>"7805327000046"</f>
        <v>7805327000046</v>
      </c>
      <c r="I194" s="3">
        <v>0</v>
      </c>
      <c r="J194" s="3">
        <v>0</v>
      </c>
      <c r="K194" s="3">
        <v>2000</v>
      </c>
    </row>
    <row r="195" spans="1:11" x14ac:dyDescent="0.2">
      <c r="A195" s="1" t="s">
        <v>4994</v>
      </c>
      <c r="B195" s="1" t="s">
        <v>281</v>
      </c>
      <c r="C195" s="1"/>
      <c r="D195" s="1"/>
      <c r="E195" s="1"/>
      <c r="F195" s="1"/>
      <c r="G195" s="1"/>
      <c r="H195" s="1" t="str">
        <f>"7805327000251"</f>
        <v>7805327000251</v>
      </c>
      <c r="I195" s="3">
        <v>0</v>
      </c>
      <c r="J195" s="3">
        <v>0</v>
      </c>
      <c r="K195" s="3">
        <v>2000</v>
      </c>
    </row>
    <row r="196" spans="1:11" x14ac:dyDescent="0.2">
      <c r="A196" s="1" t="s">
        <v>4994</v>
      </c>
      <c r="B196" s="1" t="s">
        <v>282</v>
      </c>
      <c r="C196" s="1"/>
      <c r="D196" s="1"/>
      <c r="E196" s="1"/>
      <c r="F196" s="1"/>
      <c r="G196" s="1"/>
      <c r="H196" s="1" t="str">
        <f>"7805327000091"</f>
        <v>7805327000091</v>
      </c>
      <c r="I196" s="3">
        <v>0</v>
      </c>
      <c r="J196" s="3">
        <v>0</v>
      </c>
      <c r="K196" s="3">
        <v>2000</v>
      </c>
    </row>
    <row r="197" spans="1:11" x14ac:dyDescent="0.2">
      <c r="A197" s="1" t="s">
        <v>4994</v>
      </c>
      <c r="B197" s="1" t="s">
        <v>283</v>
      </c>
      <c r="C197" s="1"/>
      <c r="D197" s="1"/>
      <c r="E197" s="1"/>
      <c r="F197" s="1"/>
      <c r="G197" s="1"/>
      <c r="H197" s="1" t="str">
        <f>"7805327000190"</f>
        <v>7805327000190</v>
      </c>
      <c r="I197" s="3">
        <v>0</v>
      </c>
      <c r="J197" s="3">
        <v>0</v>
      </c>
      <c r="K197" s="3">
        <v>2000</v>
      </c>
    </row>
    <row r="198" spans="1:11" x14ac:dyDescent="0.2">
      <c r="A198" s="1" t="s">
        <v>4994</v>
      </c>
      <c r="B198" s="1" t="s">
        <v>284</v>
      </c>
      <c r="C198" s="1"/>
      <c r="D198" s="1"/>
      <c r="E198" s="1"/>
      <c r="F198" s="1"/>
      <c r="G198" s="1"/>
      <c r="H198" s="1" t="str">
        <f>"7805327000008"</f>
        <v>7805327000008</v>
      </c>
      <c r="I198" s="3">
        <v>0</v>
      </c>
      <c r="J198" s="3">
        <v>0</v>
      </c>
      <c r="K198" s="3">
        <v>2000</v>
      </c>
    </row>
    <row r="199" spans="1:11" x14ac:dyDescent="0.2">
      <c r="A199" s="1" t="s">
        <v>4994</v>
      </c>
      <c r="B199" s="1" t="s">
        <v>285</v>
      </c>
      <c r="C199" s="1"/>
      <c r="D199" s="1"/>
      <c r="E199" s="1"/>
      <c r="F199" s="1"/>
      <c r="G199" s="1"/>
      <c r="H199" s="1" t="str">
        <f>"7805327000121"</f>
        <v>7805327000121</v>
      </c>
      <c r="I199" s="3">
        <v>0</v>
      </c>
      <c r="J199" s="3">
        <v>0</v>
      </c>
      <c r="K199" s="3">
        <v>2000</v>
      </c>
    </row>
    <row r="200" spans="1:11" x14ac:dyDescent="0.2">
      <c r="A200" s="1" t="s">
        <v>4994</v>
      </c>
      <c r="B200" s="1" t="s">
        <v>286</v>
      </c>
      <c r="C200" s="1"/>
      <c r="D200" s="1"/>
      <c r="E200" s="1"/>
      <c r="F200" s="1"/>
      <c r="G200" s="1"/>
      <c r="H200" s="1" t="str">
        <f>"7805357001914"</f>
        <v>7805357001914</v>
      </c>
      <c r="I200" s="3">
        <v>0</v>
      </c>
      <c r="J200" s="3">
        <v>0</v>
      </c>
      <c r="K200" s="3">
        <v>1000</v>
      </c>
    </row>
    <row r="201" spans="1:11" x14ac:dyDescent="0.2">
      <c r="A201" s="1" t="s">
        <v>4994</v>
      </c>
      <c r="B201" s="1" t="s">
        <v>287</v>
      </c>
      <c r="C201" s="1"/>
      <c r="D201" s="1"/>
      <c r="E201" s="1"/>
      <c r="F201" s="1"/>
      <c r="G201" s="1"/>
      <c r="H201" s="1" t="str">
        <f>"7800018188317"</f>
        <v>7800018188317</v>
      </c>
      <c r="I201" s="3">
        <v>0</v>
      </c>
      <c r="J201" s="3">
        <v>0</v>
      </c>
      <c r="K201" s="3">
        <v>2000</v>
      </c>
    </row>
    <row r="202" spans="1:11" x14ac:dyDescent="0.2">
      <c r="A202" s="1" t="s">
        <v>4994</v>
      </c>
      <c r="B202" s="1" t="s">
        <v>288</v>
      </c>
      <c r="C202" s="1"/>
      <c r="D202" s="1"/>
      <c r="E202" s="1"/>
      <c r="F202" s="1"/>
      <c r="G202" s="1"/>
      <c r="H202" s="1" t="str">
        <f>"901000100069"</f>
        <v>901000100069</v>
      </c>
      <c r="I202" s="3">
        <v>0</v>
      </c>
      <c r="J202" s="3">
        <v>0</v>
      </c>
      <c r="K202" s="3">
        <v>5000</v>
      </c>
    </row>
    <row r="203" spans="1:11" x14ac:dyDescent="0.2">
      <c r="A203" s="1" t="s">
        <v>4994</v>
      </c>
      <c r="B203" s="1" t="s">
        <v>289</v>
      </c>
      <c r="C203" s="1"/>
      <c r="D203" s="1"/>
      <c r="E203" s="1"/>
      <c r="F203" s="1"/>
      <c r="G203" s="1"/>
      <c r="H203" s="1" t="str">
        <f>"7800023226165"</f>
        <v>7800023226165</v>
      </c>
      <c r="I203" s="3">
        <v>0</v>
      </c>
      <c r="J203" s="3">
        <v>0</v>
      </c>
      <c r="K203" s="3">
        <v>32000</v>
      </c>
    </row>
    <row r="204" spans="1:11" x14ac:dyDescent="0.2">
      <c r="A204" s="1" t="s">
        <v>4994</v>
      </c>
      <c r="B204" s="1" t="s">
        <v>290</v>
      </c>
      <c r="C204" s="1"/>
      <c r="D204" s="1"/>
      <c r="E204" s="1"/>
      <c r="F204" s="1"/>
      <c r="G204" s="1"/>
      <c r="H204" s="1" t="str">
        <f>"7800060005556"</f>
        <v>7800060005556</v>
      </c>
      <c r="I204" s="3">
        <v>0</v>
      </c>
      <c r="J204" s="3">
        <v>0</v>
      </c>
      <c r="K204" s="3">
        <v>17000</v>
      </c>
    </row>
    <row r="205" spans="1:11" x14ac:dyDescent="0.2">
      <c r="A205" s="1" t="s">
        <v>4994</v>
      </c>
      <c r="B205" s="1" t="s">
        <v>291</v>
      </c>
      <c r="C205" s="1"/>
      <c r="D205" s="1"/>
      <c r="E205" s="1"/>
      <c r="F205" s="1"/>
      <c r="G205" s="1"/>
      <c r="H205" s="1" t="str">
        <f>"7804669530365"</f>
        <v>7804669530365</v>
      </c>
      <c r="I205" s="3">
        <v>0</v>
      </c>
      <c r="J205" s="3">
        <v>0</v>
      </c>
      <c r="K205" s="3">
        <v>4000</v>
      </c>
    </row>
    <row r="206" spans="1:11" x14ac:dyDescent="0.2">
      <c r="A206" s="1" t="s">
        <v>4994</v>
      </c>
      <c r="B206" s="1" t="s">
        <v>292</v>
      </c>
      <c r="C206" s="1"/>
      <c r="D206" s="1"/>
      <c r="E206" s="1"/>
      <c r="F206" s="1"/>
      <c r="G206" s="1"/>
      <c r="H206" s="1" t="str">
        <f>"7805633015116"</f>
        <v>7805633015116</v>
      </c>
      <c r="I206" s="3">
        <v>0</v>
      </c>
      <c r="J206" s="3">
        <v>0</v>
      </c>
      <c r="K206" s="3">
        <v>4500</v>
      </c>
    </row>
    <row r="207" spans="1:11" x14ac:dyDescent="0.2">
      <c r="A207" s="1" t="s">
        <v>4994</v>
      </c>
      <c r="B207" s="1" t="s">
        <v>293</v>
      </c>
      <c r="C207" s="1"/>
      <c r="D207" s="1"/>
      <c r="E207" s="1"/>
      <c r="F207" s="1"/>
      <c r="G207" s="1"/>
      <c r="H207" s="1" t="str">
        <f>"4005800365959"</f>
        <v>4005800365959</v>
      </c>
      <c r="I207" s="3">
        <v>2</v>
      </c>
      <c r="J207" s="3">
        <v>0</v>
      </c>
      <c r="K207" s="3">
        <v>38000</v>
      </c>
    </row>
    <row r="208" spans="1:11" x14ac:dyDescent="0.2">
      <c r="A208" s="1" t="s">
        <v>4994</v>
      </c>
      <c r="B208" s="1" t="s">
        <v>294</v>
      </c>
      <c r="C208" s="1"/>
      <c r="D208" s="1"/>
      <c r="E208" s="1"/>
      <c r="F208" s="1"/>
      <c r="G208" s="1"/>
      <c r="H208" s="1" t="str">
        <f>"78032460"</f>
        <v>78032460</v>
      </c>
      <c r="I208" s="3">
        <v>0</v>
      </c>
      <c r="J208" s="3">
        <v>0</v>
      </c>
      <c r="K208" s="3">
        <v>1000</v>
      </c>
    </row>
    <row r="209" spans="1:11" x14ac:dyDescent="0.2">
      <c r="A209" s="1" t="s">
        <v>4994</v>
      </c>
      <c r="B209" s="1" t="s">
        <v>295</v>
      </c>
      <c r="C209" s="1"/>
      <c r="D209" s="1"/>
      <c r="E209" s="1"/>
      <c r="F209" s="1"/>
      <c r="G209" s="1"/>
      <c r="H209" s="1" t="str">
        <f>"7800060130647"</f>
        <v>7800060130647</v>
      </c>
      <c r="I209" s="3">
        <v>127</v>
      </c>
      <c r="J209" s="3">
        <v>0</v>
      </c>
      <c r="K209" s="3">
        <v>1500</v>
      </c>
    </row>
    <row r="210" spans="1:11" x14ac:dyDescent="0.2">
      <c r="A210" s="1" t="s">
        <v>4994</v>
      </c>
      <c r="B210" s="1" t="s">
        <v>297</v>
      </c>
      <c r="C210" s="1"/>
      <c r="D210" s="1"/>
      <c r="E210" s="1"/>
      <c r="F210" s="1"/>
      <c r="G210" s="1"/>
      <c r="H210" s="1" t="str">
        <f>"6936020115070"</f>
        <v>6936020115070</v>
      </c>
      <c r="I210" s="3">
        <v>0</v>
      </c>
      <c r="J210" s="3">
        <v>0</v>
      </c>
      <c r="K210" s="3">
        <v>6500</v>
      </c>
    </row>
    <row r="211" spans="1:11" x14ac:dyDescent="0.2">
      <c r="A211" s="1" t="s">
        <v>4994</v>
      </c>
      <c r="B211" s="1" t="s">
        <v>298</v>
      </c>
      <c r="C211" s="1"/>
      <c r="D211" s="1"/>
      <c r="E211" s="1"/>
      <c r="F211" s="1"/>
      <c r="G211" s="1"/>
      <c r="H211" s="1" t="str">
        <f>"7800007808387"</f>
        <v>7800007808387</v>
      </c>
      <c r="I211" s="3">
        <v>2</v>
      </c>
      <c r="J211" s="3">
        <v>0</v>
      </c>
      <c r="K211" s="3">
        <v>10000</v>
      </c>
    </row>
    <row r="212" spans="1:11" x14ac:dyDescent="0.2">
      <c r="A212" s="1" t="s">
        <v>4994</v>
      </c>
      <c r="B212" s="1" t="s">
        <v>299</v>
      </c>
      <c r="C212" s="1"/>
      <c r="D212" s="1"/>
      <c r="E212" s="1"/>
      <c r="F212" s="1"/>
      <c r="G212" s="1"/>
      <c r="H212" s="1" t="str">
        <f>"7800007803306"</f>
        <v>7800007803306</v>
      </c>
      <c r="I212" s="3">
        <v>0</v>
      </c>
      <c r="J212" s="3">
        <v>0</v>
      </c>
      <c r="K212" s="3">
        <v>3000</v>
      </c>
    </row>
    <row r="213" spans="1:11" x14ac:dyDescent="0.2">
      <c r="A213" s="1" t="s">
        <v>4994</v>
      </c>
      <c r="B213" s="1" t="s">
        <v>300</v>
      </c>
      <c r="C213" s="1"/>
      <c r="D213" s="1"/>
      <c r="E213" s="1"/>
      <c r="F213" s="1"/>
      <c r="G213" s="1"/>
      <c r="H213" s="1" t="str">
        <f>"4005808231065"</f>
        <v>4005808231065</v>
      </c>
      <c r="I213" s="3">
        <v>6</v>
      </c>
      <c r="J213" s="3">
        <v>0</v>
      </c>
      <c r="K213" s="3">
        <v>2500</v>
      </c>
    </row>
    <row r="214" spans="1:11" x14ac:dyDescent="0.2">
      <c r="A214" s="1" t="s">
        <v>4994</v>
      </c>
      <c r="B214" s="1" t="s">
        <v>301</v>
      </c>
      <c r="C214" s="1"/>
      <c r="D214" s="1"/>
      <c r="E214" s="1"/>
      <c r="F214" s="1"/>
      <c r="G214" s="1"/>
      <c r="H214" s="1" t="str">
        <f>"5701943100387"</f>
        <v>5701943100387</v>
      </c>
      <c r="I214" s="3">
        <v>6</v>
      </c>
      <c r="J214" s="3">
        <v>0</v>
      </c>
      <c r="K214" s="3">
        <v>11500</v>
      </c>
    </row>
    <row r="215" spans="1:11" x14ac:dyDescent="0.2">
      <c r="A215" s="1" t="s">
        <v>4994</v>
      </c>
      <c r="B215" s="1" t="s">
        <v>302</v>
      </c>
      <c r="C215" s="1"/>
      <c r="D215" s="1"/>
      <c r="E215" s="1"/>
      <c r="F215" s="1"/>
      <c r="G215" s="1"/>
      <c r="H215" s="1" t="str">
        <f>"7791293048475"</f>
        <v>7791293048475</v>
      </c>
      <c r="I215" s="3">
        <v>0</v>
      </c>
      <c r="J215" s="3">
        <v>0</v>
      </c>
      <c r="K215" s="3">
        <v>2500</v>
      </c>
    </row>
    <row r="216" spans="1:11" x14ac:dyDescent="0.2">
      <c r="A216" s="1" t="s">
        <v>4994</v>
      </c>
      <c r="B216" s="1" t="s">
        <v>303</v>
      </c>
      <c r="C216" s="1"/>
      <c r="D216" s="1"/>
      <c r="E216" s="1"/>
      <c r="F216" s="1"/>
      <c r="G216" s="1"/>
      <c r="H216" s="1" t="str">
        <f>"7791293048505"</f>
        <v>7791293048505</v>
      </c>
      <c r="I216" s="3">
        <v>0</v>
      </c>
      <c r="J216" s="3">
        <v>0</v>
      </c>
      <c r="K216" s="3">
        <v>3000</v>
      </c>
    </row>
    <row r="217" spans="1:11" x14ac:dyDescent="0.2">
      <c r="A217" s="1" t="s">
        <v>4994</v>
      </c>
      <c r="B217" s="1" t="s">
        <v>304</v>
      </c>
      <c r="C217" s="1"/>
      <c r="D217" s="1"/>
      <c r="E217" s="1"/>
      <c r="F217" s="1"/>
      <c r="G217" s="1"/>
      <c r="H217" s="1" t="str">
        <f>"78924529"</f>
        <v>78924529</v>
      </c>
      <c r="I217" s="3">
        <v>0</v>
      </c>
      <c r="J217" s="3">
        <v>0</v>
      </c>
      <c r="K217" s="3">
        <v>2500</v>
      </c>
    </row>
    <row r="218" spans="1:11" x14ac:dyDescent="0.2">
      <c r="A218" s="1" t="s">
        <v>4994</v>
      </c>
      <c r="B218" s="1" t="s">
        <v>305</v>
      </c>
      <c r="C218" s="1"/>
      <c r="D218" s="1"/>
      <c r="E218" s="1"/>
      <c r="F218" s="1"/>
      <c r="G218" s="1"/>
      <c r="H218" s="1" t="str">
        <f>"75031060"</f>
        <v>75031060</v>
      </c>
      <c r="I218" s="3">
        <v>0</v>
      </c>
      <c r="J218" s="3">
        <v>0</v>
      </c>
      <c r="K218" s="3">
        <v>3000</v>
      </c>
    </row>
    <row r="219" spans="1:11" x14ac:dyDescent="0.2">
      <c r="A219" s="1" t="s">
        <v>4994</v>
      </c>
      <c r="B219" s="1" t="s">
        <v>306</v>
      </c>
      <c r="C219" s="1"/>
      <c r="D219" s="1"/>
      <c r="E219" s="1"/>
      <c r="F219" s="1"/>
      <c r="G219" s="1"/>
      <c r="H219" s="1" t="str">
        <f>"78933354"</f>
        <v>78933354</v>
      </c>
      <c r="I219" s="3">
        <v>0</v>
      </c>
      <c r="J219" s="3">
        <v>0</v>
      </c>
      <c r="K219" s="3">
        <v>2500</v>
      </c>
    </row>
    <row r="220" spans="1:11" x14ac:dyDescent="0.2">
      <c r="A220" s="1" t="s">
        <v>4994</v>
      </c>
      <c r="B220" s="1" t="s">
        <v>307</v>
      </c>
      <c r="C220" s="1"/>
      <c r="D220" s="1"/>
      <c r="E220" s="1"/>
      <c r="F220" s="1"/>
      <c r="G220" s="1"/>
      <c r="H220" s="1" t="str">
        <f>"75076696"</f>
        <v>75076696</v>
      </c>
      <c r="I220" s="3">
        <v>0</v>
      </c>
      <c r="J220" s="3">
        <v>0</v>
      </c>
      <c r="K220" s="3">
        <v>3000</v>
      </c>
    </row>
    <row r="221" spans="1:11" x14ac:dyDescent="0.2">
      <c r="A221" s="1" t="s">
        <v>4994</v>
      </c>
      <c r="B221" s="1" t="s">
        <v>308</v>
      </c>
      <c r="C221" s="1"/>
      <c r="D221" s="1"/>
      <c r="E221" s="1"/>
      <c r="F221" s="1"/>
      <c r="G221" s="1"/>
      <c r="H221" s="1" t="str">
        <f>"79400301161"</f>
        <v>79400301161</v>
      </c>
      <c r="I221" s="3">
        <v>0</v>
      </c>
      <c r="J221" s="3">
        <v>0</v>
      </c>
      <c r="K221" s="3">
        <v>6600</v>
      </c>
    </row>
    <row r="222" spans="1:11" x14ac:dyDescent="0.2">
      <c r="A222" s="1" t="s">
        <v>4994</v>
      </c>
      <c r="B222" s="1" t="s">
        <v>309</v>
      </c>
      <c r="C222" s="1"/>
      <c r="D222" s="1"/>
      <c r="E222" s="1"/>
      <c r="F222" s="1"/>
      <c r="G222" s="1"/>
      <c r="H222" s="1" t="str">
        <f>"7794640170164"</f>
        <v>7794640170164</v>
      </c>
      <c r="I222" s="3">
        <v>0</v>
      </c>
      <c r="J222" s="3">
        <v>0</v>
      </c>
      <c r="K222" s="3">
        <v>2000</v>
      </c>
    </row>
    <row r="223" spans="1:11" x14ac:dyDescent="0.2">
      <c r="A223" s="1" t="s">
        <v>4994</v>
      </c>
      <c r="B223" s="1" t="s">
        <v>310</v>
      </c>
      <c r="C223" s="1"/>
      <c r="D223" s="1"/>
      <c r="E223" s="1"/>
      <c r="F223" s="1"/>
      <c r="G223" s="1"/>
      <c r="H223" s="1" t="str">
        <f>"7794490630511"</f>
        <v>7794490630511</v>
      </c>
      <c r="I223" s="3">
        <v>0</v>
      </c>
      <c r="J223" s="3">
        <v>0</v>
      </c>
      <c r="K223" s="3">
        <v>2500</v>
      </c>
    </row>
    <row r="224" spans="1:11" x14ac:dyDescent="0.2">
      <c r="A224" s="1" t="s">
        <v>4994</v>
      </c>
      <c r="B224" s="1" t="s">
        <v>311</v>
      </c>
      <c r="C224" s="1"/>
      <c r="D224" s="1"/>
      <c r="E224" s="1"/>
      <c r="F224" s="1"/>
      <c r="G224" s="1"/>
      <c r="H224" s="1" t="str">
        <f>"7794640172625"</f>
        <v>7794640172625</v>
      </c>
      <c r="I224" s="3">
        <v>0</v>
      </c>
      <c r="J224" s="3">
        <v>0</v>
      </c>
      <c r="K224" s="3">
        <v>2000</v>
      </c>
    </row>
    <row r="225" spans="1:11" x14ac:dyDescent="0.2">
      <c r="A225" s="1" t="s">
        <v>4994</v>
      </c>
      <c r="B225" s="1" t="s">
        <v>312</v>
      </c>
      <c r="C225" s="1"/>
      <c r="D225" s="1"/>
      <c r="E225" s="1"/>
      <c r="F225" s="1"/>
      <c r="G225" s="1"/>
      <c r="H225" s="1" t="str">
        <f>"7794490630443"</f>
        <v>7794490630443</v>
      </c>
      <c r="I225" s="3">
        <v>0</v>
      </c>
      <c r="J225" s="3">
        <v>0</v>
      </c>
      <c r="K225" s="3">
        <v>3000</v>
      </c>
    </row>
    <row r="226" spans="1:11" x14ac:dyDescent="0.2">
      <c r="A226" s="1" t="s">
        <v>4994</v>
      </c>
      <c r="B226" s="1" t="s">
        <v>313</v>
      </c>
      <c r="C226" s="1"/>
      <c r="D226" s="1"/>
      <c r="E226" s="1"/>
      <c r="F226" s="1"/>
      <c r="G226" s="1"/>
      <c r="H226" s="1" t="str">
        <f>"7702018913664"</f>
        <v>7702018913664</v>
      </c>
      <c r="I226" s="3">
        <v>0</v>
      </c>
      <c r="J226" s="3">
        <v>0</v>
      </c>
      <c r="K226" s="3">
        <v>4500</v>
      </c>
    </row>
    <row r="227" spans="1:11" x14ac:dyDescent="0.2">
      <c r="A227" s="1" t="s">
        <v>4994</v>
      </c>
      <c r="B227" s="1" t="s">
        <v>314</v>
      </c>
      <c r="C227" s="1"/>
      <c r="D227" s="1"/>
      <c r="E227" s="1"/>
      <c r="F227" s="1"/>
      <c r="G227" s="1"/>
      <c r="H227" s="1" t="str">
        <f>"7500435140591"</f>
        <v>7500435140591</v>
      </c>
      <c r="I227" s="3">
        <v>13</v>
      </c>
      <c r="J227" s="3">
        <v>0</v>
      </c>
      <c r="K227" s="3">
        <v>4500</v>
      </c>
    </row>
    <row r="228" spans="1:11" x14ac:dyDescent="0.2">
      <c r="A228" s="1" t="s">
        <v>4994</v>
      </c>
      <c r="B228" s="1" t="s">
        <v>315</v>
      </c>
      <c r="C228" s="1"/>
      <c r="D228" s="1"/>
      <c r="E228" s="1"/>
      <c r="F228" s="1"/>
      <c r="G228" s="1"/>
      <c r="H228" s="1" t="str">
        <f>"4005800344961"</f>
        <v>4005800344961</v>
      </c>
      <c r="I228" s="3">
        <v>8</v>
      </c>
      <c r="J228" s="3">
        <v>0</v>
      </c>
      <c r="K228" s="3">
        <v>10000</v>
      </c>
    </row>
    <row r="229" spans="1:11" x14ac:dyDescent="0.2">
      <c r="A229" s="1" t="s">
        <v>4994</v>
      </c>
      <c r="B229" s="1" t="s">
        <v>316</v>
      </c>
      <c r="C229" s="1"/>
      <c r="D229" s="1"/>
      <c r="E229" s="1"/>
      <c r="F229" s="1"/>
      <c r="G229" s="1"/>
      <c r="H229" s="1" t="str">
        <f>"4005800344985"</f>
        <v>4005800344985</v>
      </c>
      <c r="I229" s="3">
        <v>0</v>
      </c>
      <c r="J229" s="3">
        <v>0</v>
      </c>
      <c r="K229" s="3">
        <v>9000</v>
      </c>
    </row>
    <row r="230" spans="1:11" x14ac:dyDescent="0.2">
      <c r="A230" s="1" t="s">
        <v>4994</v>
      </c>
      <c r="B230" s="1" t="s">
        <v>317</v>
      </c>
      <c r="C230" s="1"/>
      <c r="D230" s="1"/>
      <c r="E230" s="1"/>
      <c r="F230" s="1"/>
      <c r="G230" s="1"/>
      <c r="H230" s="1" t="str">
        <f>"7804969171534"</f>
        <v>7804969171534</v>
      </c>
      <c r="I230" s="3">
        <v>0</v>
      </c>
      <c r="J230" s="3">
        <v>0</v>
      </c>
      <c r="K230" s="3">
        <v>4500</v>
      </c>
    </row>
    <row r="231" spans="1:11" x14ac:dyDescent="0.2">
      <c r="A231" s="1" t="s">
        <v>4994</v>
      </c>
      <c r="B231" s="1" t="s">
        <v>318</v>
      </c>
      <c r="C231" s="1"/>
      <c r="D231" s="1"/>
      <c r="E231" s="1"/>
      <c r="F231" s="1"/>
      <c r="G231" s="1"/>
      <c r="H231" s="1" t="str">
        <f>"4006000087030"</f>
        <v>4006000087030</v>
      </c>
      <c r="I231" s="3">
        <v>0</v>
      </c>
      <c r="J231" s="3">
        <v>0</v>
      </c>
      <c r="K231" s="3">
        <v>2500</v>
      </c>
    </row>
    <row r="232" spans="1:11" x14ac:dyDescent="0.2">
      <c r="A232" s="1" t="s">
        <v>4994</v>
      </c>
      <c r="B232" s="1" t="s">
        <v>319</v>
      </c>
      <c r="C232" s="1"/>
      <c r="D232" s="1"/>
      <c r="E232" s="1"/>
      <c r="F232" s="1"/>
      <c r="G232" s="1"/>
      <c r="H232" s="1" t="str">
        <f>"4005900937520"</f>
        <v>4005900937520</v>
      </c>
      <c r="I232" s="3">
        <v>0</v>
      </c>
      <c r="J232" s="3">
        <v>0</v>
      </c>
      <c r="K232" s="3">
        <v>2500</v>
      </c>
    </row>
    <row r="233" spans="1:11" x14ac:dyDescent="0.2">
      <c r="A233" s="1" t="s">
        <v>4994</v>
      </c>
      <c r="B233" s="1" t="s">
        <v>320</v>
      </c>
      <c r="C233" s="1"/>
      <c r="D233" s="1"/>
      <c r="E233" s="1"/>
      <c r="F233" s="1"/>
      <c r="G233" s="1"/>
      <c r="H233" s="1" t="str">
        <f>"4005900919540"</f>
        <v>4005900919540</v>
      </c>
      <c r="I233" s="3">
        <v>0</v>
      </c>
      <c r="J233" s="3">
        <v>0</v>
      </c>
      <c r="K233" s="3">
        <v>2500</v>
      </c>
    </row>
    <row r="234" spans="1:11" x14ac:dyDescent="0.2">
      <c r="A234" s="1" t="s">
        <v>4994</v>
      </c>
      <c r="B234" s="1" t="s">
        <v>321</v>
      </c>
      <c r="C234" s="1"/>
      <c r="D234" s="1"/>
      <c r="E234" s="1"/>
      <c r="F234" s="1"/>
      <c r="G234" s="1"/>
      <c r="H234" s="1" t="str">
        <f>"4005808715688"</f>
        <v>4005808715688</v>
      </c>
      <c r="I234" s="3">
        <v>0</v>
      </c>
      <c r="J234" s="3">
        <v>0</v>
      </c>
      <c r="K234" s="3">
        <v>2500</v>
      </c>
    </row>
    <row r="235" spans="1:11" x14ac:dyDescent="0.2">
      <c r="A235" s="1" t="s">
        <v>4994</v>
      </c>
      <c r="B235" s="1" t="s">
        <v>322</v>
      </c>
      <c r="C235" s="1"/>
      <c r="D235" s="1"/>
      <c r="E235" s="1"/>
      <c r="F235" s="1"/>
      <c r="G235" s="1"/>
      <c r="H235" s="1" t="str">
        <f>"7509552876345"</f>
        <v>7509552876345</v>
      </c>
      <c r="I235" s="3">
        <v>0</v>
      </c>
      <c r="J235" s="3">
        <v>0</v>
      </c>
      <c r="K235" s="3">
        <v>3000</v>
      </c>
    </row>
    <row r="236" spans="1:11" x14ac:dyDescent="0.2">
      <c r="A236" s="1" t="s">
        <v>4994</v>
      </c>
      <c r="B236" s="1" t="s">
        <v>323</v>
      </c>
      <c r="C236" s="1"/>
      <c r="D236" s="1"/>
      <c r="E236" s="1"/>
      <c r="F236" s="1"/>
      <c r="G236" s="1"/>
      <c r="H236" s="1" t="str">
        <f>"7509552876314"</f>
        <v>7509552876314</v>
      </c>
      <c r="I236" s="3">
        <v>0</v>
      </c>
      <c r="J236" s="3">
        <v>0</v>
      </c>
      <c r="K236" s="3">
        <v>3000</v>
      </c>
    </row>
    <row r="237" spans="1:11" x14ac:dyDescent="0.2">
      <c r="A237" s="1" t="s">
        <v>4994</v>
      </c>
      <c r="B237" s="1" t="s">
        <v>324</v>
      </c>
      <c r="C237" s="1"/>
      <c r="D237" s="1"/>
      <c r="E237" s="1"/>
      <c r="F237" s="1"/>
      <c r="G237" s="1"/>
      <c r="H237" s="1" t="str">
        <f>"7509552876321"</f>
        <v>7509552876321</v>
      </c>
      <c r="I237" s="3">
        <v>0</v>
      </c>
      <c r="J237" s="3">
        <v>0</v>
      </c>
      <c r="K237" s="3">
        <v>3000</v>
      </c>
    </row>
    <row r="238" spans="1:11" x14ac:dyDescent="0.2">
      <c r="A238" s="1" t="s">
        <v>4994</v>
      </c>
      <c r="B238" s="1" t="s">
        <v>325</v>
      </c>
      <c r="C238" s="1"/>
      <c r="D238" s="1"/>
      <c r="E238" s="1"/>
      <c r="F238" s="1"/>
      <c r="G238" s="1"/>
      <c r="H238" s="1" t="str">
        <f>"7506306214989"</f>
        <v>7506306214989</v>
      </c>
      <c r="I238" s="3">
        <v>0</v>
      </c>
      <c r="J238" s="3">
        <v>0</v>
      </c>
      <c r="K238" s="3">
        <v>5000</v>
      </c>
    </row>
    <row r="239" spans="1:11" x14ac:dyDescent="0.2">
      <c r="A239" s="1" t="s">
        <v>4994</v>
      </c>
      <c r="B239" s="1" t="s">
        <v>326</v>
      </c>
      <c r="C239" s="1"/>
      <c r="D239" s="1"/>
      <c r="E239" s="1"/>
      <c r="F239" s="1"/>
      <c r="G239" s="1"/>
      <c r="H239" s="1" t="str">
        <f>"7506306214972"</f>
        <v>7506306214972</v>
      </c>
      <c r="I239" s="3">
        <v>0</v>
      </c>
      <c r="J239" s="3">
        <v>0</v>
      </c>
      <c r="K239" s="3">
        <v>5000</v>
      </c>
    </row>
    <row r="240" spans="1:11" x14ac:dyDescent="0.2">
      <c r="A240" s="1" t="s">
        <v>4994</v>
      </c>
      <c r="B240" s="1" t="s">
        <v>327</v>
      </c>
      <c r="C240" s="1"/>
      <c r="D240" s="1"/>
      <c r="E240" s="1"/>
      <c r="F240" s="1"/>
      <c r="G240" s="1"/>
      <c r="H240" s="1" t="str">
        <f>"79400476692"</f>
        <v>79400476692</v>
      </c>
      <c r="I240" s="3">
        <v>0</v>
      </c>
      <c r="J240" s="3">
        <v>0</v>
      </c>
      <c r="K240" s="3">
        <v>5000</v>
      </c>
    </row>
    <row r="241" spans="1:11" x14ac:dyDescent="0.2">
      <c r="A241" s="1" t="s">
        <v>4994</v>
      </c>
      <c r="B241" s="1" t="s">
        <v>328</v>
      </c>
      <c r="C241" s="1"/>
      <c r="D241" s="1"/>
      <c r="E241" s="1"/>
      <c r="F241" s="1"/>
      <c r="G241" s="1"/>
      <c r="H241" s="1" t="str">
        <f>"7791293049526"</f>
        <v>7791293049526</v>
      </c>
      <c r="I241" s="3">
        <v>19</v>
      </c>
      <c r="J241" s="3">
        <v>0</v>
      </c>
      <c r="K241" s="3">
        <v>2500</v>
      </c>
    </row>
    <row r="242" spans="1:11" x14ac:dyDescent="0.2">
      <c r="A242" s="1" t="s">
        <v>4994</v>
      </c>
      <c r="B242" s="1" t="s">
        <v>329</v>
      </c>
      <c r="C242" s="1"/>
      <c r="D242" s="1"/>
      <c r="E242" s="1"/>
      <c r="F242" s="1"/>
      <c r="G242" s="1"/>
      <c r="H242" s="1" t="str">
        <f>"4005808630646"</f>
        <v>4005808630646</v>
      </c>
      <c r="I242" s="3">
        <v>0</v>
      </c>
      <c r="J242" s="3">
        <v>0</v>
      </c>
      <c r="K242" s="3">
        <v>2500</v>
      </c>
    </row>
    <row r="243" spans="1:11" x14ac:dyDescent="0.2">
      <c r="A243" s="1" t="s">
        <v>4994</v>
      </c>
      <c r="B243" s="1" t="s">
        <v>330</v>
      </c>
      <c r="C243" s="1"/>
      <c r="D243" s="1"/>
      <c r="E243" s="1"/>
      <c r="F243" s="1"/>
      <c r="G243" s="1"/>
      <c r="H243" s="1" t="str">
        <f>"78928503"</f>
        <v>78928503</v>
      </c>
      <c r="I243" s="3">
        <v>0</v>
      </c>
      <c r="J243" s="3">
        <v>0</v>
      </c>
      <c r="K243" s="3">
        <v>2500</v>
      </c>
    </row>
    <row r="244" spans="1:11" x14ac:dyDescent="0.2">
      <c r="A244" s="1" t="s">
        <v>4994</v>
      </c>
      <c r="B244" s="1" t="s">
        <v>331</v>
      </c>
      <c r="C244" s="1"/>
      <c r="D244" s="1"/>
      <c r="E244" s="1"/>
      <c r="F244" s="1"/>
      <c r="G244" s="1"/>
      <c r="H244" s="1" t="str">
        <f>"7791293043746"</f>
        <v>7791293043746</v>
      </c>
      <c r="I244" s="3">
        <v>0</v>
      </c>
      <c r="J244" s="3">
        <v>0</v>
      </c>
      <c r="K244" s="3">
        <v>2000</v>
      </c>
    </row>
    <row r="245" spans="1:11" x14ac:dyDescent="0.2">
      <c r="A245" s="1" t="s">
        <v>4994</v>
      </c>
      <c r="B245" s="1" t="s">
        <v>332</v>
      </c>
      <c r="C245" s="1"/>
      <c r="D245" s="1"/>
      <c r="E245" s="1"/>
      <c r="F245" s="1"/>
      <c r="G245" s="1"/>
      <c r="H245" s="1" t="str">
        <f>"8411061081570"</f>
        <v>8411061081570</v>
      </c>
      <c r="I245" s="3">
        <v>1</v>
      </c>
      <c r="J245" s="3">
        <v>0</v>
      </c>
      <c r="K245" s="3">
        <v>19000</v>
      </c>
    </row>
    <row r="246" spans="1:11" x14ac:dyDescent="0.2">
      <c r="A246" s="1" t="s">
        <v>4994</v>
      </c>
      <c r="B246" s="1" t="s">
        <v>333</v>
      </c>
      <c r="C246" s="1"/>
      <c r="D246" s="1"/>
      <c r="E246" s="1"/>
      <c r="F246" s="1"/>
      <c r="G246" s="1"/>
      <c r="H246" s="1" t="str">
        <f>"7800020187506"</f>
        <v>7800020187506</v>
      </c>
      <c r="I246" s="3">
        <v>90</v>
      </c>
      <c r="J246" s="3">
        <v>0</v>
      </c>
      <c r="K246" s="3">
        <v>5000</v>
      </c>
    </row>
    <row r="247" spans="1:11" x14ac:dyDescent="0.2">
      <c r="A247" s="1" t="s">
        <v>4994</v>
      </c>
      <c r="B247" s="1" t="s">
        <v>334</v>
      </c>
      <c r="C247" s="1"/>
      <c r="D247" s="1"/>
      <c r="E247" s="1"/>
      <c r="F247" s="1"/>
      <c r="G247" s="1"/>
      <c r="H247" s="1" t="str">
        <f>"7803504000865"</f>
        <v>7803504000865</v>
      </c>
      <c r="I247" s="3">
        <v>0</v>
      </c>
      <c r="J247" s="3">
        <v>0</v>
      </c>
      <c r="K247" s="3">
        <v>14280</v>
      </c>
    </row>
    <row r="248" spans="1:11" x14ac:dyDescent="0.2">
      <c r="A248" s="1" t="s">
        <v>4994</v>
      </c>
      <c r="B248" s="1" t="s">
        <v>335</v>
      </c>
      <c r="C248" s="1"/>
      <c r="D248" s="1"/>
      <c r="E248" s="1"/>
      <c r="F248" s="1"/>
      <c r="G248" s="1"/>
      <c r="H248" s="1" t="str">
        <f>"7804650886792"</f>
        <v>7804650886792</v>
      </c>
      <c r="I248" s="3">
        <v>0</v>
      </c>
      <c r="J248" s="3">
        <v>0</v>
      </c>
      <c r="K248" s="3">
        <v>11500</v>
      </c>
    </row>
    <row r="249" spans="1:11" x14ac:dyDescent="0.2">
      <c r="A249" s="1" t="s">
        <v>4994</v>
      </c>
      <c r="B249" s="1" t="s">
        <v>336</v>
      </c>
      <c r="C249" s="1"/>
      <c r="D249" s="1"/>
      <c r="E249" s="1"/>
      <c r="F249" s="1"/>
      <c r="G249" s="1"/>
      <c r="H249" s="1" t="str">
        <f>"7804650880219"</f>
        <v>7804650880219</v>
      </c>
      <c r="I249" s="3">
        <v>0</v>
      </c>
      <c r="J249" s="3">
        <v>0</v>
      </c>
      <c r="K249" s="3">
        <v>12000</v>
      </c>
    </row>
    <row r="250" spans="1:11" x14ac:dyDescent="0.2">
      <c r="A250" s="1" t="s">
        <v>4994</v>
      </c>
      <c r="B250" s="1" t="s">
        <v>339</v>
      </c>
      <c r="C250" s="1"/>
      <c r="D250" s="1"/>
      <c r="E250" s="1"/>
      <c r="F250" s="1"/>
      <c r="G250" s="1"/>
      <c r="H250" s="1" t="str">
        <f>"2000341111944"</f>
        <v>2000341111944</v>
      </c>
      <c r="I250" s="3">
        <v>0</v>
      </c>
      <c r="J250" s="3">
        <v>0</v>
      </c>
      <c r="K250" s="3">
        <v>6500</v>
      </c>
    </row>
    <row r="251" spans="1:11" x14ac:dyDescent="0.2">
      <c r="A251" s="1" t="s">
        <v>4994</v>
      </c>
      <c r="B251" s="1" t="s">
        <v>340</v>
      </c>
      <c r="C251" s="1"/>
      <c r="D251" s="1"/>
      <c r="E251" s="1"/>
      <c r="F251" s="1"/>
      <c r="G251" s="1"/>
      <c r="H251" s="1" t="str">
        <f>"2000110411947"</f>
        <v>2000110411947</v>
      </c>
      <c r="I251" s="3">
        <v>0</v>
      </c>
      <c r="J251" s="3">
        <v>0</v>
      </c>
      <c r="K251" s="3">
        <v>4000</v>
      </c>
    </row>
    <row r="252" spans="1:11" x14ac:dyDescent="0.2">
      <c r="A252" s="1" t="s">
        <v>4994</v>
      </c>
      <c r="B252" s="1" t="s">
        <v>341</v>
      </c>
      <c r="C252" s="1"/>
      <c r="D252" s="1"/>
      <c r="E252" s="1"/>
      <c r="F252" s="1"/>
      <c r="G252" s="1"/>
      <c r="H252" s="1" t="str">
        <f>"5414736044217"</f>
        <v>5414736044217</v>
      </c>
      <c r="I252" s="3">
        <v>0</v>
      </c>
      <c r="J252" s="3">
        <v>0</v>
      </c>
      <c r="K252" s="3">
        <v>49000</v>
      </c>
    </row>
    <row r="253" spans="1:11" x14ac:dyDescent="0.2">
      <c r="A253" s="1" t="s">
        <v>4994</v>
      </c>
      <c r="B253" s="1" t="s">
        <v>342</v>
      </c>
      <c r="C253" s="1"/>
      <c r="D253" s="1"/>
      <c r="E253" s="1"/>
      <c r="F253" s="1"/>
      <c r="G253" s="1"/>
      <c r="H253" s="1" t="str">
        <f>"5414736054643"</f>
        <v>5414736054643</v>
      </c>
      <c r="I253" s="3">
        <v>0</v>
      </c>
      <c r="J253" s="3">
        <v>0</v>
      </c>
      <c r="K253" s="3">
        <v>36000</v>
      </c>
    </row>
    <row r="254" spans="1:11" x14ac:dyDescent="0.2">
      <c r="A254" s="1" t="s">
        <v>4994</v>
      </c>
      <c r="B254" s="1" t="s">
        <v>346</v>
      </c>
      <c r="C254" s="1"/>
      <c r="D254" s="1"/>
      <c r="E254" s="1"/>
      <c r="F254" s="1"/>
      <c r="G254" s="1"/>
      <c r="H254" s="1" t="str">
        <f>"7806130008182"</f>
        <v>7806130008182</v>
      </c>
      <c r="I254" s="3">
        <v>0</v>
      </c>
      <c r="J254" s="3">
        <v>0</v>
      </c>
      <c r="K254" s="3">
        <v>500</v>
      </c>
    </row>
    <row r="255" spans="1:11" x14ac:dyDescent="0.2">
      <c r="A255" s="1" t="s">
        <v>4994</v>
      </c>
      <c r="B255" s="1" t="s">
        <v>347</v>
      </c>
      <c r="C255" s="1"/>
      <c r="D255" s="1"/>
      <c r="E255" s="1"/>
      <c r="F255" s="1"/>
      <c r="G255" s="1"/>
      <c r="H255" s="1" t="str">
        <f>"44A6AEAANFJ3BC"</f>
        <v>44A6AEAANFJ3BC</v>
      </c>
      <c r="I255" s="3">
        <v>0</v>
      </c>
      <c r="J255" s="3">
        <v>0</v>
      </c>
      <c r="K255" s="3">
        <v>1000</v>
      </c>
    </row>
    <row r="256" spans="1:11" x14ac:dyDescent="0.2">
      <c r="A256" s="1" t="s">
        <v>4994</v>
      </c>
      <c r="B256" s="1" t="s">
        <v>348</v>
      </c>
      <c r="C256" s="1"/>
      <c r="D256" s="1"/>
      <c r="E256" s="1"/>
      <c r="F256" s="1"/>
      <c r="G256" s="1"/>
      <c r="H256" s="1" t="str">
        <f>"35664033101"</f>
        <v>35664033101</v>
      </c>
      <c r="I256" s="3">
        <v>6</v>
      </c>
      <c r="J256" s="3">
        <v>0</v>
      </c>
      <c r="K256" s="3">
        <v>0</v>
      </c>
    </row>
    <row r="257" spans="1:11" x14ac:dyDescent="0.2">
      <c r="A257" s="1" t="s">
        <v>4994</v>
      </c>
      <c r="B257" s="1" t="s">
        <v>349</v>
      </c>
      <c r="C257" s="1"/>
      <c r="D257" s="1"/>
      <c r="E257" s="1"/>
      <c r="F257" s="1"/>
      <c r="G257" s="1"/>
      <c r="H257" s="1" t="str">
        <f>"8000246006059"</f>
        <v>8000246006059</v>
      </c>
      <c r="I257" s="3">
        <v>0</v>
      </c>
      <c r="J257" s="3">
        <v>0</v>
      </c>
      <c r="K257" s="3">
        <v>550</v>
      </c>
    </row>
    <row r="258" spans="1:11" x14ac:dyDescent="0.2">
      <c r="A258" s="1" t="s">
        <v>4994</v>
      </c>
      <c r="B258" s="1" t="s">
        <v>350</v>
      </c>
      <c r="C258" s="1"/>
      <c r="D258" s="1"/>
      <c r="E258" s="1"/>
      <c r="F258" s="1"/>
      <c r="G258" s="1"/>
      <c r="H258" s="1" t="str">
        <f>"6920230614034"</f>
        <v>6920230614034</v>
      </c>
      <c r="I258" s="3">
        <v>0</v>
      </c>
      <c r="J258" s="3">
        <v>0</v>
      </c>
      <c r="K258" s="3">
        <v>300</v>
      </c>
    </row>
    <row r="259" spans="1:11" x14ac:dyDescent="0.2">
      <c r="A259" s="1" t="s">
        <v>4994</v>
      </c>
      <c r="B259" s="1" t="s">
        <v>351</v>
      </c>
      <c r="C259" s="1"/>
      <c r="D259" s="1"/>
      <c r="E259" s="1"/>
      <c r="F259" s="1"/>
      <c r="G259" s="1"/>
      <c r="H259" s="1" t="str">
        <f>"7806130015319"</f>
        <v>7806130015319</v>
      </c>
      <c r="I259" s="3">
        <v>0</v>
      </c>
      <c r="J259" s="3">
        <v>0</v>
      </c>
      <c r="K259" s="3">
        <v>500</v>
      </c>
    </row>
    <row r="260" spans="1:11" x14ac:dyDescent="0.2">
      <c r="A260" s="1" t="s">
        <v>4994</v>
      </c>
      <c r="B260" s="1" t="s">
        <v>352</v>
      </c>
      <c r="C260" s="1"/>
      <c r="D260" s="1"/>
      <c r="E260" s="1"/>
      <c r="F260" s="1"/>
      <c r="G260" s="1"/>
      <c r="H260" s="1" t="str">
        <f>"APOSITO"</f>
        <v>APOSITO</v>
      </c>
      <c r="I260" s="3">
        <v>0</v>
      </c>
      <c r="J260" s="3">
        <v>0</v>
      </c>
      <c r="K260" s="3">
        <v>3500</v>
      </c>
    </row>
    <row r="261" spans="1:11" x14ac:dyDescent="0.2">
      <c r="A261" s="1" t="s">
        <v>4994</v>
      </c>
      <c r="B261" s="1" t="s">
        <v>353</v>
      </c>
      <c r="C261" s="1"/>
      <c r="D261" s="1"/>
      <c r="E261" s="1"/>
      <c r="F261" s="1"/>
      <c r="G261" s="1"/>
      <c r="H261" s="1" t="str">
        <f>"APNG"</f>
        <v>APNG</v>
      </c>
      <c r="I261" s="3">
        <v>0</v>
      </c>
      <c r="J261" s="3">
        <v>0</v>
      </c>
      <c r="K261" s="3">
        <v>500</v>
      </c>
    </row>
    <row r="262" spans="1:11" x14ac:dyDescent="0.2">
      <c r="A262" s="1" t="s">
        <v>4994</v>
      </c>
      <c r="B262" s="1" t="s">
        <v>354</v>
      </c>
      <c r="C262" s="1"/>
      <c r="D262" s="1"/>
      <c r="E262" s="1"/>
      <c r="F262" s="1"/>
      <c r="G262" s="1"/>
      <c r="H262" s="1" t="str">
        <f>"7806130016552"</f>
        <v>7806130016552</v>
      </c>
      <c r="I262" s="3">
        <v>0</v>
      </c>
      <c r="J262" s="3">
        <v>0</v>
      </c>
      <c r="K262" s="3">
        <v>350</v>
      </c>
    </row>
    <row r="263" spans="1:11" x14ac:dyDescent="0.2">
      <c r="A263" s="1" t="s">
        <v>4994</v>
      </c>
      <c r="B263" s="1" t="s">
        <v>355</v>
      </c>
      <c r="C263" s="1"/>
      <c r="D263" s="1"/>
      <c r="E263" s="1"/>
      <c r="F263" s="1"/>
      <c r="G263" s="1"/>
      <c r="H263" s="1" t="str">
        <f>"44A6ASJANFE2BA"</f>
        <v>44A6ASJANFE2BA</v>
      </c>
      <c r="I263" s="3">
        <v>0</v>
      </c>
      <c r="J263" s="3">
        <v>0</v>
      </c>
      <c r="K263" s="3">
        <v>500</v>
      </c>
    </row>
    <row r="264" spans="1:11" x14ac:dyDescent="0.2">
      <c r="A264" s="1" t="s">
        <v>4994</v>
      </c>
      <c r="B264" s="1" t="s">
        <v>356</v>
      </c>
      <c r="C264" s="1"/>
      <c r="D264" s="1"/>
      <c r="E264" s="1"/>
      <c r="F264" s="1"/>
      <c r="G264" s="1"/>
      <c r="H264" s="1" t="str">
        <f>"5341343153"</f>
        <v>5341343153</v>
      </c>
      <c r="I264" s="3">
        <v>0</v>
      </c>
      <c r="J264" s="3">
        <v>0</v>
      </c>
      <c r="K264" s="3">
        <v>2380</v>
      </c>
    </row>
    <row r="265" spans="1:11" x14ac:dyDescent="0.2">
      <c r="A265" s="1" t="s">
        <v>4994</v>
      </c>
      <c r="B265" s="1" t="s">
        <v>357</v>
      </c>
      <c r="C265" s="1"/>
      <c r="D265" s="1"/>
      <c r="E265" s="1"/>
      <c r="F265" s="1"/>
      <c r="G265" s="1"/>
      <c r="H265" s="1" t="str">
        <f>"4415341343"</f>
        <v>4415341343</v>
      </c>
      <c r="I265" s="3">
        <v>0</v>
      </c>
      <c r="J265" s="3">
        <v>0</v>
      </c>
      <c r="K265" s="3">
        <v>1000</v>
      </c>
    </row>
    <row r="266" spans="1:11" x14ac:dyDescent="0.2">
      <c r="A266" s="1" t="s">
        <v>4994</v>
      </c>
      <c r="B266" s="1" t="s">
        <v>358</v>
      </c>
      <c r="C266" s="1"/>
      <c r="D266" s="1"/>
      <c r="E266" s="1"/>
      <c r="F266" s="1"/>
      <c r="G266" s="1"/>
      <c r="H266" s="1" t="str">
        <f>"7794626011252"</f>
        <v>7794626011252</v>
      </c>
      <c r="I266" s="3">
        <v>34</v>
      </c>
      <c r="J266" s="3">
        <v>0</v>
      </c>
      <c r="K266" s="3">
        <v>5500</v>
      </c>
    </row>
    <row r="267" spans="1:11" x14ac:dyDescent="0.2">
      <c r="A267" s="1" t="s">
        <v>4994</v>
      </c>
      <c r="B267" s="1" t="s">
        <v>359</v>
      </c>
      <c r="C267" s="1"/>
      <c r="D267" s="1"/>
      <c r="E267" s="1"/>
      <c r="F267" s="1"/>
      <c r="G267" s="1"/>
      <c r="H267" s="1" t="str">
        <f>"7805633008101"</f>
        <v>7805633008101</v>
      </c>
      <c r="I267" s="3">
        <v>10</v>
      </c>
      <c r="J267" s="3">
        <v>0</v>
      </c>
      <c r="K267" s="3">
        <v>2000</v>
      </c>
    </row>
    <row r="268" spans="1:11" x14ac:dyDescent="0.2">
      <c r="A268" s="1" t="s">
        <v>4994</v>
      </c>
      <c r="B268" s="1" t="s">
        <v>360</v>
      </c>
      <c r="C268" s="1"/>
      <c r="D268" s="1"/>
      <c r="E268" s="1"/>
      <c r="F268" s="1"/>
      <c r="G268" s="1"/>
      <c r="H268" s="1" t="str">
        <f>"7794640171161"</f>
        <v>7794640171161</v>
      </c>
      <c r="I268" s="3">
        <v>0</v>
      </c>
      <c r="J268" s="3">
        <v>0</v>
      </c>
      <c r="K268" s="3">
        <v>2000</v>
      </c>
    </row>
    <row r="269" spans="1:11" x14ac:dyDescent="0.2">
      <c r="A269" s="1" t="s">
        <v>4994</v>
      </c>
      <c r="B269" s="1" t="s">
        <v>361</v>
      </c>
      <c r="C269" s="1"/>
      <c r="D269" s="1"/>
      <c r="E269" s="1"/>
      <c r="F269" s="1"/>
      <c r="G269" s="1"/>
      <c r="H269" s="1" t="str">
        <f>"7804900000596"</f>
        <v>7804900000596</v>
      </c>
      <c r="I269" s="3">
        <v>0</v>
      </c>
      <c r="J269" s="3">
        <v>0</v>
      </c>
      <c r="K269" s="3">
        <v>2000</v>
      </c>
    </row>
    <row r="270" spans="1:11" x14ac:dyDescent="0.2">
      <c r="A270" s="1" t="s">
        <v>4994</v>
      </c>
      <c r="B270" s="1" t="s">
        <v>362</v>
      </c>
      <c r="C270" s="1"/>
      <c r="D270" s="1"/>
      <c r="E270" s="1"/>
      <c r="F270" s="1"/>
      <c r="G270" s="1"/>
      <c r="H270" s="1" t="str">
        <f>"7794640171338"</f>
        <v>7794640171338</v>
      </c>
      <c r="I270" s="3">
        <v>0</v>
      </c>
      <c r="J270" s="3">
        <v>0</v>
      </c>
      <c r="K270" s="3">
        <v>2000</v>
      </c>
    </row>
    <row r="271" spans="1:11" x14ac:dyDescent="0.2">
      <c r="A271" s="1" t="s">
        <v>4994</v>
      </c>
      <c r="B271" s="1" t="s">
        <v>363</v>
      </c>
      <c r="C271" s="1"/>
      <c r="D271" s="1"/>
      <c r="E271" s="1"/>
      <c r="F271" s="1"/>
      <c r="G271" s="1"/>
      <c r="H271" s="1" t="str">
        <f>"7804900000688"</f>
        <v>7804900000688</v>
      </c>
      <c r="I271" s="3">
        <v>0</v>
      </c>
      <c r="J271" s="3">
        <v>0</v>
      </c>
      <c r="K271" s="3">
        <v>4500</v>
      </c>
    </row>
    <row r="272" spans="1:11" x14ac:dyDescent="0.2">
      <c r="A272" s="1" t="s">
        <v>4994</v>
      </c>
      <c r="B272" s="1" t="s">
        <v>364</v>
      </c>
      <c r="C272" s="1"/>
      <c r="D272" s="1"/>
      <c r="E272" s="1"/>
      <c r="F272" s="1"/>
      <c r="G272" s="1"/>
      <c r="H272" s="1" t="str">
        <f>"7804900000541"</f>
        <v>7804900000541</v>
      </c>
      <c r="I272" s="3">
        <v>0</v>
      </c>
      <c r="J272" s="3">
        <v>0</v>
      </c>
      <c r="K272" s="3">
        <v>2000</v>
      </c>
    </row>
    <row r="273" spans="1:11" x14ac:dyDescent="0.2">
      <c r="A273" s="1" t="s">
        <v>4994</v>
      </c>
      <c r="B273" s="1" t="s">
        <v>365</v>
      </c>
      <c r="C273" s="1"/>
      <c r="D273" s="1"/>
      <c r="E273" s="1"/>
      <c r="F273" s="1"/>
      <c r="G273" s="1"/>
      <c r="H273" s="1" t="str">
        <f>"7794640172311"</f>
        <v>7794640172311</v>
      </c>
      <c r="I273" s="3">
        <v>0</v>
      </c>
      <c r="J273" s="3">
        <v>0</v>
      </c>
      <c r="K273" s="3">
        <v>1500</v>
      </c>
    </row>
    <row r="274" spans="1:11" x14ac:dyDescent="0.2">
      <c r="A274" s="1" t="s">
        <v>4994</v>
      </c>
      <c r="B274" s="1" t="s">
        <v>366</v>
      </c>
      <c r="C274" s="1"/>
      <c r="D274" s="1"/>
      <c r="E274" s="1"/>
      <c r="F274" s="1"/>
      <c r="G274" s="1"/>
      <c r="H274" s="1" t="str">
        <f>"4005800268731"</f>
        <v>4005800268731</v>
      </c>
      <c r="I274" s="3">
        <v>13</v>
      </c>
      <c r="J274" s="3">
        <v>0</v>
      </c>
      <c r="K274" s="3">
        <v>10000</v>
      </c>
    </row>
    <row r="275" spans="1:11" x14ac:dyDescent="0.2">
      <c r="A275" s="1" t="s">
        <v>4994</v>
      </c>
      <c r="B275" s="1" t="s">
        <v>367</v>
      </c>
      <c r="C275" s="1"/>
      <c r="D275" s="1"/>
      <c r="E275" s="1"/>
      <c r="F275" s="1"/>
      <c r="G275" s="1"/>
      <c r="H275" s="1" t="str">
        <f>"7805633026846"</f>
        <v>7805633026846</v>
      </c>
      <c r="I275" s="3">
        <v>27</v>
      </c>
      <c r="J275" s="3">
        <v>0</v>
      </c>
      <c r="K275" s="3">
        <v>2000</v>
      </c>
    </row>
    <row r="276" spans="1:11" x14ac:dyDescent="0.2">
      <c r="A276" s="1" t="s">
        <v>4994</v>
      </c>
      <c r="B276" s="1" t="s">
        <v>369</v>
      </c>
      <c r="C276" s="1"/>
      <c r="D276" s="1"/>
      <c r="E276" s="1"/>
      <c r="F276" s="1"/>
      <c r="G276" s="1"/>
      <c r="H276" s="1" t="str">
        <f>"7640109053274"</f>
        <v>7640109053274</v>
      </c>
      <c r="I276" s="3">
        <v>0</v>
      </c>
      <c r="J276" s="3">
        <v>0</v>
      </c>
      <c r="K276" s="3">
        <v>22000</v>
      </c>
    </row>
    <row r="277" spans="1:11" x14ac:dyDescent="0.2">
      <c r="A277" s="1" t="s">
        <v>4994</v>
      </c>
      <c r="B277" s="1" t="s">
        <v>370</v>
      </c>
      <c r="C277" s="1"/>
      <c r="D277" s="1"/>
      <c r="E277" s="1"/>
      <c r="F277" s="1"/>
      <c r="G277" s="1"/>
      <c r="H277" s="1" t="str">
        <f>"2000341103123"</f>
        <v>2000341103123</v>
      </c>
      <c r="I277" s="3">
        <v>0</v>
      </c>
      <c r="J277" s="3">
        <v>0</v>
      </c>
      <c r="K277" s="3">
        <v>4500</v>
      </c>
    </row>
    <row r="278" spans="1:11" x14ac:dyDescent="0.2">
      <c r="A278" s="1" t="s">
        <v>4994</v>
      </c>
      <c r="B278" s="1" t="s">
        <v>371</v>
      </c>
      <c r="C278" s="1"/>
      <c r="D278" s="1"/>
      <c r="E278" s="1"/>
      <c r="F278" s="1"/>
      <c r="G278" s="1"/>
      <c r="H278" s="1" t="str">
        <f>"7800007810083"</f>
        <v>7800007810083</v>
      </c>
      <c r="I278" s="3">
        <v>0</v>
      </c>
      <c r="J278" s="3">
        <v>0</v>
      </c>
      <c r="K278" s="3">
        <v>5500</v>
      </c>
    </row>
    <row r="279" spans="1:11" x14ac:dyDescent="0.2">
      <c r="A279" s="1" t="s">
        <v>4994</v>
      </c>
      <c r="B279" s="1" t="s">
        <v>372</v>
      </c>
      <c r="C279" s="1"/>
      <c r="D279" s="1"/>
      <c r="E279" s="1"/>
      <c r="F279" s="1"/>
      <c r="G279" s="1"/>
      <c r="H279" s="1" t="str">
        <f>"7804650885276"</f>
        <v>7804650885276</v>
      </c>
      <c r="I279" s="3">
        <v>0</v>
      </c>
      <c r="J279" s="3">
        <v>0</v>
      </c>
      <c r="K279" s="3">
        <v>15000</v>
      </c>
    </row>
    <row r="280" spans="1:11" x14ac:dyDescent="0.2">
      <c r="A280" s="1" t="s">
        <v>4994</v>
      </c>
      <c r="B280" s="1" t="s">
        <v>375</v>
      </c>
      <c r="C280" s="1"/>
      <c r="D280" s="1"/>
      <c r="E280" s="1"/>
      <c r="F280" s="1"/>
      <c r="G280" s="1"/>
      <c r="H280" s="1" t="str">
        <f>"7800007810076"</f>
        <v>7800007810076</v>
      </c>
      <c r="I280" s="3">
        <v>0</v>
      </c>
      <c r="J280" s="3">
        <v>0</v>
      </c>
      <c r="K280" s="3">
        <v>6500</v>
      </c>
    </row>
    <row r="281" spans="1:11" x14ac:dyDescent="0.2">
      <c r="A281" s="1" t="s">
        <v>4994</v>
      </c>
      <c r="B281" s="1" t="s">
        <v>376</v>
      </c>
      <c r="C281" s="1"/>
      <c r="D281" s="1"/>
      <c r="E281" s="1"/>
      <c r="F281" s="1"/>
      <c r="G281" s="1"/>
      <c r="H281" s="1" t="str">
        <f>"7804681740230"</f>
        <v>7804681740230</v>
      </c>
      <c r="I281" s="3">
        <v>0</v>
      </c>
      <c r="J281" s="3">
        <v>0</v>
      </c>
      <c r="K281" s="3">
        <v>5000</v>
      </c>
    </row>
    <row r="282" spans="1:11" x14ac:dyDescent="0.2">
      <c r="A282" s="1" t="s">
        <v>4994</v>
      </c>
      <c r="B282" s="1" t="s">
        <v>377</v>
      </c>
      <c r="C282" s="1"/>
      <c r="D282" s="1"/>
      <c r="E282" s="1"/>
      <c r="F282" s="1"/>
      <c r="G282" s="1"/>
      <c r="H282" s="1" t="str">
        <f>"8437020503440"</f>
        <v>8437020503440</v>
      </c>
      <c r="I282" s="3">
        <v>0</v>
      </c>
      <c r="J282" s="3">
        <v>0</v>
      </c>
      <c r="K282" s="3">
        <v>9500</v>
      </c>
    </row>
    <row r="283" spans="1:11" x14ac:dyDescent="0.2">
      <c r="A283" s="1" t="s">
        <v>4994</v>
      </c>
      <c r="B283" s="1" t="s">
        <v>378</v>
      </c>
      <c r="C283" s="1"/>
      <c r="D283" s="1"/>
      <c r="E283" s="1"/>
      <c r="F283" s="1"/>
      <c r="G283" s="1"/>
      <c r="H283" s="1" t="str">
        <f>"7804653720390"</f>
        <v>7804653720390</v>
      </c>
      <c r="I283" s="3">
        <v>0</v>
      </c>
      <c r="J283" s="3">
        <v>0</v>
      </c>
      <c r="K283" s="3">
        <v>15000</v>
      </c>
    </row>
    <row r="284" spans="1:11" x14ac:dyDescent="0.2">
      <c r="A284" s="1" t="s">
        <v>4994</v>
      </c>
      <c r="B284" s="1" t="s">
        <v>379</v>
      </c>
      <c r="C284" s="1"/>
      <c r="D284" s="1"/>
      <c r="E284" s="1"/>
      <c r="F284" s="1"/>
      <c r="G284" s="1"/>
      <c r="H284" s="1" t="str">
        <f>"7804653720406"</f>
        <v>7804653720406</v>
      </c>
      <c r="I284" s="3">
        <v>0</v>
      </c>
      <c r="J284" s="3">
        <v>0</v>
      </c>
      <c r="K284" s="3">
        <v>12000</v>
      </c>
    </row>
    <row r="285" spans="1:11" x14ac:dyDescent="0.2">
      <c r="A285" s="1" t="s">
        <v>4994</v>
      </c>
      <c r="B285" s="1" t="s">
        <v>380</v>
      </c>
      <c r="C285" s="1"/>
      <c r="D285" s="1"/>
      <c r="E285" s="1"/>
      <c r="F285" s="1"/>
      <c r="G285" s="1"/>
      <c r="H285" s="1" t="str">
        <f>"7804656600507"</f>
        <v>7804656600507</v>
      </c>
      <c r="I285" s="3">
        <v>0</v>
      </c>
      <c r="J285" s="3">
        <v>0</v>
      </c>
      <c r="K285" s="3">
        <v>19000</v>
      </c>
    </row>
    <row r="286" spans="1:11" x14ac:dyDescent="0.2">
      <c r="A286" s="1" t="s">
        <v>4994</v>
      </c>
      <c r="B286" s="1" t="s">
        <v>381</v>
      </c>
      <c r="C286" s="1"/>
      <c r="D286" s="1"/>
      <c r="E286" s="1"/>
      <c r="F286" s="1"/>
      <c r="G286" s="1"/>
      <c r="H286" s="1" t="str">
        <f>"7804656600491"</f>
        <v>7804656600491</v>
      </c>
      <c r="I286" s="3">
        <v>1</v>
      </c>
      <c r="J286" s="3">
        <v>0</v>
      </c>
      <c r="K286" s="3">
        <v>17000</v>
      </c>
    </row>
    <row r="287" spans="1:11" x14ac:dyDescent="0.2">
      <c r="A287" s="1" t="s">
        <v>4994</v>
      </c>
      <c r="B287" s="1" t="s">
        <v>382</v>
      </c>
      <c r="C287" s="1"/>
      <c r="D287" s="1"/>
      <c r="E287" s="1"/>
      <c r="F287" s="1"/>
      <c r="G287" s="1"/>
      <c r="H287" s="1" t="str">
        <f>"7800026015162"</f>
        <v>7800026015162</v>
      </c>
      <c r="I287" s="3">
        <v>0</v>
      </c>
      <c r="J287" s="3">
        <v>0</v>
      </c>
      <c r="K287" s="3">
        <v>14000</v>
      </c>
    </row>
    <row r="288" spans="1:11" x14ac:dyDescent="0.2">
      <c r="A288" s="1" t="s">
        <v>4994</v>
      </c>
      <c r="B288" s="1" t="s">
        <v>383</v>
      </c>
      <c r="C288" s="1"/>
      <c r="D288" s="1"/>
      <c r="E288" s="1"/>
      <c r="F288" s="1"/>
      <c r="G288" s="1"/>
      <c r="H288" s="1" t="str">
        <f>"7800004227426"</f>
        <v>7800004227426</v>
      </c>
      <c r="I288" s="3">
        <v>0</v>
      </c>
      <c r="J288" s="3">
        <v>0</v>
      </c>
      <c r="K288" s="3">
        <v>2500</v>
      </c>
    </row>
    <row r="289" spans="1:11" x14ac:dyDescent="0.2">
      <c r="A289" s="1" t="s">
        <v>4994</v>
      </c>
      <c r="B289" s="1" t="s">
        <v>384</v>
      </c>
      <c r="C289" s="1"/>
      <c r="D289" s="1"/>
      <c r="E289" s="1"/>
      <c r="F289" s="1"/>
      <c r="G289" s="1"/>
      <c r="H289" s="1" t="str">
        <f>"7800004509225"</f>
        <v>7800004509225</v>
      </c>
      <c r="I289" s="3">
        <v>0</v>
      </c>
      <c r="J289" s="3">
        <v>0</v>
      </c>
      <c r="K289" s="3">
        <v>2000</v>
      </c>
    </row>
    <row r="290" spans="1:11" x14ac:dyDescent="0.2">
      <c r="A290" s="1" t="s">
        <v>4994</v>
      </c>
      <c r="B290" s="1" t="s">
        <v>385</v>
      </c>
      <c r="C290" s="1"/>
      <c r="D290" s="1"/>
      <c r="E290" s="1"/>
      <c r="F290" s="1"/>
      <c r="G290" s="1"/>
      <c r="H290" s="1" t="str">
        <f>"7800004506149"</f>
        <v>7800004506149</v>
      </c>
      <c r="I290" s="3">
        <v>0</v>
      </c>
      <c r="J290" s="3">
        <v>0</v>
      </c>
      <c r="K290" s="3">
        <v>2500</v>
      </c>
    </row>
    <row r="291" spans="1:11" x14ac:dyDescent="0.2">
      <c r="A291" s="1" t="s">
        <v>4994</v>
      </c>
      <c r="B291" s="1" t="s">
        <v>386</v>
      </c>
      <c r="C291" s="1"/>
      <c r="D291" s="1"/>
      <c r="E291" s="1"/>
      <c r="F291" s="1"/>
      <c r="G291" s="1"/>
      <c r="H291" s="1" t="str">
        <f>"7800004000258"</f>
        <v>7800004000258</v>
      </c>
      <c r="I291" s="3">
        <v>0</v>
      </c>
      <c r="J291" s="3">
        <v>0</v>
      </c>
      <c r="K291" s="3">
        <v>2500</v>
      </c>
    </row>
    <row r="292" spans="1:11" x14ac:dyDescent="0.2">
      <c r="A292" s="1" t="s">
        <v>4994</v>
      </c>
      <c r="B292" s="1" t="s">
        <v>387</v>
      </c>
      <c r="C292" s="1"/>
      <c r="D292" s="1"/>
      <c r="E292" s="1"/>
      <c r="F292" s="1"/>
      <c r="G292" s="1"/>
      <c r="H292" s="1" t="str">
        <f>"2000110412197"</f>
        <v>2000110412197</v>
      </c>
      <c r="I292" s="3">
        <v>0</v>
      </c>
      <c r="J292" s="3">
        <v>0</v>
      </c>
      <c r="K292" s="3">
        <v>2500</v>
      </c>
    </row>
    <row r="293" spans="1:11" x14ac:dyDescent="0.2">
      <c r="A293" s="1" t="s">
        <v>4994</v>
      </c>
      <c r="B293" s="1" t="s">
        <v>388</v>
      </c>
      <c r="C293" s="1"/>
      <c r="D293" s="1"/>
      <c r="E293" s="1"/>
      <c r="F293" s="1"/>
      <c r="G293" s="1"/>
      <c r="H293" s="1" t="str">
        <f>"2000341103130"</f>
        <v>2000341103130</v>
      </c>
      <c r="I293" s="3">
        <v>0</v>
      </c>
      <c r="J293" s="3">
        <v>0</v>
      </c>
      <c r="K293" s="3">
        <v>6000</v>
      </c>
    </row>
    <row r="294" spans="1:11" x14ac:dyDescent="0.2">
      <c r="A294" s="1" t="s">
        <v>4994</v>
      </c>
      <c r="B294" s="1" t="s">
        <v>389</v>
      </c>
      <c r="C294" s="1"/>
      <c r="D294" s="1"/>
      <c r="E294" s="1"/>
      <c r="F294" s="1"/>
      <c r="G294" s="1"/>
      <c r="H294" s="1" t="str">
        <f>"7803504005808"</f>
        <v>7803504005808</v>
      </c>
      <c r="I294" s="3">
        <v>46</v>
      </c>
      <c r="J294" s="3">
        <v>0</v>
      </c>
      <c r="K294" s="3">
        <v>5000</v>
      </c>
    </row>
    <row r="295" spans="1:11" x14ac:dyDescent="0.2">
      <c r="A295" s="1" t="s">
        <v>4994</v>
      </c>
      <c r="B295" s="1" t="s">
        <v>390</v>
      </c>
      <c r="C295" s="1"/>
      <c r="D295" s="1"/>
      <c r="E295" s="1"/>
      <c r="F295" s="1"/>
      <c r="G295" s="1"/>
      <c r="H295" s="1" t="str">
        <f>"7800026015698"</f>
        <v>7800026015698</v>
      </c>
      <c r="I295" s="3">
        <v>0</v>
      </c>
      <c r="J295" s="3">
        <v>0</v>
      </c>
      <c r="K295" s="3">
        <v>25000</v>
      </c>
    </row>
    <row r="296" spans="1:11" x14ac:dyDescent="0.2">
      <c r="A296" s="1" t="s">
        <v>4994</v>
      </c>
      <c r="B296" s="1" t="s">
        <v>391</v>
      </c>
      <c r="C296" s="1"/>
      <c r="D296" s="1"/>
      <c r="E296" s="1"/>
      <c r="F296" s="1"/>
      <c r="G296" s="1"/>
      <c r="H296" s="1" t="str">
        <f>"7809561400662"</f>
        <v>7809561400662</v>
      </c>
      <c r="I296" s="3">
        <v>3</v>
      </c>
      <c r="J296" s="3">
        <v>0</v>
      </c>
      <c r="K296" s="3">
        <v>20000</v>
      </c>
    </row>
    <row r="297" spans="1:11" x14ac:dyDescent="0.2">
      <c r="A297" s="1" t="s">
        <v>4994</v>
      </c>
      <c r="B297" s="1" t="s">
        <v>392</v>
      </c>
      <c r="C297" s="1"/>
      <c r="D297" s="1"/>
      <c r="E297" s="1"/>
      <c r="F297" s="1"/>
      <c r="G297" s="1"/>
      <c r="H297" s="1" t="str">
        <f>"7809561400518"</f>
        <v>7809561400518</v>
      </c>
      <c r="I297" s="3">
        <v>0</v>
      </c>
      <c r="J297" s="3">
        <v>0</v>
      </c>
      <c r="K297" s="3">
        <v>18000</v>
      </c>
    </row>
    <row r="298" spans="1:11" x14ac:dyDescent="0.2">
      <c r="A298" s="1" t="s">
        <v>4994</v>
      </c>
      <c r="B298" s="1" t="s">
        <v>394</v>
      </c>
      <c r="C298" s="1"/>
      <c r="D298" s="1"/>
      <c r="E298" s="1"/>
      <c r="F298" s="1"/>
      <c r="G298" s="1"/>
      <c r="H298" s="1" t="str">
        <f>"7809591402742"</f>
        <v>7809591402742</v>
      </c>
      <c r="I298" s="3">
        <v>0</v>
      </c>
      <c r="J298" s="3">
        <v>0</v>
      </c>
      <c r="K298" s="3">
        <v>67000</v>
      </c>
    </row>
    <row r="299" spans="1:11" x14ac:dyDescent="0.2">
      <c r="A299" s="1" t="s">
        <v>4994</v>
      </c>
      <c r="B299" s="1" t="s">
        <v>396</v>
      </c>
      <c r="C299" s="1"/>
      <c r="D299" s="1"/>
      <c r="E299" s="1"/>
      <c r="F299" s="1"/>
      <c r="G299" s="1"/>
      <c r="H299" s="1" t="str">
        <f>"7803504002319"</f>
        <v>7803504002319</v>
      </c>
      <c r="I299" s="3">
        <v>0</v>
      </c>
      <c r="J299" s="3">
        <v>0</v>
      </c>
      <c r="K299" s="3">
        <v>10000</v>
      </c>
    </row>
    <row r="300" spans="1:11" x14ac:dyDescent="0.2">
      <c r="A300" s="1" t="s">
        <v>4994</v>
      </c>
      <c r="B300" s="1" t="s">
        <v>397</v>
      </c>
      <c r="C300" s="1"/>
      <c r="D300" s="1"/>
      <c r="E300" s="1"/>
      <c r="F300" s="1"/>
      <c r="G300" s="1"/>
      <c r="H300" s="1" t="str">
        <f>"7795347980483"</f>
        <v>7795347980483</v>
      </c>
      <c r="I300" s="3">
        <v>0</v>
      </c>
      <c r="J300" s="3">
        <v>0</v>
      </c>
      <c r="K300" s="3">
        <v>12000</v>
      </c>
    </row>
    <row r="301" spans="1:11" x14ac:dyDescent="0.2">
      <c r="A301" s="1" t="s">
        <v>4994</v>
      </c>
      <c r="B301" s="1" t="s">
        <v>398</v>
      </c>
      <c r="C301" s="1"/>
      <c r="D301" s="1"/>
      <c r="E301" s="1"/>
      <c r="F301" s="1"/>
      <c r="G301" s="1"/>
      <c r="H301" s="1" t="str">
        <f>"650240007828"</f>
        <v>650240007828</v>
      </c>
      <c r="I301" s="3">
        <v>5</v>
      </c>
      <c r="J301" s="3">
        <v>0</v>
      </c>
      <c r="K301" s="3">
        <v>5500</v>
      </c>
    </row>
    <row r="302" spans="1:11" x14ac:dyDescent="0.2">
      <c r="A302" s="1" t="s">
        <v>4994</v>
      </c>
      <c r="B302" s="1" t="s">
        <v>399</v>
      </c>
      <c r="C302" s="1"/>
      <c r="D302" s="1"/>
      <c r="E302" s="1"/>
      <c r="F302" s="1"/>
      <c r="G302" s="1"/>
      <c r="H302" s="1" t="str">
        <f>"650240035401"</f>
        <v>650240035401</v>
      </c>
      <c r="I302" s="3">
        <v>10</v>
      </c>
      <c r="J302" s="3">
        <v>0</v>
      </c>
      <c r="K302" s="3">
        <v>4000</v>
      </c>
    </row>
    <row r="303" spans="1:11" x14ac:dyDescent="0.2">
      <c r="A303" s="1" t="s">
        <v>4994</v>
      </c>
      <c r="B303" s="1" t="s">
        <v>400</v>
      </c>
      <c r="C303" s="1"/>
      <c r="D303" s="1"/>
      <c r="E303" s="1"/>
      <c r="F303" s="1"/>
      <c r="G303" s="1"/>
      <c r="H303" s="1" t="str">
        <f>"650240004643"</f>
        <v>650240004643</v>
      </c>
      <c r="I303" s="3">
        <v>9</v>
      </c>
      <c r="J303" s="3">
        <v>0</v>
      </c>
      <c r="K303" s="3">
        <v>4000</v>
      </c>
    </row>
    <row r="304" spans="1:11" x14ac:dyDescent="0.2">
      <c r="A304" s="1" t="s">
        <v>4994</v>
      </c>
      <c r="B304" s="1" t="s">
        <v>401</v>
      </c>
      <c r="C304" s="1"/>
      <c r="D304" s="1"/>
      <c r="E304" s="1"/>
      <c r="F304" s="1"/>
      <c r="G304" s="1"/>
      <c r="H304" s="1" t="str">
        <f>"650240036965"</f>
        <v>650240036965</v>
      </c>
      <c r="I304" s="3">
        <v>5</v>
      </c>
      <c r="J304" s="3">
        <v>0</v>
      </c>
      <c r="K304" s="3">
        <v>4500</v>
      </c>
    </row>
    <row r="305" spans="1:11" x14ac:dyDescent="0.2">
      <c r="A305" s="1" t="s">
        <v>4994</v>
      </c>
      <c r="B305" s="1" t="s">
        <v>402</v>
      </c>
      <c r="C305" s="1"/>
      <c r="D305" s="1"/>
      <c r="E305" s="1"/>
      <c r="F305" s="1"/>
      <c r="G305" s="1"/>
      <c r="H305" s="1" t="str">
        <f>"650240051609"</f>
        <v>650240051609</v>
      </c>
      <c r="I305" s="3">
        <v>0</v>
      </c>
      <c r="J305" s="3">
        <v>0</v>
      </c>
      <c r="K305" s="3">
        <v>8000</v>
      </c>
    </row>
    <row r="306" spans="1:11" x14ac:dyDescent="0.2">
      <c r="A306" s="1" t="s">
        <v>4994</v>
      </c>
      <c r="B306" s="1" t="s">
        <v>403</v>
      </c>
      <c r="C306" s="1"/>
      <c r="D306" s="1"/>
      <c r="E306" s="1"/>
      <c r="F306" s="1"/>
      <c r="G306" s="1"/>
      <c r="H306" s="1" t="str">
        <f>"650240004001"</f>
        <v>650240004001</v>
      </c>
      <c r="I306" s="3">
        <v>1</v>
      </c>
      <c r="J306" s="3">
        <v>0</v>
      </c>
      <c r="K306" s="3">
        <v>7500</v>
      </c>
    </row>
    <row r="307" spans="1:11" x14ac:dyDescent="0.2">
      <c r="A307" s="1" t="s">
        <v>4994</v>
      </c>
      <c r="B307" s="1" t="s">
        <v>404</v>
      </c>
      <c r="C307" s="1"/>
      <c r="D307" s="1"/>
      <c r="E307" s="1"/>
      <c r="F307" s="1"/>
      <c r="G307" s="1"/>
      <c r="H307" s="1" t="str">
        <f>"799192435300"</f>
        <v>799192435300</v>
      </c>
      <c r="I307" s="3">
        <v>4</v>
      </c>
      <c r="J307" s="3">
        <v>0</v>
      </c>
      <c r="K307" s="3">
        <v>9000</v>
      </c>
    </row>
    <row r="308" spans="1:11" x14ac:dyDescent="0.2">
      <c r="A308" s="1" t="s">
        <v>4994</v>
      </c>
      <c r="B308" s="1" t="s">
        <v>405</v>
      </c>
      <c r="C308" s="1"/>
      <c r="D308" s="1"/>
      <c r="E308" s="1"/>
      <c r="F308" s="1"/>
      <c r="G308" s="1"/>
      <c r="H308" s="1" t="str">
        <f>"4710693250786"</f>
        <v>4710693250786</v>
      </c>
      <c r="I308" s="3">
        <v>0</v>
      </c>
      <c r="J308" s="3">
        <v>0</v>
      </c>
      <c r="K308" s="3">
        <v>5000</v>
      </c>
    </row>
    <row r="309" spans="1:11" x14ac:dyDescent="0.2">
      <c r="A309" s="1" t="s">
        <v>4994</v>
      </c>
      <c r="B309" s="1" t="s">
        <v>406</v>
      </c>
      <c r="C309" s="1"/>
      <c r="D309" s="1"/>
      <c r="E309" s="1"/>
      <c r="F309" s="1"/>
      <c r="G309" s="1"/>
      <c r="H309" s="1" t="str">
        <f>"7804945024311"</f>
        <v>7804945024311</v>
      </c>
      <c r="I309" s="3">
        <v>1</v>
      </c>
      <c r="J309" s="3">
        <v>0</v>
      </c>
      <c r="K309" s="3">
        <v>8000</v>
      </c>
    </row>
    <row r="310" spans="1:11" x14ac:dyDescent="0.2">
      <c r="A310" s="1" t="s">
        <v>4994</v>
      </c>
      <c r="B310" s="1" t="s">
        <v>407</v>
      </c>
      <c r="C310" s="1"/>
      <c r="D310" s="1"/>
      <c r="E310" s="1"/>
      <c r="F310" s="1"/>
      <c r="G310" s="1"/>
      <c r="H310" s="1" t="str">
        <f>"8850217700376"</f>
        <v>8850217700376</v>
      </c>
      <c r="I310" s="3">
        <v>0</v>
      </c>
      <c r="J310" s="3">
        <v>0</v>
      </c>
      <c r="K310" s="3">
        <v>3500</v>
      </c>
    </row>
    <row r="311" spans="1:11" x14ac:dyDescent="0.2">
      <c r="A311" s="1" t="s">
        <v>4994</v>
      </c>
      <c r="B311" s="1" t="s">
        <v>412</v>
      </c>
      <c r="C311" s="1"/>
      <c r="D311" s="1"/>
      <c r="E311" s="1"/>
      <c r="F311" s="1"/>
      <c r="G311" s="1"/>
      <c r="H311" s="1" t="str">
        <f>"7800026024461"</f>
        <v>7800026024461</v>
      </c>
      <c r="I311" s="3">
        <v>0</v>
      </c>
      <c r="J311" s="3">
        <v>0</v>
      </c>
      <c r="K311" s="3">
        <v>19000</v>
      </c>
    </row>
    <row r="312" spans="1:11" x14ac:dyDescent="0.2">
      <c r="A312" s="1" t="s">
        <v>4994</v>
      </c>
      <c r="B312" s="1" t="s">
        <v>425</v>
      </c>
      <c r="C312" s="1"/>
      <c r="D312" s="1"/>
      <c r="E312" s="1"/>
      <c r="F312" s="1"/>
      <c r="G312" s="1"/>
      <c r="H312" s="1" t="str">
        <f>"4048846003836"</f>
        <v>4048846003836</v>
      </c>
      <c r="I312" s="3">
        <v>0</v>
      </c>
      <c r="J312" s="3">
        <v>0</v>
      </c>
      <c r="K312" s="3">
        <v>30000</v>
      </c>
    </row>
    <row r="313" spans="1:11" x14ac:dyDescent="0.2">
      <c r="A313" s="1" t="s">
        <v>4994</v>
      </c>
      <c r="B313" s="1" t="s">
        <v>426</v>
      </c>
      <c r="C313" s="1"/>
      <c r="D313" s="1"/>
      <c r="E313" s="1"/>
      <c r="F313" s="1"/>
      <c r="G313" s="1"/>
      <c r="H313" s="1" t="str">
        <f>"7804969109124"</f>
        <v>7804969109124</v>
      </c>
      <c r="I313" s="3">
        <v>0</v>
      </c>
      <c r="J313" s="3">
        <v>0</v>
      </c>
      <c r="K313" s="3">
        <v>2500</v>
      </c>
    </row>
    <row r="314" spans="1:11" x14ac:dyDescent="0.2">
      <c r="A314" s="1" t="s">
        <v>4994</v>
      </c>
      <c r="B314" s="1" t="s">
        <v>427</v>
      </c>
      <c r="C314" s="1"/>
      <c r="D314" s="1"/>
      <c r="E314" s="1"/>
      <c r="F314" s="1"/>
      <c r="G314" s="1"/>
      <c r="H314" s="1" t="str">
        <f>"7804969128217"</f>
        <v>7804969128217</v>
      </c>
      <c r="I314" s="3">
        <v>0</v>
      </c>
      <c r="J314" s="3">
        <v>0</v>
      </c>
      <c r="K314" s="3">
        <v>4500</v>
      </c>
    </row>
    <row r="315" spans="1:11" x14ac:dyDescent="0.2">
      <c r="A315" s="1" t="s">
        <v>4994</v>
      </c>
      <c r="B315" s="1" t="s">
        <v>428</v>
      </c>
      <c r="C315" s="1"/>
      <c r="D315" s="1"/>
      <c r="E315" s="1"/>
      <c r="F315" s="1"/>
      <c r="G315" s="1"/>
      <c r="H315" s="1" t="str">
        <f>"7804969129313"</f>
        <v>7804969129313</v>
      </c>
      <c r="I315" s="3">
        <v>0</v>
      </c>
      <c r="J315" s="3">
        <v>0</v>
      </c>
      <c r="K315" s="3">
        <v>3500</v>
      </c>
    </row>
    <row r="316" spans="1:11" x14ac:dyDescent="0.2">
      <c r="A316" s="1" t="s">
        <v>4994</v>
      </c>
      <c r="B316" s="1" t="s">
        <v>429</v>
      </c>
      <c r="C316" s="1"/>
      <c r="D316" s="1"/>
      <c r="E316" s="1"/>
      <c r="F316" s="1"/>
      <c r="G316" s="1"/>
      <c r="H316" s="1" t="str">
        <f>"7804969109131"</f>
        <v>7804969109131</v>
      </c>
      <c r="I316" s="3">
        <v>0</v>
      </c>
      <c r="J316" s="3">
        <v>0</v>
      </c>
      <c r="K316" s="3">
        <v>2500</v>
      </c>
    </row>
    <row r="317" spans="1:11" x14ac:dyDescent="0.2">
      <c r="A317" s="1" t="s">
        <v>4994</v>
      </c>
      <c r="B317" s="1" t="s">
        <v>432</v>
      </c>
      <c r="C317" s="1"/>
      <c r="D317" s="1"/>
      <c r="E317" s="1"/>
      <c r="F317" s="1"/>
      <c r="G317" s="1"/>
      <c r="H317" s="1" t="str">
        <f>"7800026006825"</f>
        <v>7800026006825</v>
      </c>
      <c r="I317" s="3">
        <v>0</v>
      </c>
      <c r="J317" s="3">
        <v>0</v>
      </c>
      <c r="K317" s="3">
        <v>48000</v>
      </c>
    </row>
    <row r="318" spans="1:11" x14ac:dyDescent="0.2">
      <c r="A318" s="1" t="s">
        <v>4994</v>
      </c>
      <c r="B318" s="1" t="s">
        <v>433</v>
      </c>
      <c r="C318" s="1"/>
      <c r="D318" s="1"/>
      <c r="E318" s="1"/>
      <c r="F318" s="1"/>
      <c r="G318" s="1"/>
      <c r="H318" s="1" t="str">
        <f>"7800026006832"</f>
        <v>7800026006832</v>
      </c>
      <c r="I318" s="3">
        <v>0</v>
      </c>
      <c r="J318" s="3">
        <v>0</v>
      </c>
      <c r="K318" s="3">
        <v>44000</v>
      </c>
    </row>
    <row r="319" spans="1:11" x14ac:dyDescent="0.2">
      <c r="A319" s="1" t="s">
        <v>4994</v>
      </c>
      <c r="B319" s="1" t="s">
        <v>434</v>
      </c>
      <c r="C319" s="1"/>
      <c r="D319" s="1"/>
      <c r="E319" s="1"/>
      <c r="F319" s="1"/>
      <c r="G319" s="1"/>
      <c r="H319" s="1" t="str">
        <f>"7804657990805"</f>
        <v>7804657990805</v>
      </c>
      <c r="I319" s="3">
        <v>0</v>
      </c>
      <c r="J319" s="3">
        <v>0</v>
      </c>
      <c r="K319" s="3">
        <v>5000</v>
      </c>
    </row>
    <row r="320" spans="1:11" x14ac:dyDescent="0.2">
      <c r="A320" s="1" t="s">
        <v>4994</v>
      </c>
      <c r="B320" s="1" t="s">
        <v>435</v>
      </c>
      <c r="C320" s="1"/>
      <c r="D320" s="1"/>
      <c r="E320" s="1"/>
      <c r="F320" s="1"/>
      <c r="G320" s="1"/>
      <c r="H320" s="1" t="str">
        <f>"7800004003051"</f>
        <v>7800004003051</v>
      </c>
      <c r="I320" s="3">
        <v>0</v>
      </c>
      <c r="J320" s="3">
        <v>0</v>
      </c>
      <c r="K320" s="3">
        <v>6500</v>
      </c>
    </row>
    <row r="321" spans="1:11" x14ac:dyDescent="0.2">
      <c r="A321" s="1" t="s">
        <v>4994</v>
      </c>
      <c r="B321" s="1" t="s">
        <v>436</v>
      </c>
      <c r="C321" s="1"/>
      <c r="D321" s="1"/>
      <c r="E321" s="1"/>
      <c r="F321" s="1"/>
      <c r="G321" s="1"/>
      <c r="H321" s="1" t="str">
        <f>"7800029000301"</f>
        <v>7800029000301</v>
      </c>
      <c r="I321" s="3">
        <v>12</v>
      </c>
      <c r="J321" s="3">
        <v>0</v>
      </c>
      <c r="K321" s="3">
        <v>20000</v>
      </c>
    </row>
    <row r="322" spans="1:11" x14ac:dyDescent="0.2">
      <c r="A322" s="1" t="s">
        <v>4994</v>
      </c>
      <c r="B322" s="1" t="s">
        <v>437</v>
      </c>
      <c r="C322" s="1"/>
      <c r="D322" s="1"/>
      <c r="E322" s="1"/>
      <c r="F322" s="1"/>
      <c r="G322" s="1"/>
      <c r="H322" s="1" t="str">
        <f>"VNSTIV"</f>
        <v>VNSTIV</v>
      </c>
      <c r="I322" s="3">
        <v>0</v>
      </c>
      <c r="J322" s="3">
        <v>0</v>
      </c>
      <c r="K322" s="3">
        <v>8000</v>
      </c>
    </row>
    <row r="323" spans="1:11" x14ac:dyDescent="0.2">
      <c r="A323" s="1" t="s">
        <v>4994</v>
      </c>
      <c r="B323" s="1" t="s">
        <v>438</v>
      </c>
      <c r="C323" s="1"/>
      <c r="D323" s="1"/>
      <c r="E323" s="1"/>
      <c r="F323" s="1"/>
      <c r="G323" s="1"/>
      <c r="H323" s="1" t="str">
        <f>"2010380112598"</f>
        <v>2010380112598</v>
      </c>
      <c r="I323" s="3">
        <v>0</v>
      </c>
      <c r="J323" s="3">
        <v>0</v>
      </c>
      <c r="K323" s="3">
        <v>6000</v>
      </c>
    </row>
    <row r="324" spans="1:11" x14ac:dyDescent="0.2">
      <c r="A324" s="1" t="s">
        <v>4994</v>
      </c>
      <c r="B324" s="1" t="s">
        <v>439</v>
      </c>
      <c r="C324" s="1"/>
      <c r="D324" s="1"/>
      <c r="E324" s="1"/>
      <c r="F324" s="1"/>
      <c r="G324" s="1"/>
      <c r="H324" s="1" t="str">
        <f>"2010380012591"</f>
        <v>2010380012591</v>
      </c>
      <c r="I324" s="3">
        <v>0</v>
      </c>
      <c r="J324" s="3">
        <v>0</v>
      </c>
      <c r="K324" s="3">
        <v>8000</v>
      </c>
    </row>
    <row r="325" spans="1:11" x14ac:dyDescent="0.2">
      <c r="A325" s="1" t="s">
        <v>4994</v>
      </c>
      <c r="B325" s="1" t="s">
        <v>440</v>
      </c>
      <c r="C325" s="1"/>
      <c r="D325" s="1"/>
      <c r="E325" s="1"/>
      <c r="F325" s="1"/>
      <c r="G325" s="1"/>
      <c r="H325" s="1" t="str">
        <f>"3282779003131"</f>
        <v>3282779003131</v>
      </c>
      <c r="I325" s="3">
        <v>3</v>
      </c>
      <c r="J325" s="3">
        <v>0</v>
      </c>
      <c r="K325" s="3">
        <v>16000</v>
      </c>
    </row>
    <row r="326" spans="1:11" x14ac:dyDescent="0.2">
      <c r="A326" s="1" t="s">
        <v>4994</v>
      </c>
      <c r="B326" s="1" t="s">
        <v>441</v>
      </c>
      <c r="C326" s="1"/>
      <c r="D326" s="1"/>
      <c r="E326" s="1"/>
      <c r="F326" s="1"/>
      <c r="G326" s="1"/>
      <c r="H326" s="1" t="str">
        <f>"3282770204667"</f>
        <v>3282770204667</v>
      </c>
      <c r="I326" s="3">
        <v>2</v>
      </c>
      <c r="J326" s="3">
        <v>0</v>
      </c>
      <c r="K326" s="3">
        <v>10000</v>
      </c>
    </row>
    <row r="327" spans="1:11" x14ac:dyDescent="0.2">
      <c r="A327" s="1" t="s">
        <v>4994</v>
      </c>
      <c r="B327" s="1" t="s">
        <v>442</v>
      </c>
      <c r="C327" s="1"/>
      <c r="D327" s="1"/>
      <c r="E327" s="1"/>
      <c r="F327" s="1"/>
      <c r="G327" s="1"/>
      <c r="H327" s="1" t="str">
        <f>"3282779003124"</f>
        <v>3282779003124</v>
      </c>
      <c r="I327" s="3">
        <v>1</v>
      </c>
      <c r="J327" s="3">
        <v>0</v>
      </c>
      <c r="K327" s="3">
        <v>12000</v>
      </c>
    </row>
    <row r="328" spans="1:11" x14ac:dyDescent="0.2">
      <c r="A328" s="1" t="s">
        <v>4994</v>
      </c>
      <c r="B328" s="1" t="s">
        <v>443</v>
      </c>
      <c r="C328" s="1"/>
      <c r="D328" s="1"/>
      <c r="E328" s="1"/>
      <c r="F328" s="1"/>
      <c r="G328" s="1"/>
      <c r="H328" s="1" t="str">
        <f>"7804652955502"</f>
        <v>7804652955502</v>
      </c>
      <c r="I328" s="3">
        <v>1</v>
      </c>
      <c r="J328" s="3">
        <v>0</v>
      </c>
      <c r="K328" s="3">
        <v>7500</v>
      </c>
    </row>
    <row r="329" spans="1:11" x14ac:dyDescent="0.2">
      <c r="A329" s="1" t="s">
        <v>4994</v>
      </c>
      <c r="B329" s="1" t="s">
        <v>444</v>
      </c>
      <c r="C329" s="1"/>
      <c r="D329" s="1"/>
      <c r="E329" s="1"/>
      <c r="F329" s="1"/>
      <c r="G329" s="1"/>
      <c r="H329" s="1" t="str">
        <f>"8720689013758"</f>
        <v>8720689013758</v>
      </c>
      <c r="I329" s="3">
        <v>0</v>
      </c>
      <c r="J329" s="3">
        <v>0</v>
      </c>
      <c r="K329" s="3">
        <v>11000</v>
      </c>
    </row>
    <row r="330" spans="1:11" x14ac:dyDescent="0.2">
      <c r="A330" s="1" t="s">
        <v>4994</v>
      </c>
      <c r="B330" s="1" t="s">
        <v>445</v>
      </c>
      <c r="C330" s="1"/>
      <c r="D330" s="1"/>
      <c r="E330" s="1"/>
      <c r="F330" s="1"/>
      <c r="G330" s="1"/>
      <c r="H330" s="1" t="str">
        <f>"8710103907763"</f>
        <v>8710103907763</v>
      </c>
      <c r="I330" s="3">
        <v>0</v>
      </c>
      <c r="J330" s="3">
        <v>0</v>
      </c>
      <c r="K330" s="3">
        <v>14000</v>
      </c>
    </row>
    <row r="331" spans="1:11" x14ac:dyDescent="0.2">
      <c r="A331" s="1" t="s">
        <v>4994</v>
      </c>
      <c r="B331" s="1" t="s">
        <v>446</v>
      </c>
      <c r="C331" s="1"/>
      <c r="D331" s="1"/>
      <c r="E331" s="1"/>
      <c r="F331" s="1"/>
      <c r="G331" s="1"/>
      <c r="H331" s="1" t="str">
        <f>"8720689012836"</f>
        <v>8720689012836</v>
      </c>
      <c r="I331" s="3">
        <v>0</v>
      </c>
      <c r="J331" s="3">
        <v>0</v>
      </c>
      <c r="K331" s="3">
        <v>12500</v>
      </c>
    </row>
    <row r="332" spans="1:11" x14ac:dyDescent="0.2">
      <c r="A332" s="1" t="s">
        <v>4994</v>
      </c>
      <c r="B332" s="1" t="s">
        <v>448</v>
      </c>
      <c r="C332" s="1"/>
      <c r="D332" s="1"/>
      <c r="E332" s="1"/>
      <c r="F332" s="1"/>
      <c r="G332" s="1"/>
      <c r="H332" s="1" t="str">
        <f>"7801293043737"</f>
        <v>7801293043737</v>
      </c>
      <c r="I332" s="3">
        <v>0</v>
      </c>
      <c r="J332" s="3">
        <v>0</v>
      </c>
      <c r="K332" s="3">
        <v>2000</v>
      </c>
    </row>
    <row r="333" spans="1:11" x14ac:dyDescent="0.2">
      <c r="A333" s="1" t="s">
        <v>4994</v>
      </c>
      <c r="B333" s="1" t="s">
        <v>449</v>
      </c>
      <c r="C333" s="1"/>
      <c r="D333" s="1"/>
      <c r="E333" s="1"/>
      <c r="F333" s="1"/>
      <c r="G333" s="1"/>
      <c r="H333" s="1" t="str">
        <f>"7791293043739"</f>
        <v>7791293043739</v>
      </c>
      <c r="I333" s="3">
        <v>49</v>
      </c>
      <c r="J333" s="3">
        <v>0</v>
      </c>
      <c r="K333" s="3">
        <v>2000</v>
      </c>
    </row>
    <row r="334" spans="1:11" x14ac:dyDescent="0.2">
      <c r="A334" s="1" t="s">
        <v>4994</v>
      </c>
      <c r="B334" s="1" t="s">
        <v>450</v>
      </c>
      <c r="C334" s="1"/>
      <c r="D334" s="1"/>
      <c r="E334" s="1"/>
      <c r="F334" s="1"/>
      <c r="G334" s="1"/>
      <c r="H334" s="1" t="str">
        <f>"7801293041033"</f>
        <v>7801293041033</v>
      </c>
      <c r="I334" s="3">
        <v>0</v>
      </c>
      <c r="J334" s="3">
        <v>0</v>
      </c>
      <c r="K334" s="3">
        <v>2000</v>
      </c>
    </row>
    <row r="335" spans="1:11" x14ac:dyDescent="0.2">
      <c r="A335" s="1" t="s">
        <v>4994</v>
      </c>
      <c r="B335" s="1" t="s">
        <v>451</v>
      </c>
      <c r="C335" s="1"/>
      <c r="D335" s="1"/>
      <c r="E335" s="1"/>
      <c r="F335" s="1"/>
      <c r="G335" s="1"/>
      <c r="H335" s="1" t="str">
        <f>"7791293043722"</f>
        <v>7791293043722</v>
      </c>
      <c r="I335" s="3">
        <v>0</v>
      </c>
      <c r="J335" s="3">
        <v>0</v>
      </c>
      <c r="K335" s="3">
        <v>2500</v>
      </c>
    </row>
    <row r="336" spans="1:11" x14ac:dyDescent="0.2">
      <c r="A336" s="1" t="s">
        <v>4994</v>
      </c>
      <c r="B336" s="1" t="s">
        <v>452</v>
      </c>
      <c r="C336" s="1"/>
      <c r="D336" s="1"/>
      <c r="E336" s="1"/>
      <c r="F336" s="1"/>
      <c r="G336" s="1"/>
      <c r="H336" s="1" t="str">
        <f>"7791293044040"</f>
        <v>7791293044040</v>
      </c>
      <c r="I336" s="3">
        <v>57</v>
      </c>
      <c r="J336" s="3">
        <v>0</v>
      </c>
      <c r="K336" s="3">
        <v>2000</v>
      </c>
    </row>
    <row r="337" spans="1:11" x14ac:dyDescent="0.2">
      <c r="A337" s="1" t="s">
        <v>4994</v>
      </c>
      <c r="B337" s="1" t="s">
        <v>453</v>
      </c>
      <c r="C337" s="1"/>
      <c r="D337" s="1"/>
      <c r="E337" s="1"/>
      <c r="F337" s="1"/>
      <c r="G337" s="1"/>
      <c r="H337" s="1" t="str">
        <f>"7791293043791"</f>
        <v>7791293043791</v>
      </c>
      <c r="I337" s="3">
        <v>42</v>
      </c>
      <c r="J337" s="3">
        <v>0</v>
      </c>
      <c r="K337" s="3">
        <v>2000</v>
      </c>
    </row>
    <row r="338" spans="1:11" x14ac:dyDescent="0.2">
      <c r="A338" s="1" t="s">
        <v>4994</v>
      </c>
      <c r="B338" s="1" t="s">
        <v>454</v>
      </c>
      <c r="C338" s="1"/>
      <c r="D338" s="1"/>
      <c r="E338" s="1"/>
      <c r="F338" s="1"/>
      <c r="G338" s="1"/>
      <c r="H338" s="1" t="str">
        <f>"7791293043807"</f>
        <v>7791293043807</v>
      </c>
      <c r="I338" s="3">
        <v>99</v>
      </c>
      <c r="J338" s="3">
        <v>0</v>
      </c>
      <c r="K338" s="3">
        <v>2000</v>
      </c>
    </row>
    <row r="339" spans="1:11" x14ac:dyDescent="0.2">
      <c r="A339" s="1" t="s">
        <v>4994</v>
      </c>
      <c r="B339" s="1" t="s">
        <v>456</v>
      </c>
      <c r="C339" s="1"/>
      <c r="D339" s="1"/>
      <c r="E339" s="1"/>
      <c r="F339" s="1"/>
      <c r="G339" s="1"/>
      <c r="H339" s="1" t="str">
        <f>"7795368001815"</f>
        <v>7795368001815</v>
      </c>
      <c r="I339" s="3">
        <v>3</v>
      </c>
      <c r="J339" s="3">
        <v>0</v>
      </c>
      <c r="K339" s="3">
        <v>23000</v>
      </c>
    </row>
    <row r="340" spans="1:11" x14ac:dyDescent="0.2">
      <c r="A340" s="1" t="s">
        <v>4994</v>
      </c>
      <c r="B340" s="1" t="s">
        <v>458</v>
      </c>
      <c r="C340" s="1"/>
      <c r="D340" s="1"/>
      <c r="E340" s="1"/>
      <c r="F340" s="1"/>
      <c r="G340" s="1"/>
      <c r="H340" s="1" t="str">
        <f>"7800007661258"</f>
        <v>7800007661258</v>
      </c>
      <c r="I340" s="3">
        <v>33</v>
      </c>
      <c r="J340" s="3">
        <v>0</v>
      </c>
      <c r="K340" s="3">
        <v>2000</v>
      </c>
    </row>
    <row r="341" spans="1:11" x14ac:dyDescent="0.2">
      <c r="A341" s="1" t="s">
        <v>4994</v>
      </c>
      <c r="B341" s="1" t="s">
        <v>461</v>
      </c>
      <c r="C341" s="1"/>
      <c r="D341" s="1"/>
      <c r="E341" s="1"/>
      <c r="F341" s="1"/>
      <c r="G341" s="1"/>
      <c r="H341" s="1" t="str">
        <f>"8680199009026"</f>
        <v>8680199009026</v>
      </c>
      <c r="I341" s="3">
        <v>0</v>
      </c>
      <c r="J341" s="3">
        <v>0</v>
      </c>
      <c r="K341" s="3">
        <v>3500</v>
      </c>
    </row>
    <row r="342" spans="1:11" x14ac:dyDescent="0.2">
      <c r="A342" s="1" t="s">
        <v>4994</v>
      </c>
      <c r="B342" s="1" t="s">
        <v>462</v>
      </c>
      <c r="C342" s="1"/>
      <c r="D342" s="1"/>
      <c r="E342" s="1"/>
      <c r="F342" s="1"/>
      <c r="G342" s="1"/>
      <c r="H342" s="1" t="str">
        <f>"9008088666508"</f>
        <v>9008088666508</v>
      </c>
      <c r="I342" s="3">
        <v>0</v>
      </c>
      <c r="J342" s="3">
        <v>0</v>
      </c>
      <c r="K342" s="3">
        <v>500</v>
      </c>
    </row>
    <row r="343" spans="1:11" x14ac:dyDescent="0.2">
      <c r="A343" s="1" t="s">
        <v>4994</v>
      </c>
      <c r="B343" s="1" t="s">
        <v>463</v>
      </c>
      <c r="C343" s="1"/>
      <c r="D343" s="1"/>
      <c r="E343" s="1"/>
      <c r="F343" s="1"/>
      <c r="G343" s="1"/>
      <c r="H343" s="1" t="str">
        <f>"7800044000188"</f>
        <v>7800044000188</v>
      </c>
      <c r="I343" s="3">
        <v>14</v>
      </c>
      <c r="J343" s="3">
        <v>0</v>
      </c>
      <c r="K343" s="3">
        <v>2000</v>
      </c>
    </row>
    <row r="344" spans="1:11" x14ac:dyDescent="0.2">
      <c r="A344" s="1" t="s">
        <v>4994</v>
      </c>
      <c r="B344" s="1" t="s">
        <v>464</v>
      </c>
      <c r="C344" s="1"/>
      <c r="D344" s="1"/>
      <c r="E344" s="1"/>
      <c r="F344" s="1"/>
      <c r="G344" s="1"/>
      <c r="H344" s="1" t="str">
        <f>"7800001005300"</f>
        <v>7800001005300</v>
      </c>
      <c r="I344" s="3">
        <v>0</v>
      </c>
      <c r="J344" s="3">
        <v>0</v>
      </c>
      <c r="K344" s="3">
        <v>100000</v>
      </c>
    </row>
    <row r="345" spans="1:11" x14ac:dyDescent="0.2">
      <c r="A345" s="1" t="s">
        <v>4994</v>
      </c>
      <c r="B345" s="1" t="s">
        <v>465</v>
      </c>
      <c r="C345" s="1"/>
      <c r="D345" s="1"/>
      <c r="E345" s="1"/>
      <c r="F345" s="1"/>
      <c r="G345" s="1"/>
      <c r="H345" s="1" t="str">
        <f>"4022679157850"</f>
        <v>4022679157850</v>
      </c>
      <c r="I345" s="3">
        <v>4</v>
      </c>
      <c r="J345" s="3">
        <v>0</v>
      </c>
      <c r="K345" s="3">
        <v>3500</v>
      </c>
    </row>
    <row r="346" spans="1:11" x14ac:dyDescent="0.2">
      <c r="A346" s="1" t="s">
        <v>4994</v>
      </c>
      <c r="B346" s="1" t="s">
        <v>466</v>
      </c>
      <c r="C346" s="1"/>
      <c r="D346" s="1"/>
      <c r="E346" s="1"/>
      <c r="F346" s="1"/>
      <c r="G346" s="1"/>
      <c r="H346" s="1" t="str">
        <f>"7804671180176"</f>
        <v>7804671180176</v>
      </c>
      <c r="I346" s="3">
        <v>0</v>
      </c>
      <c r="J346" s="3">
        <v>0</v>
      </c>
      <c r="K346" s="3">
        <v>2500</v>
      </c>
    </row>
    <row r="347" spans="1:11" x14ac:dyDescent="0.2">
      <c r="A347" s="1" t="s">
        <v>4994</v>
      </c>
      <c r="B347" s="1" t="s">
        <v>469</v>
      </c>
      <c r="C347" s="1"/>
      <c r="D347" s="1"/>
      <c r="E347" s="1"/>
      <c r="F347" s="1"/>
      <c r="G347" s="1"/>
      <c r="H347" s="1" t="str">
        <f>"7805633019237"</f>
        <v>7805633019237</v>
      </c>
      <c r="I347" s="3">
        <v>3</v>
      </c>
      <c r="J347" s="3">
        <v>0</v>
      </c>
      <c r="K347" s="3">
        <v>1000</v>
      </c>
    </row>
    <row r="348" spans="1:11" x14ac:dyDescent="0.2">
      <c r="A348" s="1" t="s">
        <v>4994</v>
      </c>
      <c r="B348" s="1" t="s">
        <v>470</v>
      </c>
      <c r="C348" s="1"/>
      <c r="D348" s="1"/>
      <c r="E348" s="1"/>
      <c r="F348" s="1"/>
      <c r="G348" s="1"/>
      <c r="H348" s="1" t="str">
        <f>"7804673040102"</f>
        <v>7804673040102</v>
      </c>
      <c r="I348" s="3">
        <v>0</v>
      </c>
      <c r="J348" s="3">
        <v>0</v>
      </c>
      <c r="K348" s="3">
        <v>3000</v>
      </c>
    </row>
    <row r="349" spans="1:11" x14ac:dyDescent="0.2">
      <c r="A349" s="1" t="s">
        <v>4994</v>
      </c>
      <c r="B349" s="1" t="s">
        <v>471</v>
      </c>
      <c r="C349" s="1"/>
      <c r="D349" s="1"/>
      <c r="E349" s="1"/>
      <c r="F349" s="1"/>
      <c r="G349" s="1"/>
      <c r="H349" s="1" t="str">
        <f>"6924844310726"</f>
        <v>6924844310726</v>
      </c>
      <c r="I349" s="3">
        <v>0</v>
      </c>
      <c r="J349" s="3">
        <v>0</v>
      </c>
      <c r="K349" s="3">
        <v>2500</v>
      </c>
    </row>
    <row r="350" spans="1:11" x14ac:dyDescent="0.2">
      <c r="A350" s="1" t="s">
        <v>4994</v>
      </c>
      <c r="B350" s="1" t="s">
        <v>472</v>
      </c>
      <c r="C350" s="1"/>
      <c r="D350" s="1"/>
      <c r="E350" s="1"/>
      <c r="F350" s="1"/>
      <c r="G350" s="1"/>
      <c r="H350" s="1" t="str">
        <f>"7502311690510"</f>
        <v>7502311690510</v>
      </c>
      <c r="I350" s="3">
        <v>3</v>
      </c>
      <c r="J350" s="3">
        <v>0</v>
      </c>
      <c r="K350" s="3">
        <v>3000</v>
      </c>
    </row>
    <row r="351" spans="1:11" x14ac:dyDescent="0.2">
      <c r="A351" s="1" t="s">
        <v>4994</v>
      </c>
      <c r="B351" s="1" t="s">
        <v>473</v>
      </c>
      <c r="C351" s="1"/>
      <c r="D351" s="1"/>
      <c r="E351" s="1"/>
      <c r="F351" s="1"/>
      <c r="G351" s="1"/>
      <c r="H351" s="1" t="str">
        <f>"8427426054547"</f>
        <v>8427426054547</v>
      </c>
      <c r="I351" s="3">
        <v>0</v>
      </c>
      <c r="J351" s="3">
        <v>0</v>
      </c>
      <c r="K351" s="3">
        <v>4000</v>
      </c>
    </row>
    <row r="352" spans="1:11" x14ac:dyDescent="0.2">
      <c r="A352" s="1" t="s">
        <v>4994</v>
      </c>
      <c r="B352" s="1" t="s">
        <v>474</v>
      </c>
      <c r="C352" s="1"/>
      <c r="D352" s="1"/>
      <c r="E352" s="1"/>
      <c r="F352" s="1"/>
      <c r="G352" s="1"/>
      <c r="H352" s="1" t="str">
        <f>"7804920005779"</f>
        <v>7804920005779</v>
      </c>
      <c r="I352" s="3">
        <v>0</v>
      </c>
      <c r="J352" s="3">
        <v>0</v>
      </c>
      <c r="K352" s="3">
        <v>3000</v>
      </c>
    </row>
    <row r="353" spans="1:11" x14ac:dyDescent="0.2">
      <c r="A353" s="1" t="s">
        <v>4994</v>
      </c>
      <c r="B353" s="1" t="s">
        <v>475</v>
      </c>
      <c r="C353" s="1"/>
      <c r="D353" s="1"/>
      <c r="E353" s="1"/>
      <c r="F353" s="1"/>
      <c r="G353" s="1"/>
      <c r="H353" s="1" t="str">
        <f>"7804920001207"</f>
        <v>7804920001207</v>
      </c>
      <c r="I353" s="3">
        <v>0</v>
      </c>
      <c r="J353" s="3">
        <v>0</v>
      </c>
      <c r="K353" s="3">
        <v>3000</v>
      </c>
    </row>
    <row r="354" spans="1:11" x14ac:dyDescent="0.2">
      <c r="A354" s="1" t="s">
        <v>4994</v>
      </c>
      <c r="B354" s="1" t="s">
        <v>476</v>
      </c>
      <c r="C354" s="1"/>
      <c r="D354" s="1"/>
      <c r="E354" s="1"/>
      <c r="F354" s="1"/>
      <c r="G354" s="1"/>
      <c r="H354" s="1" t="str">
        <f>"7804920007544"</f>
        <v>7804920007544</v>
      </c>
      <c r="I354" s="3">
        <v>0</v>
      </c>
      <c r="J354" s="3">
        <v>0</v>
      </c>
      <c r="K354" s="3">
        <v>3000</v>
      </c>
    </row>
    <row r="355" spans="1:11" x14ac:dyDescent="0.2">
      <c r="A355" s="1" t="s">
        <v>4994</v>
      </c>
      <c r="B355" s="1" t="s">
        <v>477</v>
      </c>
      <c r="C355" s="1"/>
      <c r="D355" s="1"/>
      <c r="E355" s="1"/>
      <c r="F355" s="1"/>
      <c r="G355" s="1"/>
      <c r="H355" s="1" t="str">
        <f>"7804920006882"</f>
        <v>7804920006882</v>
      </c>
      <c r="I355" s="3">
        <v>0</v>
      </c>
      <c r="J355" s="3">
        <v>0</v>
      </c>
      <c r="K355" s="3">
        <v>3000</v>
      </c>
    </row>
    <row r="356" spans="1:11" x14ac:dyDescent="0.2">
      <c r="A356" s="1" t="s">
        <v>4994</v>
      </c>
      <c r="B356" s="1" t="s">
        <v>478</v>
      </c>
      <c r="C356" s="1"/>
      <c r="D356" s="1"/>
      <c r="E356" s="1"/>
      <c r="F356" s="1"/>
      <c r="G356" s="1"/>
      <c r="H356" s="1" t="str">
        <f>"7804920006219"</f>
        <v>7804920006219</v>
      </c>
      <c r="I356" s="3">
        <v>0</v>
      </c>
      <c r="J356" s="3">
        <v>0</v>
      </c>
      <c r="K356" s="3">
        <v>3000</v>
      </c>
    </row>
    <row r="357" spans="1:11" x14ac:dyDescent="0.2">
      <c r="A357" s="1" t="s">
        <v>4994</v>
      </c>
      <c r="B357" s="1" t="s">
        <v>479</v>
      </c>
      <c r="C357" s="1"/>
      <c r="D357" s="1"/>
      <c r="E357" s="1"/>
      <c r="F357" s="1"/>
      <c r="G357" s="1"/>
      <c r="H357" s="1" t="str">
        <f>"7804920006899"</f>
        <v>7804920006899</v>
      </c>
      <c r="I357" s="3">
        <v>0</v>
      </c>
      <c r="J357" s="3">
        <v>0</v>
      </c>
      <c r="K357" s="3">
        <v>3000</v>
      </c>
    </row>
    <row r="358" spans="1:11" x14ac:dyDescent="0.2">
      <c r="A358" s="1" t="s">
        <v>4994</v>
      </c>
      <c r="B358" s="1" t="s">
        <v>480</v>
      </c>
      <c r="C358" s="1"/>
      <c r="D358" s="1"/>
      <c r="E358" s="1"/>
      <c r="F358" s="1"/>
      <c r="G358" s="1"/>
      <c r="H358" s="1" t="str">
        <f>"7804920006875"</f>
        <v>7804920006875</v>
      </c>
      <c r="I358" s="3">
        <v>0</v>
      </c>
      <c r="J358" s="3">
        <v>0</v>
      </c>
      <c r="K358" s="3">
        <v>3000</v>
      </c>
    </row>
    <row r="359" spans="1:11" x14ac:dyDescent="0.2">
      <c r="A359" s="1" t="s">
        <v>4994</v>
      </c>
      <c r="B359" s="1" t="s">
        <v>481</v>
      </c>
      <c r="C359" s="1"/>
      <c r="D359" s="1"/>
      <c r="E359" s="1"/>
      <c r="F359" s="1"/>
      <c r="G359" s="1"/>
      <c r="H359" s="1" t="str">
        <f>"7804920005762"</f>
        <v>7804920005762</v>
      </c>
      <c r="I359" s="3">
        <v>0</v>
      </c>
      <c r="J359" s="3">
        <v>0</v>
      </c>
      <c r="K359" s="3">
        <v>3000</v>
      </c>
    </row>
    <row r="360" spans="1:11" x14ac:dyDescent="0.2">
      <c r="A360" s="1" t="s">
        <v>4994</v>
      </c>
      <c r="B360" s="1" t="s">
        <v>482</v>
      </c>
      <c r="C360" s="1"/>
      <c r="D360" s="1"/>
      <c r="E360" s="1"/>
      <c r="F360" s="1"/>
      <c r="G360" s="1"/>
      <c r="H360" s="1" t="str">
        <f>"755695662940"</f>
        <v>755695662940</v>
      </c>
      <c r="I360" s="3">
        <v>0</v>
      </c>
      <c r="J360" s="3">
        <v>0</v>
      </c>
      <c r="K360" s="3">
        <v>2500</v>
      </c>
    </row>
    <row r="361" spans="1:11" x14ac:dyDescent="0.2">
      <c r="A361" s="1" t="s">
        <v>4994</v>
      </c>
      <c r="B361" s="1" t="s">
        <v>483</v>
      </c>
      <c r="C361" s="1"/>
      <c r="D361" s="1"/>
      <c r="E361" s="1"/>
      <c r="F361" s="1"/>
      <c r="G361" s="1"/>
      <c r="H361" s="1" t="str">
        <f>"7804945012301"</f>
        <v>7804945012301</v>
      </c>
      <c r="I361" s="3">
        <v>4</v>
      </c>
      <c r="J361" s="3">
        <v>0</v>
      </c>
      <c r="K361" s="3">
        <v>4500</v>
      </c>
    </row>
    <row r="362" spans="1:11" x14ac:dyDescent="0.2">
      <c r="A362" s="1" t="s">
        <v>4994</v>
      </c>
      <c r="B362" s="1" t="s">
        <v>484</v>
      </c>
      <c r="C362" s="1"/>
      <c r="D362" s="1"/>
      <c r="E362" s="1"/>
      <c r="F362" s="1"/>
      <c r="G362" s="1"/>
      <c r="H362" s="1" t="str">
        <f>"7804945012103"</f>
        <v>7804945012103</v>
      </c>
      <c r="I362" s="3">
        <v>0</v>
      </c>
      <c r="J362" s="3">
        <v>0</v>
      </c>
      <c r="K362" s="3">
        <v>3000</v>
      </c>
    </row>
    <row r="363" spans="1:11" x14ac:dyDescent="0.2">
      <c r="A363" s="1" t="s">
        <v>4994</v>
      </c>
      <c r="B363" s="1" t="s">
        <v>485</v>
      </c>
      <c r="C363" s="1"/>
      <c r="D363" s="1"/>
      <c r="E363" s="1"/>
      <c r="F363" s="1"/>
      <c r="G363" s="1"/>
      <c r="H363" s="1" t="str">
        <f>"7804945001121"</f>
        <v>7804945001121</v>
      </c>
      <c r="I363" s="3">
        <v>0</v>
      </c>
      <c r="J363" s="3">
        <v>0</v>
      </c>
      <c r="K363" s="3">
        <v>4000</v>
      </c>
    </row>
    <row r="364" spans="1:11" x14ac:dyDescent="0.2">
      <c r="A364" s="1" t="s">
        <v>4994</v>
      </c>
      <c r="B364" s="1" t="s">
        <v>486</v>
      </c>
      <c r="C364" s="1"/>
      <c r="D364" s="1"/>
      <c r="E364" s="1"/>
      <c r="F364" s="1"/>
      <c r="G364" s="1"/>
      <c r="H364" s="1" t="str">
        <f>"7804945075108"</f>
        <v>7804945075108</v>
      </c>
      <c r="I364" s="3">
        <v>29</v>
      </c>
      <c r="J364" s="3">
        <v>0</v>
      </c>
      <c r="K364" s="3">
        <v>2000</v>
      </c>
    </row>
    <row r="365" spans="1:11" x14ac:dyDescent="0.2">
      <c r="A365" s="1" t="s">
        <v>4994</v>
      </c>
      <c r="B365" s="1" t="s">
        <v>487</v>
      </c>
      <c r="C365" s="1"/>
      <c r="D365" s="1"/>
      <c r="E365" s="1"/>
      <c r="F365" s="1"/>
      <c r="G365" s="1"/>
      <c r="H365" s="1" t="str">
        <f>"7804945007390"</f>
        <v>7804945007390</v>
      </c>
      <c r="I365" s="3">
        <v>0</v>
      </c>
      <c r="J365" s="3">
        <v>0</v>
      </c>
      <c r="K365" s="3">
        <v>2500</v>
      </c>
    </row>
    <row r="366" spans="1:11" x14ac:dyDescent="0.2">
      <c r="A366" s="1" t="s">
        <v>4994</v>
      </c>
      <c r="B366" s="1" t="s">
        <v>488</v>
      </c>
      <c r="C366" s="1"/>
      <c r="D366" s="1"/>
      <c r="E366" s="1"/>
      <c r="F366" s="1"/>
      <c r="G366" s="1"/>
      <c r="H366" s="1" t="str">
        <f>"7804945007321"</f>
        <v>7804945007321</v>
      </c>
      <c r="I366" s="3">
        <v>3</v>
      </c>
      <c r="J366" s="3">
        <v>0</v>
      </c>
      <c r="K366" s="3">
        <v>4000</v>
      </c>
    </row>
    <row r="367" spans="1:11" x14ac:dyDescent="0.2">
      <c r="A367" s="1" t="s">
        <v>4994</v>
      </c>
      <c r="B367" s="1" t="s">
        <v>489</v>
      </c>
      <c r="C367" s="1"/>
      <c r="D367" s="1"/>
      <c r="E367" s="1"/>
      <c r="F367" s="1"/>
      <c r="G367" s="1"/>
      <c r="H367" s="1" t="str">
        <f>"7804945007345"</f>
        <v>7804945007345</v>
      </c>
      <c r="I367" s="3">
        <v>0</v>
      </c>
      <c r="J367" s="3">
        <v>0</v>
      </c>
      <c r="K367" s="3">
        <v>2500</v>
      </c>
    </row>
    <row r="368" spans="1:11" x14ac:dyDescent="0.2">
      <c r="A368" s="1" t="s">
        <v>4994</v>
      </c>
      <c r="B368" s="1" t="s">
        <v>490</v>
      </c>
      <c r="C368" s="1"/>
      <c r="D368" s="1"/>
      <c r="E368" s="1"/>
      <c r="F368" s="1"/>
      <c r="G368" s="1"/>
      <c r="H368" s="1" t="str">
        <f>"7806500752318"</f>
        <v>7806500752318</v>
      </c>
      <c r="I368" s="3">
        <v>0</v>
      </c>
      <c r="J368" s="3">
        <v>0</v>
      </c>
      <c r="K368" s="3">
        <v>3500</v>
      </c>
    </row>
    <row r="369" spans="1:11" x14ac:dyDescent="0.2">
      <c r="A369" s="1" t="s">
        <v>4994</v>
      </c>
      <c r="B369" s="1" t="s">
        <v>491</v>
      </c>
      <c r="C369" s="1"/>
      <c r="D369" s="1"/>
      <c r="E369" s="1"/>
      <c r="F369" s="1"/>
      <c r="G369" s="1"/>
      <c r="H369" s="1" t="str">
        <f>"7806500752288"</f>
        <v>7806500752288</v>
      </c>
      <c r="I369" s="3">
        <v>0</v>
      </c>
      <c r="J369" s="3">
        <v>0</v>
      </c>
      <c r="K369" s="3">
        <v>3500</v>
      </c>
    </row>
    <row r="370" spans="1:11" x14ac:dyDescent="0.2">
      <c r="A370" s="1" t="s">
        <v>4994</v>
      </c>
      <c r="B370" s="1" t="s">
        <v>492</v>
      </c>
      <c r="C370" s="1"/>
      <c r="D370" s="1"/>
      <c r="E370" s="1"/>
      <c r="F370" s="1"/>
      <c r="G370" s="1"/>
      <c r="H370" s="1" t="str">
        <f>"7800063160085"</f>
        <v>7800063160085</v>
      </c>
      <c r="I370" s="3">
        <v>0</v>
      </c>
      <c r="J370" s="3">
        <v>0</v>
      </c>
      <c r="K370" s="3">
        <v>1500</v>
      </c>
    </row>
    <row r="371" spans="1:11" x14ac:dyDescent="0.2">
      <c r="A371" s="1" t="s">
        <v>4994</v>
      </c>
      <c r="B371" s="1" t="s">
        <v>493</v>
      </c>
      <c r="C371" s="1"/>
      <c r="D371" s="1"/>
      <c r="E371" s="1"/>
      <c r="F371" s="1"/>
      <c r="G371" s="1"/>
      <c r="H371" s="1" t="str">
        <f>"7804640560541"</f>
        <v>7804640560541</v>
      </c>
      <c r="I371" s="3">
        <v>63</v>
      </c>
      <c r="J371" s="3">
        <v>0</v>
      </c>
      <c r="K371" s="3">
        <v>1500</v>
      </c>
    </row>
    <row r="372" spans="1:11" x14ac:dyDescent="0.2">
      <c r="A372" s="1" t="s">
        <v>4994</v>
      </c>
      <c r="B372" s="1" t="s">
        <v>494</v>
      </c>
      <c r="C372" s="1"/>
      <c r="D372" s="1"/>
      <c r="E372" s="1"/>
      <c r="F372" s="1"/>
      <c r="G372" s="1"/>
      <c r="H372" s="1" t="str">
        <f>"7800007679703"</f>
        <v>7800007679703</v>
      </c>
      <c r="I372" s="3">
        <v>0</v>
      </c>
      <c r="J372" s="3">
        <v>0</v>
      </c>
      <c r="K372" s="3">
        <v>1500</v>
      </c>
    </row>
    <row r="373" spans="1:11" x14ac:dyDescent="0.2">
      <c r="A373" s="1" t="s">
        <v>4994</v>
      </c>
      <c r="B373" s="1" t="s">
        <v>495</v>
      </c>
      <c r="C373" s="1"/>
      <c r="D373" s="1"/>
      <c r="E373" s="1"/>
      <c r="F373" s="1"/>
      <c r="G373" s="1"/>
      <c r="H373" s="1" t="str">
        <f>"7800028001606"</f>
        <v>7800028001606</v>
      </c>
      <c r="I373" s="3">
        <v>5</v>
      </c>
      <c r="J373" s="3">
        <v>0</v>
      </c>
      <c r="K373" s="3">
        <v>20000</v>
      </c>
    </row>
    <row r="374" spans="1:11" x14ac:dyDescent="0.2">
      <c r="A374" s="1" t="s">
        <v>4994</v>
      </c>
      <c r="B374" s="1" t="s">
        <v>496</v>
      </c>
      <c r="C374" s="1"/>
      <c r="D374" s="1"/>
      <c r="E374" s="1"/>
      <c r="F374" s="1"/>
      <c r="G374" s="1"/>
      <c r="H374" s="1" t="str">
        <f>"7800028001590"</f>
        <v>7800028001590</v>
      </c>
      <c r="I374" s="3">
        <v>2</v>
      </c>
      <c r="J374" s="3">
        <v>0</v>
      </c>
      <c r="K374" s="3">
        <v>22000</v>
      </c>
    </row>
    <row r="375" spans="1:11" x14ac:dyDescent="0.2">
      <c r="A375" s="1" t="s">
        <v>4994</v>
      </c>
      <c r="B375" s="1" t="s">
        <v>497</v>
      </c>
      <c r="C375" s="1"/>
      <c r="D375" s="1"/>
      <c r="E375" s="1"/>
      <c r="F375" s="1"/>
      <c r="G375" s="1"/>
      <c r="H375" s="1" t="str">
        <f>"7800028001873"</f>
        <v>7800028001873</v>
      </c>
      <c r="I375" s="3">
        <v>0</v>
      </c>
      <c r="J375" s="3">
        <v>0</v>
      </c>
      <c r="K375" s="3">
        <v>11000</v>
      </c>
    </row>
    <row r="376" spans="1:11" x14ac:dyDescent="0.2">
      <c r="A376" s="1" t="s">
        <v>4994</v>
      </c>
      <c r="B376" s="1" t="s">
        <v>498</v>
      </c>
      <c r="C376" s="1"/>
      <c r="D376" s="1"/>
      <c r="E376" s="1"/>
      <c r="F376" s="1"/>
      <c r="G376" s="1"/>
      <c r="H376" s="1" t="str">
        <f>"7800028001880"</f>
        <v>7800028001880</v>
      </c>
      <c r="I376" s="3">
        <v>0</v>
      </c>
      <c r="J376" s="3">
        <v>0</v>
      </c>
      <c r="K376" s="3">
        <v>5000</v>
      </c>
    </row>
    <row r="377" spans="1:11" x14ac:dyDescent="0.2">
      <c r="A377" s="1" t="s">
        <v>4994</v>
      </c>
      <c r="B377" s="1" t="s">
        <v>499</v>
      </c>
      <c r="C377" s="1"/>
      <c r="D377" s="1"/>
      <c r="E377" s="1"/>
      <c r="F377" s="1"/>
      <c r="G377" s="1"/>
      <c r="H377" s="1" t="str">
        <f>"2010380112727"</f>
        <v>2010380112727</v>
      </c>
      <c r="I377" s="3">
        <v>0</v>
      </c>
      <c r="J377" s="3">
        <v>0</v>
      </c>
      <c r="K377" s="3">
        <v>7500</v>
      </c>
    </row>
    <row r="378" spans="1:11" x14ac:dyDescent="0.2">
      <c r="A378" s="1" t="s">
        <v>4994</v>
      </c>
      <c r="B378" s="1" t="s">
        <v>500</v>
      </c>
      <c r="C378" s="1"/>
      <c r="D378" s="1"/>
      <c r="E378" s="1"/>
      <c r="F378" s="1"/>
      <c r="G378" s="1"/>
      <c r="H378" s="1" t="str">
        <f>"7805633002987"</f>
        <v>7805633002987</v>
      </c>
      <c r="I378" s="3">
        <v>0</v>
      </c>
      <c r="J378" s="3">
        <v>0</v>
      </c>
      <c r="K378" s="3">
        <v>1500</v>
      </c>
    </row>
    <row r="379" spans="1:11" x14ac:dyDescent="0.2">
      <c r="A379" s="1" t="s">
        <v>4994</v>
      </c>
      <c r="B379" s="1" t="s">
        <v>501</v>
      </c>
      <c r="C379" s="1"/>
      <c r="D379" s="1"/>
      <c r="E379" s="1"/>
      <c r="F379" s="1"/>
      <c r="G379" s="1"/>
      <c r="H379" s="1" t="str">
        <f>"76062062999822"</f>
        <v>76062062999822</v>
      </c>
      <c r="I379" s="3">
        <v>3</v>
      </c>
      <c r="J379" s="3">
        <v>0</v>
      </c>
      <c r="K379" s="3">
        <v>500</v>
      </c>
    </row>
    <row r="380" spans="1:11" x14ac:dyDescent="0.2">
      <c r="A380" s="1" t="s">
        <v>4994</v>
      </c>
      <c r="B380" s="1" t="s">
        <v>502</v>
      </c>
      <c r="C380" s="1"/>
      <c r="D380" s="1"/>
      <c r="E380" s="1"/>
      <c r="F380" s="1"/>
      <c r="G380" s="1"/>
      <c r="H380" s="1" t="str">
        <f>"7804920006936"</f>
        <v>7804920006936</v>
      </c>
      <c r="I380" s="3">
        <v>0</v>
      </c>
      <c r="J380" s="3">
        <v>0</v>
      </c>
      <c r="K380" s="3">
        <v>2000</v>
      </c>
    </row>
    <row r="381" spans="1:11" x14ac:dyDescent="0.2">
      <c r="A381" s="1" t="s">
        <v>4994</v>
      </c>
      <c r="B381" s="1" t="s">
        <v>503</v>
      </c>
      <c r="C381" s="1"/>
      <c r="D381" s="1"/>
      <c r="E381" s="1"/>
      <c r="F381" s="1"/>
      <c r="G381" s="1"/>
      <c r="H381" s="1" t="str">
        <f>"7804920012166"</f>
        <v>7804920012166</v>
      </c>
      <c r="I381" s="3">
        <v>0</v>
      </c>
      <c r="J381" s="3">
        <v>0</v>
      </c>
      <c r="K381" s="3">
        <v>1500</v>
      </c>
    </row>
    <row r="382" spans="1:11" x14ac:dyDescent="0.2">
      <c r="A382" s="1" t="s">
        <v>4994</v>
      </c>
      <c r="B382" s="1" t="s">
        <v>504</v>
      </c>
      <c r="C382" s="1"/>
      <c r="D382" s="1"/>
      <c r="E382" s="1"/>
      <c r="F382" s="1"/>
      <c r="G382" s="1"/>
      <c r="H382" s="1" t="str">
        <f>"7804945002043"</f>
        <v>7804945002043</v>
      </c>
      <c r="I382" s="3">
        <v>4</v>
      </c>
      <c r="J382" s="3">
        <v>0</v>
      </c>
      <c r="K382" s="3">
        <v>3000</v>
      </c>
    </row>
    <row r="383" spans="1:11" x14ac:dyDescent="0.2">
      <c r="A383" s="1" t="s">
        <v>4994</v>
      </c>
      <c r="B383" s="1" t="s">
        <v>505</v>
      </c>
      <c r="C383" s="1"/>
      <c r="D383" s="1"/>
      <c r="E383" s="1"/>
      <c r="F383" s="1"/>
      <c r="G383" s="1"/>
      <c r="H383" s="1" t="str">
        <f>"7804947005486"</f>
        <v>7804947005486</v>
      </c>
      <c r="I383" s="3">
        <v>0</v>
      </c>
      <c r="J383" s="3">
        <v>0</v>
      </c>
      <c r="K383" s="3">
        <v>1500</v>
      </c>
    </row>
    <row r="384" spans="1:11" x14ac:dyDescent="0.2">
      <c r="A384" s="1" t="s">
        <v>4994</v>
      </c>
      <c r="B384" s="1" t="s">
        <v>506</v>
      </c>
      <c r="C384" s="1"/>
      <c r="D384" s="1"/>
      <c r="E384" s="1"/>
      <c r="F384" s="1"/>
      <c r="G384" s="1"/>
      <c r="H384" s="1" t="str">
        <f>"4005900764546"</f>
        <v>4005900764546</v>
      </c>
      <c r="I384" s="3">
        <v>0</v>
      </c>
      <c r="J384" s="3">
        <v>0</v>
      </c>
      <c r="K384" s="3">
        <v>4000</v>
      </c>
    </row>
    <row r="385" spans="1:11" x14ac:dyDescent="0.2">
      <c r="A385" s="1" t="s">
        <v>4994</v>
      </c>
      <c r="B385" s="1" t="s">
        <v>507</v>
      </c>
      <c r="C385" s="1"/>
      <c r="D385" s="1"/>
      <c r="E385" s="1"/>
      <c r="F385" s="1"/>
      <c r="G385" s="1"/>
      <c r="H385" s="1" t="str">
        <f>"4005900436931"</f>
        <v>4005900436931</v>
      </c>
      <c r="I385" s="3">
        <v>0</v>
      </c>
      <c r="J385" s="3">
        <v>0</v>
      </c>
      <c r="K385" s="3">
        <v>3500</v>
      </c>
    </row>
    <row r="386" spans="1:11" x14ac:dyDescent="0.2">
      <c r="A386" s="1" t="s">
        <v>4994</v>
      </c>
      <c r="B386" s="1" t="s">
        <v>508</v>
      </c>
      <c r="C386" s="1"/>
      <c r="D386" s="1"/>
      <c r="E386" s="1"/>
      <c r="F386" s="1"/>
      <c r="G386" s="1"/>
      <c r="H386" s="1" t="str">
        <f>"7791969850616"</f>
        <v>7791969850616</v>
      </c>
      <c r="I386" s="3">
        <v>0</v>
      </c>
      <c r="J386" s="3">
        <v>0</v>
      </c>
      <c r="K386" s="3">
        <v>5500</v>
      </c>
    </row>
    <row r="387" spans="1:11" x14ac:dyDescent="0.2">
      <c r="A387" s="1" t="s">
        <v>4994</v>
      </c>
      <c r="B387" s="1" t="s">
        <v>509</v>
      </c>
      <c r="C387" s="1"/>
      <c r="D387" s="1"/>
      <c r="E387" s="1"/>
      <c r="F387" s="1"/>
      <c r="G387" s="1"/>
      <c r="H387" s="1" t="str">
        <f>"4006000157269"</f>
        <v>4006000157269</v>
      </c>
      <c r="I387" s="3">
        <v>5</v>
      </c>
      <c r="J387" s="3">
        <v>0</v>
      </c>
      <c r="K387" s="3">
        <v>5000</v>
      </c>
    </row>
    <row r="388" spans="1:11" x14ac:dyDescent="0.2">
      <c r="A388" s="1" t="s">
        <v>4994</v>
      </c>
      <c r="B388" s="1" t="s">
        <v>510</v>
      </c>
      <c r="C388" s="1"/>
      <c r="D388" s="1"/>
      <c r="E388" s="1"/>
      <c r="F388" s="1"/>
      <c r="G388" s="1"/>
      <c r="H388" s="1" t="str">
        <f>"6920200224058"</f>
        <v>6920200224058</v>
      </c>
      <c r="I388" s="3">
        <v>0</v>
      </c>
      <c r="J388" s="3">
        <v>0</v>
      </c>
      <c r="K388" s="3">
        <v>2000</v>
      </c>
    </row>
    <row r="389" spans="1:11" x14ac:dyDescent="0.2">
      <c r="A389" s="1" t="s">
        <v>4994</v>
      </c>
      <c r="B389" s="1" t="s">
        <v>511</v>
      </c>
      <c r="C389" s="1"/>
      <c r="D389" s="1"/>
      <c r="E389" s="1"/>
      <c r="F389" s="1"/>
      <c r="G389" s="1"/>
      <c r="H389" s="1" t="str">
        <f>"51131223684"</f>
        <v>51131223684</v>
      </c>
      <c r="I389" s="3">
        <v>0</v>
      </c>
      <c r="J389" s="3">
        <v>0</v>
      </c>
      <c r="K389" s="3">
        <v>2500</v>
      </c>
    </row>
    <row r="390" spans="1:11" x14ac:dyDescent="0.2">
      <c r="A390" s="1" t="s">
        <v>4994</v>
      </c>
      <c r="B390" s="1" t="s">
        <v>512</v>
      </c>
      <c r="C390" s="1"/>
      <c r="D390" s="1"/>
      <c r="E390" s="1"/>
      <c r="F390" s="1"/>
      <c r="G390" s="1"/>
      <c r="H390" s="1" t="str">
        <f>"7809622000473"</f>
        <v>7809622000473</v>
      </c>
      <c r="I390" s="3">
        <v>1</v>
      </c>
      <c r="J390" s="3">
        <v>0</v>
      </c>
      <c r="K390" s="3">
        <v>2000</v>
      </c>
    </row>
    <row r="391" spans="1:11" x14ac:dyDescent="0.2">
      <c r="A391" s="1" t="s">
        <v>4994</v>
      </c>
      <c r="B391" s="1" t="s">
        <v>513</v>
      </c>
      <c r="C391" s="1"/>
      <c r="D391" s="1"/>
      <c r="E391" s="1"/>
      <c r="F391" s="1"/>
      <c r="G391" s="1"/>
      <c r="H391" s="1" t="str">
        <f>"2000341103185"</f>
        <v>2000341103185</v>
      </c>
      <c r="I391" s="3">
        <v>0</v>
      </c>
      <c r="J391" s="3">
        <v>0</v>
      </c>
      <c r="K391" s="3">
        <v>6000</v>
      </c>
    </row>
    <row r="392" spans="1:11" x14ac:dyDescent="0.2">
      <c r="A392" s="1" t="s">
        <v>4994</v>
      </c>
      <c r="B392" s="1" t="s">
        <v>514</v>
      </c>
      <c r="C392" s="1"/>
      <c r="D392" s="1"/>
      <c r="E392" s="1"/>
      <c r="F392" s="1"/>
      <c r="G392" s="1"/>
      <c r="H392" s="1" t="str">
        <f>"4006000087054"</f>
        <v>4006000087054</v>
      </c>
      <c r="I392" s="3">
        <v>0</v>
      </c>
      <c r="J392" s="3">
        <v>0</v>
      </c>
      <c r="K392" s="3">
        <v>2500</v>
      </c>
    </row>
    <row r="393" spans="1:11" x14ac:dyDescent="0.2">
      <c r="A393" s="1" t="s">
        <v>4994</v>
      </c>
      <c r="B393" s="1" t="s">
        <v>515</v>
      </c>
      <c r="C393" s="1"/>
      <c r="D393" s="1"/>
      <c r="E393" s="1"/>
      <c r="F393" s="1"/>
      <c r="G393" s="1"/>
      <c r="H393" s="1" t="str">
        <f>"4006000087061"</f>
        <v>4006000087061</v>
      </c>
      <c r="I393" s="3">
        <v>0</v>
      </c>
      <c r="J393" s="3">
        <v>0</v>
      </c>
      <c r="K393" s="3">
        <v>2500</v>
      </c>
    </row>
    <row r="394" spans="1:11" x14ac:dyDescent="0.2">
      <c r="A394" s="1" t="s">
        <v>4994</v>
      </c>
      <c r="B394" s="1" t="s">
        <v>516</v>
      </c>
      <c r="C394" s="1"/>
      <c r="D394" s="1"/>
      <c r="E394" s="1"/>
      <c r="F394" s="1"/>
      <c r="G394" s="1"/>
      <c r="H394" s="1" t="str">
        <f>"4006000067247"</f>
        <v>4006000067247</v>
      </c>
      <c r="I394" s="3">
        <v>0</v>
      </c>
      <c r="J394" s="3">
        <v>0</v>
      </c>
      <c r="K394" s="3">
        <v>2500</v>
      </c>
    </row>
    <row r="395" spans="1:11" x14ac:dyDescent="0.2">
      <c r="A395" s="1" t="s">
        <v>4994</v>
      </c>
      <c r="B395" s="1" t="s">
        <v>517</v>
      </c>
      <c r="C395" s="1"/>
      <c r="D395" s="1"/>
      <c r="E395" s="1"/>
      <c r="F395" s="1"/>
      <c r="G395" s="1"/>
      <c r="H395" s="1" t="str">
        <f>"7509546046822"</f>
        <v>7509546046822</v>
      </c>
      <c r="I395" s="3">
        <v>0</v>
      </c>
      <c r="J395" s="3">
        <v>0</v>
      </c>
      <c r="K395" s="3">
        <v>2500</v>
      </c>
    </row>
    <row r="396" spans="1:11" x14ac:dyDescent="0.2">
      <c r="A396" s="1" t="s">
        <v>4994</v>
      </c>
      <c r="B396" s="1" t="s">
        <v>518</v>
      </c>
      <c r="C396" s="1"/>
      <c r="D396" s="1"/>
      <c r="E396" s="1"/>
      <c r="F396" s="1"/>
      <c r="G396" s="1"/>
      <c r="H396" s="1" t="str">
        <f>"7501035907591"</f>
        <v>7501035907591</v>
      </c>
      <c r="I396" s="3">
        <v>7</v>
      </c>
      <c r="J396" s="3">
        <v>0</v>
      </c>
      <c r="K396" s="3">
        <v>2500</v>
      </c>
    </row>
    <row r="397" spans="1:11" x14ac:dyDescent="0.2">
      <c r="A397" s="1" t="s">
        <v>4994</v>
      </c>
      <c r="B397" s="1" t="s">
        <v>519</v>
      </c>
      <c r="C397" s="1"/>
      <c r="D397" s="1"/>
      <c r="E397" s="1"/>
      <c r="F397" s="1"/>
      <c r="G397" s="1"/>
      <c r="H397" s="1" t="str">
        <f>"7509546052755"</f>
        <v>7509546052755</v>
      </c>
      <c r="I397" s="3">
        <v>16</v>
      </c>
      <c r="J397" s="3">
        <v>0</v>
      </c>
      <c r="K397" s="3">
        <v>2500</v>
      </c>
    </row>
    <row r="398" spans="1:11" x14ac:dyDescent="0.2">
      <c r="A398" s="1" t="s">
        <v>4994</v>
      </c>
      <c r="B398" s="1" t="s">
        <v>520</v>
      </c>
      <c r="C398" s="1"/>
      <c r="D398" s="1"/>
      <c r="E398" s="1"/>
      <c r="F398" s="1"/>
      <c r="G398" s="1"/>
      <c r="H398" s="1" t="str">
        <f>"75076238"</f>
        <v>75076238</v>
      </c>
      <c r="I398" s="3">
        <v>0</v>
      </c>
      <c r="J398" s="3">
        <v>0</v>
      </c>
      <c r="K398" s="3">
        <v>3000</v>
      </c>
    </row>
    <row r="399" spans="1:11" x14ac:dyDescent="0.2">
      <c r="A399" s="1" t="s">
        <v>4994</v>
      </c>
      <c r="B399" s="1" t="s">
        <v>521</v>
      </c>
      <c r="C399" s="1"/>
      <c r="D399" s="1"/>
      <c r="E399" s="1"/>
      <c r="F399" s="1"/>
      <c r="G399" s="1"/>
      <c r="H399" s="1" t="str">
        <f>"75076252"</f>
        <v>75076252</v>
      </c>
      <c r="I399" s="3">
        <v>0</v>
      </c>
      <c r="J399" s="3">
        <v>0</v>
      </c>
      <c r="K399" s="3">
        <v>3000</v>
      </c>
    </row>
    <row r="400" spans="1:11" x14ac:dyDescent="0.2">
      <c r="A400" s="1" t="s">
        <v>4994</v>
      </c>
      <c r="B400" s="1" t="s">
        <v>522</v>
      </c>
      <c r="C400" s="1"/>
      <c r="D400" s="1"/>
      <c r="E400" s="1"/>
      <c r="F400" s="1"/>
      <c r="G400" s="1"/>
      <c r="H400" s="1" t="str">
        <f>"75076221"</f>
        <v>75076221</v>
      </c>
      <c r="I400" s="3">
        <v>0</v>
      </c>
      <c r="J400" s="3">
        <v>0</v>
      </c>
      <c r="K400" s="3">
        <v>3000</v>
      </c>
    </row>
    <row r="401" spans="1:11" x14ac:dyDescent="0.2">
      <c r="A401" s="1" t="s">
        <v>4994</v>
      </c>
      <c r="B401" s="1" t="s">
        <v>523</v>
      </c>
      <c r="C401" s="1"/>
      <c r="D401" s="1"/>
      <c r="E401" s="1"/>
      <c r="F401" s="1"/>
      <c r="G401" s="1"/>
      <c r="H401" s="1" t="str">
        <f>"7509546652030"</f>
        <v>7509546652030</v>
      </c>
      <c r="I401" s="3">
        <v>0</v>
      </c>
      <c r="J401" s="3">
        <v>0</v>
      </c>
      <c r="K401" s="3">
        <v>2500</v>
      </c>
    </row>
    <row r="402" spans="1:11" x14ac:dyDescent="0.2">
      <c r="A402" s="1" t="s">
        <v>4994</v>
      </c>
      <c r="B402" s="1" t="s">
        <v>524</v>
      </c>
      <c r="C402" s="1"/>
      <c r="D402" s="1"/>
      <c r="E402" s="1"/>
      <c r="F402" s="1"/>
      <c r="G402" s="1"/>
      <c r="H402" s="1" t="str">
        <f>"7506309839202"</f>
        <v>7506309839202</v>
      </c>
      <c r="I402" s="3">
        <v>0</v>
      </c>
      <c r="J402" s="3">
        <v>0</v>
      </c>
      <c r="K402" s="3">
        <v>2500</v>
      </c>
    </row>
    <row r="403" spans="1:11" x14ac:dyDescent="0.2">
      <c r="A403" s="1" t="s">
        <v>4994</v>
      </c>
      <c r="B403" s="1" t="s">
        <v>525</v>
      </c>
      <c r="C403" s="1"/>
      <c r="D403" s="1"/>
      <c r="E403" s="1"/>
      <c r="F403" s="1"/>
      <c r="G403" s="1"/>
      <c r="H403" s="1" t="str">
        <f>"5010724527511"</f>
        <v>5010724527511</v>
      </c>
      <c r="I403" s="3">
        <v>0</v>
      </c>
      <c r="J403" s="3">
        <v>0</v>
      </c>
      <c r="K403" s="3">
        <v>10000</v>
      </c>
    </row>
    <row r="404" spans="1:11" x14ac:dyDescent="0.2">
      <c r="A404" s="1" t="s">
        <v>4994</v>
      </c>
      <c r="B404" s="1" t="s">
        <v>526</v>
      </c>
      <c r="C404" s="1"/>
      <c r="D404" s="1"/>
      <c r="E404" s="1"/>
      <c r="F404" s="1"/>
      <c r="G404" s="1"/>
      <c r="H404" s="1" t="str">
        <f>"7891106000154"</f>
        <v>7891106000154</v>
      </c>
      <c r="I404" s="3">
        <v>4</v>
      </c>
      <c r="J404" s="3">
        <v>0</v>
      </c>
      <c r="K404" s="3">
        <v>25000</v>
      </c>
    </row>
    <row r="405" spans="1:11" x14ac:dyDescent="0.2">
      <c r="A405" s="1" t="s">
        <v>4994</v>
      </c>
      <c r="B405" s="1" t="s">
        <v>529</v>
      </c>
      <c r="C405" s="1"/>
      <c r="D405" s="1"/>
      <c r="E405" s="1"/>
      <c r="F405" s="1"/>
      <c r="G405" s="1"/>
      <c r="H405" s="1" t="str">
        <f>"7803501004019"</f>
        <v>7803501004019</v>
      </c>
      <c r="I405" s="3">
        <v>1</v>
      </c>
      <c r="J405" s="3">
        <v>0</v>
      </c>
      <c r="K405" s="3">
        <v>10000</v>
      </c>
    </row>
    <row r="406" spans="1:11" x14ac:dyDescent="0.2">
      <c r="A406" s="1" t="s">
        <v>4994</v>
      </c>
      <c r="B406" s="1" t="s">
        <v>530</v>
      </c>
      <c r="C406" s="1"/>
      <c r="D406" s="1"/>
      <c r="E406" s="1"/>
      <c r="F406" s="1"/>
      <c r="G406" s="1"/>
      <c r="H406" s="1" t="str">
        <f>"7803501004057"</f>
        <v>7803501004057</v>
      </c>
      <c r="I406" s="3">
        <v>1</v>
      </c>
      <c r="J406" s="3">
        <v>0</v>
      </c>
      <c r="K406" s="3">
        <v>10000</v>
      </c>
    </row>
    <row r="407" spans="1:11" x14ac:dyDescent="0.2">
      <c r="A407" s="1" t="s">
        <v>4994</v>
      </c>
      <c r="B407" s="1" t="s">
        <v>531</v>
      </c>
      <c r="C407" s="1"/>
      <c r="D407" s="1"/>
      <c r="E407" s="1"/>
      <c r="F407" s="1"/>
      <c r="G407" s="1"/>
      <c r="H407" s="1" t="str">
        <f>"7805633027379"</f>
        <v>7805633027379</v>
      </c>
      <c r="I407" s="3">
        <v>0</v>
      </c>
      <c r="J407" s="3">
        <v>0</v>
      </c>
      <c r="K407" s="3">
        <v>1000</v>
      </c>
    </row>
    <row r="408" spans="1:11" x14ac:dyDescent="0.2">
      <c r="A408" s="1" t="s">
        <v>4994</v>
      </c>
      <c r="B408" s="1" t="s">
        <v>532</v>
      </c>
      <c r="C408" s="1"/>
      <c r="D408" s="1"/>
      <c r="E408" s="1"/>
      <c r="F408" s="1"/>
      <c r="G408" s="1"/>
      <c r="H408" s="1" t="str">
        <f>"7805633019459"</f>
        <v>7805633019459</v>
      </c>
      <c r="I408" s="3">
        <v>0</v>
      </c>
      <c r="J408" s="3">
        <v>0</v>
      </c>
      <c r="K408" s="3">
        <v>1500</v>
      </c>
    </row>
    <row r="409" spans="1:11" x14ac:dyDescent="0.2">
      <c r="A409" s="1" t="s">
        <v>4994</v>
      </c>
      <c r="B409" s="1" t="s">
        <v>533</v>
      </c>
      <c r="C409" s="1"/>
      <c r="D409" s="1"/>
      <c r="E409" s="1"/>
      <c r="F409" s="1"/>
      <c r="G409" s="1"/>
      <c r="H409" s="1" t="str">
        <f>"8907626256816"</f>
        <v>8907626256816</v>
      </c>
      <c r="I409" s="3">
        <v>0</v>
      </c>
      <c r="J409" s="3">
        <v>0</v>
      </c>
      <c r="K409" s="3">
        <v>3000</v>
      </c>
    </row>
    <row r="410" spans="1:11" x14ac:dyDescent="0.2">
      <c r="A410" s="1" t="s">
        <v>4994</v>
      </c>
      <c r="B410" s="1" t="s">
        <v>534</v>
      </c>
      <c r="C410" s="1"/>
      <c r="D410" s="1"/>
      <c r="E410" s="1"/>
      <c r="F410" s="1"/>
      <c r="G410" s="1"/>
      <c r="H410" s="1" t="str">
        <f>"7804918410592"</f>
        <v>7804918410592</v>
      </c>
      <c r="I410" s="3">
        <v>0</v>
      </c>
      <c r="J410" s="3">
        <v>0</v>
      </c>
      <c r="K410" s="3">
        <v>2500</v>
      </c>
    </row>
    <row r="411" spans="1:11" x14ac:dyDescent="0.2">
      <c r="A411" s="1" t="s">
        <v>4994</v>
      </c>
      <c r="B411" s="1" t="s">
        <v>535</v>
      </c>
      <c r="C411" s="1"/>
      <c r="D411" s="1"/>
      <c r="E411" s="1"/>
      <c r="F411" s="1"/>
      <c r="G411" s="1"/>
      <c r="H411" s="1" t="str">
        <f>"7800068014147"</f>
        <v>7800068014147</v>
      </c>
      <c r="I411" s="3">
        <v>0</v>
      </c>
      <c r="J411" s="3">
        <v>0</v>
      </c>
      <c r="K411" s="3">
        <v>2500</v>
      </c>
    </row>
    <row r="412" spans="1:11" x14ac:dyDescent="0.2">
      <c r="A412" s="1" t="s">
        <v>4994</v>
      </c>
      <c r="B412" s="1" t="s">
        <v>536</v>
      </c>
      <c r="C412" s="1"/>
      <c r="D412" s="1"/>
      <c r="E412" s="1"/>
      <c r="F412" s="1"/>
      <c r="G412" s="1"/>
      <c r="H412" s="1" t="str">
        <f>"4008239230096"</f>
        <v>4008239230096</v>
      </c>
      <c r="I412" s="3">
        <v>0</v>
      </c>
      <c r="J412" s="3">
        <v>0</v>
      </c>
      <c r="K412" s="3">
        <v>500</v>
      </c>
    </row>
    <row r="413" spans="1:11" x14ac:dyDescent="0.2">
      <c r="A413" s="1" t="s">
        <v>4994</v>
      </c>
      <c r="B413" s="1" t="s">
        <v>537</v>
      </c>
      <c r="C413" s="1"/>
      <c r="D413" s="1"/>
      <c r="E413" s="1"/>
      <c r="F413" s="1"/>
      <c r="G413" s="1"/>
      <c r="H413" s="1" t="str">
        <f>"2000341103161"</f>
        <v>2000341103161</v>
      </c>
      <c r="I413" s="3">
        <v>0</v>
      </c>
      <c r="J413" s="3">
        <v>0</v>
      </c>
      <c r="K413" s="3">
        <v>5000</v>
      </c>
    </row>
    <row r="414" spans="1:11" x14ac:dyDescent="0.2">
      <c r="A414" s="1" t="s">
        <v>4994</v>
      </c>
      <c r="B414" s="1" t="s">
        <v>538</v>
      </c>
      <c r="C414" s="1"/>
      <c r="D414" s="1"/>
      <c r="E414" s="1"/>
      <c r="F414" s="1"/>
      <c r="G414" s="1"/>
      <c r="H414" s="1" t="str">
        <f>"7804945056329"</f>
        <v>7804945056329</v>
      </c>
      <c r="I414" s="3">
        <v>0</v>
      </c>
      <c r="J414" s="3">
        <v>0</v>
      </c>
      <c r="K414" s="3">
        <v>5000</v>
      </c>
    </row>
    <row r="415" spans="1:11" x14ac:dyDescent="0.2">
      <c r="A415" s="1" t="s">
        <v>4994</v>
      </c>
      <c r="B415" s="1" t="s">
        <v>539</v>
      </c>
      <c r="C415" s="1"/>
      <c r="D415" s="1"/>
      <c r="E415" s="1"/>
      <c r="F415" s="1"/>
      <c r="G415" s="1"/>
      <c r="H415" s="1" t="str">
        <f>"7800061002080"</f>
        <v>7800061002080</v>
      </c>
      <c r="I415" s="3">
        <v>1</v>
      </c>
      <c r="J415" s="3">
        <v>0</v>
      </c>
      <c r="K415" s="3">
        <v>1500</v>
      </c>
    </row>
    <row r="416" spans="1:11" x14ac:dyDescent="0.2">
      <c r="A416" s="1" t="s">
        <v>4994</v>
      </c>
      <c r="B416" s="1" t="s">
        <v>540</v>
      </c>
      <c r="C416" s="1"/>
      <c r="D416" s="1"/>
      <c r="E416" s="1"/>
      <c r="F416" s="1"/>
      <c r="G416" s="1"/>
      <c r="H416" s="1" t="str">
        <f>"7804620834860"</f>
        <v>7804620834860</v>
      </c>
      <c r="I416" s="3">
        <v>0</v>
      </c>
      <c r="J416" s="3">
        <v>0</v>
      </c>
      <c r="K416" s="3">
        <v>1500</v>
      </c>
    </row>
    <row r="417" spans="1:11" x14ac:dyDescent="0.2">
      <c r="A417" s="1" t="s">
        <v>4994</v>
      </c>
      <c r="B417" s="1" t="s">
        <v>541</v>
      </c>
      <c r="C417" s="1"/>
      <c r="D417" s="1"/>
      <c r="E417" s="1"/>
      <c r="F417" s="1"/>
      <c r="G417" s="1"/>
      <c r="H417" s="1" t="str">
        <f>"7804918450963"</f>
        <v>7804918450963</v>
      </c>
      <c r="I417" s="3">
        <v>3</v>
      </c>
      <c r="J417" s="3">
        <v>0</v>
      </c>
      <c r="K417" s="3">
        <v>5000</v>
      </c>
    </row>
    <row r="418" spans="1:11" x14ac:dyDescent="0.2">
      <c r="A418" s="1" t="s">
        <v>4994</v>
      </c>
      <c r="B418" s="1" t="s">
        <v>542</v>
      </c>
      <c r="C418" s="1"/>
      <c r="D418" s="1"/>
      <c r="E418" s="1"/>
      <c r="F418" s="1"/>
      <c r="G418" s="1"/>
      <c r="H418" s="1" t="str">
        <f>"7804918500637"</f>
        <v>7804918500637</v>
      </c>
      <c r="I418" s="3">
        <v>0</v>
      </c>
      <c r="J418" s="3">
        <v>0</v>
      </c>
      <c r="K418" s="3">
        <v>3500</v>
      </c>
    </row>
    <row r="419" spans="1:11" x14ac:dyDescent="0.2">
      <c r="A419" s="1" t="s">
        <v>4994</v>
      </c>
      <c r="B419" s="1" t="s">
        <v>543</v>
      </c>
      <c r="C419" s="1"/>
      <c r="D419" s="1"/>
      <c r="E419" s="1"/>
      <c r="F419" s="1"/>
      <c r="G419" s="1"/>
      <c r="H419" s="1" t="str">
        <f>"7804918452073"</f>
        <v>7804918452073</v>
      </c>
      <c r="I419" s="3">
        <v>10</v>
      </c>
      <c r="J419" s="3">
        <v>0</v>
      </c>
      <c r="K419" s="3">
        <v>3000</v>
      </c>
    </row>
    <row r="420" spans="1:11" x14ac:dyDescent="0.2">
      <c r="A420" s="1" t="s">
        <v>4994</v>
      </c>
      <c r="B420" s="1" t="s">
        <v>544</v>
      </c>
      <c r="C420" s="1"/>
      <c r="D420" s="1"/>
      <c r="E420" s="1"/>
      <c r="F420" s="1"/>
      <c r="G420" s="1"/>
      <c r="H420" s="1" t="str">
        <f>"7804918403419"</f>
        <v>7804918403419</v>
      </c>
      <c r="I420" s="3">
        <v>4</v>
      </c>
      <c r="J420" s="3">
        <v>0</v>
      </c>
      <c r="K420" s="3">
        <v>3000</v>
      </c>
    </row>
    <row r="421" spans="1:11" x14ac:dyDescent="0.2">
      <c r="A421" s="1" t="s">
        <v>4994</v>
      </c>
      <c r="B421" s="1" t="s">
        <v>545</v>
      </c>
      <c r="C421" s="1"/>
      <c r="D421" s="1"/>
      <c r="E421" s="1"/>
      <c r="F421" s="1"/>
      <c r="G421" s="1"/>
      <c r="H421" s="1" t="str">
        <f>"7804918500385"</f>
        <v>7804918500385</v>
      </c>
      <c r="I421" s="3">
        <v>0</v>
      </c>
      <c r="J421" s="3">
        <v>0</v>
      </c>
      <c r="K421" s="3">
        <v>3500</v>
      </c>
    </row>
    <row r="422" spans="1:11" x14ac:dyDescent="0.2">
      <c r="A422" s="1" t="s">
        <v>4994</v>
      </c>
      <c r="B422" s="1" t="s">
        <v>546</v>
      </c>
      <c r="C422" s="1"/>
      <c r="D422" s="1"/>
      <c r="E422" s="1"/>
      <c r="F422" s="1"/>
      <c r="G422" s="1"/>
      <c r="H422" s="1" t="str">
        <f>"7804918403440"</f>
        <v>7804918403440</v>
      </c>
      <c r="I422" s="3">
        <v>0</v>
      </c>
      <c r="J422" s="3">
        <v>0</v>
      </c>
      <c r="K422" s="3">
        <v>4000</v>
      </c>
    </row>
    <row r="423" spans="1:11" x14ac:dyDescent="0.2">
      <c r="A423" s="1" t="s">
        <v>4994</v>
      </c>
      <c r="B423" s="1" t="s">
        <v>547</v>
      </c>
      <c r="C423" s="1"/>
      <c r="D423" s="1"/>
      <c r="E423" s="1"/>
      <c r="F423" s="1"/>
      <c r="G423" s="1"/>
      <c r="H423" s="1" t="str">
        <f>"7804918452066"</f>
        <v>7804918452066</v>
      </c>
      <c r="I423" s="3">
        <v>0</v>
      </c>
      <c r="J423" s="3">
        <v>0</v>
      </c>
      <c r="K423" s="3">
        <v>4000</v>
      </c>
    </row>
    <row r="424" spans="1:11" x14ac:dyDescent="0.2">
      <c r="A424" s="1" t="s">
        <v>4994</v>
      </c>
      <c r="B424" s="1" t="s">
        <v>548</v>
      </c>
      <c r="C424" s="1"/>
      <c r="D424" s="1"/>
      <c r="E424" s="1"/>
      <c r="F424" s="1"/>
      <c r="G424" s="1"/>
      <c r="H424" s="1" t="str">
        <f>"7804918452134"</f>
        <v>7804918452134</v>
      </c>
      <c r="I424" s="3">
        <v>0</v>
      </c>
      <c r="J424" s="3">
        <v>0</v>
      </c>
      <c r="K424" s="3">
        <v>3000</v>
      </c>
    </row>
    <row r="425" spans="1:11" x14ac:dyDescent="0.2">
      <c r="A425" s="1" t="s">
        <v>4994</v>
      </c>
      <c r="B425" s="1" t="s">
        <v>549</v>
      </c>
      <c r="C425" s="1"/>
      <c r="D425" s="1"/>
      <c r="E425" s="1"/>
      <c r="F425" s="1"/>
      <c r="G425" s="1"/>
      <c r="H425" s="1" t="str">
        <f>"7804918400814"</f>
        <v>7804918400814</v>
      </c>
      <c r="I425" s="3">
        <v>6</v>
      </c>
      <c r="J425" s="3">
        <v>0</v>
      </c>
      <c r="K425" s="3">
        <v>6500</v>
      </c>
    </row>
    <row r="426" spans="1:11" x14ac:dyDescent="0.2">
      <c r="A426" s="1" t="s">
        <v>4994</v>
      </c>
      <c r="B426" s="1" t="s">
        <v>550</v>
      </c>
      <c r="C426" s="1"/>
      <c r="D426" s="1"/>
      <c r="E426" s="1"/>
      <c r="F426" s="1"/>
      <c r="G426" s="1"/>
      <c r="H426" s="1" t="str">
        <f>"3499320000765"</f>
        <v>3499320000765</v>
      </c>
      <c r="I426" s="3">
        <v>0</v>
      </c>
      <c r="J426" s="3">
        <v>0</v>
      </c>
      <c r="K426" s="3">
        <v>27000</v>
      </c>
    </row>
    <row r="427" spans="1:11" x14ac:dyDescent="0.2">
      <c r="A427" s="1" t="s">
        <v>4994</v>
      </c>
      <c r="B427" s="1" t="s">
        <v>551</v>
      </c>
      <c r="C427" s="1"/>
      <c r="D427" s="1"/>
      <c r="E427" s="1"/>
      <c r="F427" s="1"/>
      <c r="G427" s="1"/>
      <c r="H427" s="1" t="str">
        <f>"3499320007627"</f>
        <v>3499320007627</v>
      </c>
      <c r="I427" s="3">
        <v>0</v>
      </c>
      <c r="J427" s="3">
        <v>0</v>
      </c>
      <c r="K427" s="3">
        <v>17000</v>
      </c>
    </row>
    <row r="428" spans="1:11" x14ac:dyDescent="0.2">
      <c r="A428" s="1" t="s">
        <v>4994</v>
      </c>
      <c r="B428" s="1" t="s">
        <v>552</v>
      </c>
      <c r="C428" s="1"/>
      <c r="D428" s="1"/>
      <c r="E428" s="1"/>
      <c r="F428" s="1"/>
      <c r="G428" s="1"/>
      <c r="H428" s="1" t="str">
        <f>"7793640992677"</f>
        <v>7793640992677</v>
      </c>
      <c r="I428" s="3">
        <v>30</v>
      </c>
      <c r="J428" s="3">
        <v>0</v>
      </c>
      <c r="K428" s="3">
        <v>4500</v>
      </c>
    </row>
    <row r="429" spans="1:11" x14ac:dyDescent="0.2">
      <c r="A429" s="1" t="s">
        <v>4994</v>
      </c>
      <c r="B429" s="1" t="s">
        <v>553</v>
      </c>
      <c r="C429" s="1"/>
      <c r="D429" s="1"/>
      <c r="E429" s="1"/>
      <c r="F429" s="1"/>
      <c r="G429" s="1"/>
      <c r="H429" s="1" t="str">
        <f>"7805750110435"</f>
        <v>7805750110435</v>
      </c>
      <c r="I429" s="3">
        <v>0</v>
      </c>
      <c r="J429" s="3">
        <v>0</v>
      </c>
      <c r="K429" s="3">
        <v>4000</v>
      </c>
    </row>
    <row r="430" spans="1:11" x14ac:dyDescent="0.2">
      <c r="A430" s="1" t="s">
        <v>4994</v>
      </c>
      <c r="B430" s="1" t="s">
        <v>554</v>
      </c>
      <c r="C430" s="1"/>
      <c r="D430" s="1"/>
      <c r="E430" s="1"/>
      <c r="F430" s="1"/>
      <c r="G430" s="1"/>
      <c r="H430" s="1" t="str">
        <f>"7805750004291"</f>
        <v>7805750004291</v>
      </c>
      <c r="I430" s="3">
        <v>43</v>
      </c>
      <c r="J430" s="3">
        <v>0</v>
      </c>
      <c r="K430" s="3">
        <v>5500</v>
      </c>
    </row>
    <row r="431" spans="1:11" x14ac:dyDescent="0.2">
      <c r="A431" s="1" t="s">
        <v>4994</v>
      </c>
      <c r="B431" s="1" t="s">
        <v>555</v>
      </c>
      <c r="C431" s="1"/>
      <c r="D431" s="1"/>
      <c r="E431" s="1"/>
      <c r="F431" s="1"/>
      <c r="G431" s="1"/>
      <c r="H431" s="1" t="str">
        <f>"7800060011816"</f>
        <v>7800060011816</v>
      </c>
      <c r="I431" s="3">
        <v>0</v>
      </c>
      <c r="J431" s="3">
        <v>0</v>
      </c>
      <c r="K431" s="3">
        <v>15000</v>
      </c>
    </row>
    <row r="432" spans="1:11" x14ac:dyDescent="0.2">
      <c r="A432" s="1" t="s">
        <v>4994</v>
      </c>
      <c r="B432" s="1" t="s">
        <v>556</v>
      </c>
      <c r="C432" s="1"/>
      <c r="D432" s="1"/>
      <c r="E432" s="1"/>
      <c r="F432" s="1"/>
      <c r="G432" s="1"/>
      <c r="H432" s="1" t="str">
        <f>"7809599500358"</f>
        <v>7809599500358</v>
      </c>
      <c r="I432" s="3">
        <v>19</v>
      </c>
      <c r="J432" s="3">
        <v>0</v>
      </c>
      <c r="K432" s="3">
        <v>28000</v>
      </c>
    </row>
    <row r="433" spans="1:11" x14ac:dyDescent="0.2">
      <c r="A433" s="1" t="s">
        <v>4994</v>
      </c>
      <c r="B433" s="1" t="s">
        <v>557</v>
      </c>
      <c r="C433" s="1"/>
      <c r="D433" s="1"/>
      <c r="E433" s="1"/>
      <c r="F433" s="1"/>
      <c r="G433" s="1"/>
      <c r="H433" s="1" t="str">
        <f>"7800068010644"</f>
        <v>7800068010644</v>
      </c>
      <c r="I433" s="3">
        <v>11</v>
      </c>
      <c r="J433" s="3">
        <v>0</v>
      </c>
      <c r="K433" s="3">
        <v>7500</v>
      </c>
    </row>
    <row r="434" spans="1:11" x14ac:dyDescent="0.2">
      <c r="A434" s="1" t="s">
        <v>4994</v>
      </c>
      <c r="B434" s="1" t="s">
        <v>559</v>
      </c>
      <c r="C434" s="1"/>
      <c r="D434" s="1"/>
      <c r="E434" s="1"/>
      <c r="F434" s="1"/>
      <c r="G434" s="1"/>
      <c r="H434" s="1" t="str">
        <f>"8850217600751"</f>
        <v>8850217600751</v>
      </c>
      <c r="I434" s="3">
        <v>0</v>
      </c>
      <c r="J434" s="3">
        <v>0</v>
      </c>
      <c r="K434" s="3">
        <v>2500</v>
      </c>
    </row>
    <row r="435" spans="1:11" x14ac:dyDescent="0.2">
      <c r="A435" s="1" t="s">
        <v>4994</v>
      </c>
      <c r="B435" s="1" t="s">
        <v>560</v>
      </c>
      <c r="C435" s="1"/>
      <c r="D435" s="1"/>
      <c r="E435" s="1"/>
      <c r="F435" s="1"/>
      <c r="G435" s="1"/>
      <c r="H435" s="1" t="str">
        <f>"7806125147575"</f>
        <v>7806125147575</v>
      </c>
      <c r="I435" s="3">
        <v>0</v>
      </c>
      <c r="J435" s="3">
        <v>0</v>
      </c>
      <c r="K435" s="3">
        <v>1000</v>
      </c>
    </row>
    <row r="436" spans="1:11" x14ac:dyDescent="0.2">
      <c r="A436" s="1" t="s">
        <v>4994</v>
      </c>
      <c r="B436" s="1" t="s">
        <v>563</v>
      </c>
      <c r="C436" s="1"/>
      <c r="D436" s="1"/>
      <c r="E436" s="1"/>
      <c r="F436" s="1"/>
      <c r="G436" s="1"/>
      <c r="H436" s="1" t="str">
        <f>"7501098606929"</f>
        <v>7501098606929</v>
      </c>
      <c r="I436" s="3">
        <v>0</v>
      </c>
      <c r="J436" s="3">
        <v>0</v>
      </c>
      <c r="K436" s="3">
        <v>28000</v>
      </c>
    </row>
    <row r="437" spans="1:11" x14ac:dyDescent="0.2">
      <c r="A437" s="1" t="s">
        <v>4994</v>
      </c>
      <c r="B437" s="1" t="s">
        <v>566</v>
      </c>
      <c r="C437" s="1"/>
      <c r="D437" s="1"/>
      <c r="E437" s="1"/>
      <c r="F437" s="1"/>
      <c r="G437" s="1"/>
      <c r="H437" s="1" t="str">
        <f>"7800007155986"</f>
        <v>7800007155986</v>
      </c>
      <c r="I437" s="3">
        <v>0</v>
      </c>
      <c r="J437" s="3">
        <v>0</v>
      </c>
      <c r="K437" s="3">
        <v>500</v>
      </c>
    </row>
    <row r="438" spans="1:11" x14ac:dyDescent="0.2">
      <c r="A438" s="1" t="s">
        <v>4994</v>
      </c>
      <c r="B438" s="1" t="s">
        <v>567</v>
      </c>
      <c r="C438" s="1"/>
      <c r="D438" s="1"/>
      <c r="E438" s="1"/>
      <c r="F438" s="1"/>
      <c r="G438" s="1"/>
      <c r="H438" s="1" t="str">
        <f>"75613043847078"</f>
        <v>75613043847078</v>
      </c>
      <c r="I438" s="3">
        <v>0</v>
      </c>
      <c r="J438" s="3">
        <v>0</v>
      </c>
      <c r="K438" s="3">
        <v>1000</v>
      </c>
    </row>
    <row r="439" spans="1:11" x14ac:dyDescent="0.2">
      <c r="A439" s="1" t="s">
        <v>4994</v>
      </c>
      <c r="B439" s="1" t="s">
        <v>568</v>
      </c>
      <c r="C439" s="1"/>
      <c r="D439" s="1"/>
      <c r="E439" s="1"/>
      <c r="F439" s="1"/>
      <c r="G439" s="1"/>
      <c r="H439" s="1" t="str">
        <f>"7707236125776"</f>
        <v>7707236125776</v>
      </c>
      <c r="I439" s="3">
        <v>0</v>
      </c>
      <c r="J439" s="3">
        <v>0</v>
      </c>
      <c r="K439" s="3">
        <v>8000</v>
      </c>
    </row>
    <row r="440" spans="1:11" x14ac:dyDescent="0.2">
      <c r="A440" s="1" t="s">
        <v>4994</v>
      </c>
      <c r="B440" s="1" t="s">
        <v>569</v>
      </c>
      <c r="C440" s="1"/>
      <c r="D440" s="1"/>
      <c r="E440" s="1"/>
      <c r="F440" s="1"/>
      <c r="G440" s="1"/>
      <c r="H440" s="1" t="str">
        <f>"7707236129125"</f>
        <v>7707236129125</v>
      </c>
      <c r="I440" s="3">
        <v>0</v>
      </c>
      <c r="J440" s="3">
        <v>0</v>
      </c>
      <c r="K440" s="3">
        <v>100000</v>
      </c>
    </row>
    <row r="441" spans="1:11" x14ac:dyDescent="0.2">
      <c r="A441" s="1" t="s">
        <v>4994</v>
      </c>
      <c r="B441" s="1" t="s">
        <v>570</v>
      </c>
      <c r="C441" s="1"/>
      <c r="D441" s="1"/>
      <c r="E441" s="1"/>
      <c r="F441" s="1"/>
      <c r="G441" s="1"/>
      <c r="H441" s="1" t="str">
        <f>"7804620834563"</f>
        <v>7804620834563</v>
      </c>
      <c r="I441" s="3">
        <v>0</v>
      </c>
      <c r="J441" s="3">
        <v>0</v>
      </c>
      <c r="K441" s="3">
        <v>500</v>
      </c>
    </row>
    <row r="442" spans="1:11" x14ac:dyDescent="0.2">
      <c r="A442" s="1" t="s">
        <v>4994</v>
      </c>
      <c r="B442" s="1" t="s">
        <v>571</v>
      </c>
      <c r="C442" s="1"/>
      <c r="D442" s="1"/>
      <c r="E442" s="1"/>
      <c r="F442" s="1"/>
      <c r="G442" s="1"/>
      <c r="H442" s="1" t="str">
        <f>"7804640560404"</f>
        <v>7804640560404</v>
      </c>
      <c r="I442" s="3">
        <v>0</v>
      </c>
      <c r="J442" s="3">
        <v>0</v>
      </c>
      <c r="K442" s="3">
        <v>500</v>
      </c>
    </row>
    <row r="443" spans="1:11" x14ac:dyDescent="0.2">
      <c r="A443" s="1" t="s">
        <v>4994</v>
      </c>
      <c r="B443" s="1" t="s">
        <v>572</v>
      </c>
      <c r="C443" s="1"/>
      <c r="D443" s="1"/>
      <c r="E443" s="1"/>
      <c r="F443" s="1"/>
      <c r="G443" s="1"/>
      <c r="H443" s="1" t="str">
        <f>"7800061001212"</f>
        <v>7800061001212</v>
      </c>
      <c r="I443" s="3">
        <v>5</v>
      </c>
      <c r="J443" s="3">
        <v>0</v>
      </c>
      <c r="K443" s="3">
        <v>8000</v>
      </c>
    </row>
    <row r="444" spans="1:11" x14ac:dyDescent="0.2">
      <c r="A444" s="1" t="s">
        <v>4994</v>
      </c>
      <c r="B444" s="1" t="s">
        <v>573</v>
      </c>
      <c r="C444" s="1"/>
      <c r="D444" s="1"/>
      <c r="E444" s="1"/>
      <c r="F444" s="1"/>
      <c r="G444" s="1"/>
      <c r="H444" s="1" t="str">
        <f>"7800019010198"</f>
        <v>7800019010198</v>
      </c>
      <c r="I444" s="3">
        <v>0</v>
      </c>
      <c r="J444" s="3">
        <v>0</v>
      </c>
      <c r="K444" s="3">
        <v>30870</v>
      </c>
    </row>
    <row r="445" spans="1:11" x14ac:dyDescent="0.2">
      <c r="A445" s="1" t="s">
        <v>4994</v>
      </c>
      <c r="B445" s="1" t="s">
        <v>574</v>
      </c>
      <c r="C445" s="1"/>
      <c r="D445" s="1"/>
      <c r="E445" s="1"/>
      <c r="F445" s="1"/>
      <c r="G445" s="1"/>
      <c r="H445" s="1" t="str">
        <f>"7800007143389"</f>
        <v>7800007143389</v>
      </c>
      <c r="I445" s="3">
        <v>0</v>
      </c>
      <c r="J445" s="3">
        <v>0</v>
      </c>
      <c r="K445" s="3">
        <v>4000</v>
      </c>
    </row>
    <row r="446" spans="1:11" x14ac:dyDescent="0.2">
      <c r="A446" s="1" t="s">
        <v>4994</v>
      </c>
      <c r="B446" s="1" t="s">
        <v>575</v>
      </c>
      <c r="C446" s="1"/>
      <c r="D446" s="1"/>
      <c r="E446" s="1"/>
      <c r="F446" s="1"/>
      <c r="G446" s="1"/>
      <c r="H446" s="1" t="str">
        <f>"620583941043"</f>
        <v>620583941043</v>
      </c>
      <c r="I446" s="3">
        <v>1</v>
      </c>
      <c r="J446" s="3">
        <v>0</v>
      </c>
      <c r="K446" s="3">
        <v>4000</v>
      </c>
    </row>
    <row r="447" spans="1:11" x14ac:dyDescent="0.2">
      <c r="A447" s="1" t="s">
        <v>4994</v>
      </c>
      <c r="B447" s="1" t="s">
        <v>576</v>
      </c>
      <c r="C447" s="1"/>
      <c r="D447" s="1"/>
      <c r="E447" s="1"/>
      <c r="F447" s="1"/>
      <c r="G447" s="1"/>
      <c r="H447" s="1" t="str">
        <f>"7891317131821"</f>
        <v>7891317131821</v>
      </c>
      <c r="I447" s="3">
        <v>0</v>
      </c>
      <c r="J447" s="3">
        <v>0</v>
      </c>
      <c r="K447" s="3">
        <v>13000</v>
      </c>
    </row>
    <row r="448" spans="1:11" x14ac:dyDescent="0.2">
      <c r="A448" s="1" t="s">
        <v>4994</v>
      </c>
      <c r="B448" s="1" t="s">
        <v>577</v>
      </c>
      <c r="C448" s="1"/>
      <c r="D448" s="1"/>
      <c r="E448" s="1"/>
      <c r="F448" s="1"/>
      <c r="G448" s="1"/>
      <c r="H448" s="1" t="str">
        <f>"7891317006396"</f>
        <v>7891317006396</v>
      </c>
      <c r="I448" s="3">
        <v>3</v>
      </c>
      <c r="J448" s="3">
        <v>0</v>
      </c>
      <c r="K448" s="3">
        <v>18000</v>
      </c>
    </row>
    <row r="449" spans="1:11" x14ac:dyDescent="0.2">
      <c r="A449" s="1" t="s">
        <v>4994</v>
      </c>
      <c r="B449" s="1" t="s">
        <v>578</v>
      </c>
      <c r="C449" s="1"/>
      <c r="D449" s="1"/>
      <c r="E449" s="1"/>
      <c r="F449" s="1"/>
      <c r="G449" s="1"/>
      <c r="H449" s="1" t="str">
        <f>"7891317006419"</f>
        <v>7891317006419</v>
      </c>
      <c r="I449" s="3">
        <v>0</v>
      </c>
      <c r="J449" s="3">
        <v>0</v>
      </c>
      <c r="K449" s="3">
        <v>18000</v>
      </c>
    </row>
    <row r="450" spans="1:11" x14ac:dyDescent="0.2">
      <c r="A450" s="1" t="s">
        <v>4994</v>
      </c>
      <c r="B450" s="1" t="s">
        <v>579</v>
      </c>
      <c r="C450" s="1"/>
      <c r="D450" s="1"/>
      <c r="E450" s="1"/>
      <c r="F450" s="1"/>
      <c r="G450" s="1"/>
      <c r="H450" s="1" t="str">
        <f>"7800008000049"</f>
        <v>7800008000049</v>
      </c>
      <c r="I450" s="3">
        <v>23</v>
      </c>
      <c r="J450" s="3">
        <v>0</v>
      </c>
      <c r="K450" s="3">
        <v>10000</v>
      </c>
    </row>
    <row r="451" spans="1:11" x14ac:dyDescent="0.2">
      <c r="A451" s="1" t="s">
        <v>4994</v>
      </c>
      <c r="B451" s="1" t="s">
        <v>580</v>
      </c>
      <c r="C451" s="1"/>
      <c r="D451" s="1"/>
      <c r="E451" s="1"/>
      <c r="F451" s="1"/>
      <c r="G451" s="1"/>
      <c r="H451" s="1" t="str">
        <f>"7800008000032"</f>
        <v>7800008000032</v>
      </c>
      <c r="I451" s="3">
        <v>17</v>
      </c>
      <c r="J451" s="3">
        <v>0</v>
      </c>
      <c r="K451" s="3">
        <v>4000</v>
      </c>
    </row>
    <row r="452" spans="1:11" x14ac:dyDescent="0.2">
      <c r="A452" s="1" t="s">
        <v>4994</v>
      </c>
      <c r="B452" s="1" t="s">
        <v>581</v>
      </c>
      <c r="C452" s="1"/>
      <c r="D452" s="1"/>
      <c r="E452" s="1"/>
      <c r="F452" s="1"/>
      <c r="G452" s="1"/>
      <c r="H452" s="1" t="str">
        <f>"76125438028917"</f>
        <v>76125438028917</v>
      </c>
      <c r="I452" s="3">
        <v>6</v>
      </c>
      <c r="J452" s="3">
        <v>0</v>
      </c>
      <c r="K452" s="3">
        <v>2500</v>
      </c>
    </row>
    <row r="453" spans="1:11" x14ac:dyDescent="0.2">
      <c r="A453" s="1" t="s">
        <v>4994</v>
      </c>
      <c r="B453" s="1" t="s">
        <v>582</v>
      </c>
      <c r="C453" s="1"/>
      <c r="D453" s="1"/>
      <c r="E453" s="1"/>
      <c r="F453" s="1"/>
      <c r="G453" s="1"/>
      <c r="H453" s="1" t="str">
        <f>"7804918410608"</f>
        <v>7804918410608</v>
      </c>
      <c r="I453" s="3">
        <v>6</v>
      </c>
      <c r="J453" s="3">
        <v>0</v>
      </c>
      <c r="K453" s="3">
        <v>2500</v>
      </c>
    </row>
    <row r="454" spans="1:11" x14ac:dyDescent="0.2">
      <c r="A454" s="1" t="s">
        <v>4994</v>
      </c>
      <c r="B454" s="1" t="s">
        <v>583</v>
      </c>
      <c r="C454" s="1"/>
      <c r="D454" s="1"/>
      <c r="E454" s="1"/>
      <c r="F454" s="1"/>
      <c r="G454" s="1"/>
      <c r="H454" s="1" t="str">
        <f>"7804918441244"</f>
        <v>7804918441244</v>
      </c>
      <c r="I454" s="3">
        <v>2</v>
      </c>
      <c r="J454" s="3">
        <v>0</v>
      </c>
      <c r="K454" s="3">
        <v>2500</v>
      </c>
    </row>
    <row r="455" spans="1:11" x14ac:dyDescent="0.2">
      <c r="A455" s="1" t="s">
        <v>4994</v>
      </c>
      <c r="B455" s="1" t="s">
        <v>584</v>
      </c>
      <c r="C455" s="1"/>
      <c r="D455" s="1"/>
      <c r="E455" s="1"/>
      <c r="F455" s="1"/>
      <c r="G455" s="1"/>
      <c r="H455" s="1" t="str">
        <f>"8710103998389"</f>
        <v>8710103998389</v>
      </c>
      <c r="I455" s="3">
        <v>2</v>
      </c>
      <c r="J455" s="3">
        <v>0</v>
      </c>
      <c r="K455" s="3">
        <v>10000</v>
      </c>
    </row>
    <row r="456" spans="1:11" x14ac:dyDescent="0.2">
      <c r="A456" s="1" t="s">
        <v>4994</v>
      </c>
      <c r="B456" s="1" t="s">
        <v>584</v>
      </c>
      <c r="C456" s="1"/>
      <c r="D456" s="1"/>
      <c r="E456" s="1"/>
      <c r="F456" s="1"/>
      <c r="G456" s="1"/>
      <c r="H456" s="1" t="str">
        <f>"8720689011938"</f>
        <v>8720689011938</v>
      </c>
      <c r="I456" s="3">
        <v>1</v>
      </c>
      <c r="J456" s="3">
        <v>0</v>
      </c>
      <c r="K456" s="3">
        <v>10000</v>
      </c>
    </row>
    <row r="457" spans="1:11" x14ac:dyDescent="0.2">
      <c r="A457" s="1" t="s">
        <v>4994</v>
      </c>
      <c r="B457" s="1" t="s">
        <v>585</v>
      </c>
      <c r="C457" s="1"/>
      <c r="D457" s="1"/>
      <c r="E457" s="1"/>
      <c r="F457" s="1"/>
      <c r="G457" s="1"/>
      <c r="H457" s="1" t="str">
        <f>"8720689006958"</f>
        <v>8720689006958</v>
      </c>
      <c r="I457" s="3">
        <v>2</v>
      </c>
      <c r="J457" s="3">
        <v>0</v>
      </c>
      <c r="K457" s="3">
        <v>17000</v>
      </c>
    </row>
    <row r="458" spans="1:11" x14ac:dyDescent="0.2">
      <c r="A458" s="1" t="s">
        <v>4994</v>
      </c>
      <c r="B458" s="1" t="s">
        <v>586</v>
      </c>
      <c r="C458" s="1"/>
      <c r="D458" s="1"/>
      <c r="E458" s="1"/>
      <c r="F458" s="1"/>
      <c r="G458" s="1"/>
      <c r="H458" s="1" t="str">
        <f>"4902508809016"</f>
        <v>4902508809016</v>
      </c>
      <c r="I458" s="3">
        <v>2</v>
      </c>
      <c r="J458" s="3">
        <v>0</v>
      </c>
      <c r="K458" s="3">
        <v>1500</v>
      </c>
    </row>
    <row r="459" spans="1:11" x14ac:dyDescent="0.2">
      <c r="A459" s="1" t="s">
        <v>4994</v>
      </c>
      <c r="B459" s="1" t="s">
        <v>587</v>
      </c>
      <c r="C459" s="1"/>
      <c r="D459" s="1"/>
      <c r="E459" s="1"/>
      <c r="F459" s="1"/>
      <c r="G459" s="1"/>
      <c r="H459" s="1" t="str">
        <f>"070330721838"</f>
        <v>070330721838</v>
      </c>
      <c r="I459" s="3">
        <v>0</v>
      </c>
      <c r="J459" s="3">
        <v>0</v>
      </c>
      <c r="K459" s="3">
        <v>3000</v>
      </c>
    </row>
    <row r="460" spans="1:11" x14ac:dyDescent="0.2">
      <c r="A460" s="1" t="s">
        <v>4994</v>
      </c>
      <c r="B460" s="1" t="s">
        <v>588</v>
      </c>
      <c r="C460" s="1"/>
      <c r="D460" s="1"/>
      <c r="E460" s="1"/>
      <c r="F460" s="1"/>
      <c r="G460" s="1"/>
      <c r="H460" s="1" t="str">
        <f>"7805357001112"</f>
        <v>7805357001112</v>
      </c>
      <c r="I460" s="3">
        <v>100</v>
      </c>
      <c r="J460" s="3">
        <v>0</v>
      </c>
      <c r="K460" s="3">
        <v>1500</v>
      </c>
    </row>
    <row r="461" spans="1:11" x14ac:dyDescent="0.2">
      <c r="A461" s="1" t="s">
        <v>4994</v>
      </c>
      <c r="B461" s="1" t="s">
        <v>589</v>
      </c>
      <c r="C461" s="1"/>
      <c r="D461" s="1"/>
      <c r="E461" s="1"/>
      <c r="F461" s="1"/>
      <c r="G461" s="1"/>
      <c r="H461" s="1" t="str">
        <f>"7805357001235"</f>
        <v>7805357001235</v>
      </c>
      <c r="I461" s="3">
        <v>59</v>
      </c>
      <c r="J461" s="3">
        <v>0</v>
      </c>
      <c r="K461" s="3">
        <v>1500</v>
      </c>
    </row>
    <row r="462" spans="1:11" x14ac:dyDescent="0.2">
      <c r="A462" s="1" t="s">
        <v>4994</v>
      </c>
      <c r="B462" s="1" t="s">
        <v>590</v>
      </c>
      <c r="C462" s="1"/>
      <c r="D462" s="1"/>
      <c r="E462" s="1"/>
      <c r="F462" s="1"/>
      <c r="G462" s="1"/>
      <c r="H462" s="1" t="str">
        <f>"9980808887007"</f>
        <v>9980808887007</v>
      </c>
      <c r="I462" s="3">
        <v>0</v>
      </c>
      <c r="J462" s="3">
        <v>0</v>
      </c>
      <c r="K462" s="3">
        <v>1500</v>
      </c>
    </row>
    <row r="463" spans="1:11" x14ac:dyDescent="0.2">
      <c r="A463" s="1" t="s">
        <v>4994</v>
      </c>
      <c r="B463" s="1" t="s">
        <v>591</v>
      </c>
      <c r="C463" s="1"/>
      <c r="D463" s="1"/>
      <c r="E463" s="1"/>
      <c r="F463" s="1"/>
      <c r="G463" s="1"/>
      <c r="H463" s="1" t="str">
        <f>"9980324887116"</f>
        <v>9980324887116</v>
      </c>
      <c r="I463" s="3">
        <v>0</v>
      </c>
      <c r="J463" s="3">
        <v>0</v>
      </c>
      <c r="K463" s="3">
        <v>1200</v>
      </c>
    </row>
    <row r="464" spans="1:11" x14ac:dyDescent="0.2">
      <c r="A464" s="1" t="s">
        <v>4994</v>
      </c>
      <c r="B464" s="1" t="s">
        <v>593</v>
      </c>
      <c r="C464" s="1"/>
      <c r="D464" s="1"/>
      <c r="E464" s="1"/>
      <c r="F464" s="1"/>
      <c r="G464" s="1"/>
      <c r="H464" s="1" t="str">
        <f>"8436024613407"</f>
        <v>8436024613407</v>
      </c>
      <c r="I464" s="3">
        <v>12</v>
      </c>
      <c r="J464" s="3">
        <v>0</v>
      </c>
      <c r="K464" s="3">
        <v>20000</v>
      </c>
    </row>
    <row r="465" spans="1:11" x14ac:dyDescent="0.2">
      <c r="A465" s="1" t="s">
        <v>4994</v>
      </c>
      <c r="B465" s="1" t="s">
        <v>595</v>
      </c>
      <c r="C465" s="1"/>
      <c r="D465" s="1"/>
      <c r="E465" s="1"/>
      <c r="F465" s="1"/>
      <c r="G465" s="1"/>
      <c r="H465" s="1" t="str">
        <f>"8436024610116"</f>
        <v>8436024610116</v>
      </c>
      <c r="I465" s="3">
        <v>0</v>
      </c>
      <c r="J465" s="3">
        <v>0</v>
      </c>
      <c r="K465" s="3">
        <v>18000</v>
      </c>
    </row>
    <row r="466" spans="1:11" x14ac:dyDescent="0.2">
      <c r="A466" s="1" t="s">
        <v>4994</v>
      </c>
      <c r="B466" s="1" t="s">
        <v>598</v>
      </c>
      <c r="C466" s="1"/>
      <c r="D466" s="1"/>
      <c r="E466" s="1"/>
      <c r="F466" s="1"/>
      <c r="G466" s="1"/>
      <c r="H466" s="1" t="str">
        <f>"5201410663372"</f>
        <v>5201410663372</v>
      </c>
      <c r="I466" s="3">
        <v>0</v>
      </c>
      <c r="J466" s="3">
        <v>0</v>
      </c>
      <c r="K466" s="3">
        <v>2000</v>
      </c>
    </row>
    <row r="467" spans="1:11" x14ac:dyDescent="0.2">
      <c r="A467" s="1" t="s">
        <v>4994</v>
      </c>
      <c r="B467" s="1" t="s">
        <v>599</v>
      </c>
      <c r="C467" s="1"/>
      <c r="D467" s="1"/>
      <c r="E467" s="1"/>
      <c r="F467" s="1"/>
      <c r="G467" s="1"/>
      <c r="H467" s="1" t="str">
        <f>"7350012551292"</f>
        <v>7350012551292</v>
      </c>
      <c r="I467" s="3">
        <v>0</v>
      </c>
      <c r="J467" s="3">
        <v>0</v>
      </c>
      <c r="K467" s="3">
        <v>22000</v>
      </c>
    </row>
    <row r="468" spans="1:11" x14ac:dyDescent="0.2">
      <c r="A468" s="1" t="s">
        <v>4994</v>
      </c>
      <c r="B468" s="1" t="s">
        <v>600</v>
      </c>
      <c r="C468" s="1"/>
      <c r="D468" s="1"/>
      <c r="E468" s="1"/>
      <c r="F468" s="1"/>
      <c r="G468" s="1"/>
      <c r="H468" s="1" t="str">
        <f>"7350012555153"</f>
        <v>7350012555153</v>
      </c>
      <c r="I468" s="3">
        <v>0</v>
      </c>
      <c r="J468" s="3">
        <v>0</v>
      </c>
      <c r="K468" s="3">
        <v>22000</v>
      </c>
    </row>
    <row r="469" spans="1:11" x14ac:dyDescent="0.2">
      <c r="A469" s="1" t="s">
        <v>4994</v>
      </c>
      <c r="B469" s="1" t="s">
        <v>601</v>
      </c>
      <c r="C469" s="1"/>
      <c r="D469" s="1"/>
      <c r="E469" s="1"/>
      <c r="F469" s="1"/>
      <c r="G469" s="1"/>
      <c r="H469" s="1" t="str">
        <f>"6001159111719"</f>
        <v>6001159111719</v>
      </c>
      <c r="I469" s="3">
        <v>6</v>
      </c>
      <c r="J469" s="3">
        <v>0</v>
      </c>
      <c r="K469" s="3">
        <v>11000</v>
      </c>
    </row>
    <row r="470" spans="1:11" x14ac:dyDescent="0.2">
      <c r="A470" s="1" t="s">
        <v>4994</v>
      </c>
      <c r="B470" s="1" t="s">
        <v>602</v>
      </c>
      <c r="C470" s="1"/>
      <c r="D470" s="1"/>
      <c r="E470" s="1"/>
      <c r="F470" s="1"/>
      <c r="G470" s="1"/>
      <c r="H470" s="1" t="str">
        <f>"6001159124177"</f>
        <v>6001159124177</v>
      </c>
      <c r="I470" s="3">
        <v>0</v>
      </c>
      <c r="J470" s="3">
        <v>0</v>
      </c>
      <c r="K470" s="3">
        <v>4000</v>
      </c>
    </row>
    <row r="471" spans="1:11" x14ac:dyDescent="0.2">
      <c r="A471" s="1" t="s">
        <v>4994</v>
      </c>
      <c r="B471" s="1" t="s">
        <v>603</v>
      </c>
      <c r="C471" s="1"/>
      <c r="D471" s="1"/>
      <c r="E471" s="1"/>
      <c r="F471" s="1"/>
      <c r="G471" s="1"/>
      <c r="H471" s="1" t="str">
        <f>"6001159129363"</f>
        <v>6001159129363</v>
      </c>
      <c r="I471" s="3">
        <v>2</v>
      </c>
      <c r="J471" s="3">
        <v>0</v>
      </c>
      <c r="K471" s="3">
        <v>13000</v>
      </c>
    </row>
    <row r="472" spans="1:11" x14ac:dyDescent="0.2">
      <c r="A472" s="1" t="s">
        <v>4994</v>
      </c>
      <c r="B472" s="1" t="s">
        <v>604</v>
      </c>
      <c r="C472" s="1"/>
      <c r="D472" s="1"/>
      <c r="E472" s="1"/>
      <c r="F472" s="1"/>
      <c r="G472" s="1"/>
      <c r="H472" s="1" t="str">
        <f>"6001159111702"</f>
        <v>6001159111702</v>
      </c>
      <c r="I472" s="3">
        <v>0</v>
      </c>
      <c r="J472" s="3">
        <v>0</v>
      </c>
      <c r="K472" s="3">
        <v>8000</v>
      </c>
    </row>
    <row r="473" spans="1:11" x14ac:dyDescent="0.2">
      <c r="A473" s="1" t="s">
        <v>4994</v>
      </c>
      <c r="B473" s="1" t="s">
        <v>605</v>
      </c>
      <c r="C473" s="1"/>
      <c r="D473" s="1"/>
      <c r="E473" s="1"/>
      <c r="F473" s="1"/>
      <c r="G473" s="1"/>
      <c r="H473" s="1" t="str">
        <f>"6001159116431"</f>
        <v>6001159116431</v>
      </c>
      <c r="I473" s="3">
        <v>0</v>
      </c>
      <c r="J473" s="3">
        <v>0</v>
      </c>
      <c r="K473" s="3">
        <v>4000</v>
      </c>
    </row>
    <row r="474" spans="1:11" x14ac:dyDescent="0.2">
      <c r="A474" s="1" t="s">
        <v>4994</v>
      </c>
      <c r="B474" s="1" t="s">
        <v>606</v>
      </c>
      <c r="C474" s="1"/>
      <c r="D474" s="1"/>
      <c r="E474" s="1"/>
      <c r="F474" s="1"/>
      <c r="G474" s="1"/>
      <c r="H474" s="1" t="str">
        <f>"6001159124191"</f>
        <v>6001159124191</v>
      </c>
      <c r="I474" s="3">
        <v>0</v>
      </c>
      <c r="J474" s="3">
        <v>0</v>
      </c>
      <c r="K474" s="3">
        <v>13000</v>
      </c>
    </row>
    <row r="475" spans="1:11" x14ac:dyDescent="0.2">
      <c r="A475" s="1" t="s">
        <v>4994</v>
      </c>
      <c r="B475" s="1" t="s">
        <v>607</v>
      </c>
      <c r="C475" s="1"/>
      <c r="D475" s="1"/>
      <c r="E475" s="1"/>
      <c r="F475" s="1"/>
      <c r="G475" s="1"/>
      <c r="H475" s="1" t="str">
        <f>"6001159111726"</f>
        <v>6001159111726</v>
      </c>
      <c r="I475" s="3">
        <v>0</v>
      </c>
      <c r="J475" s="3">
        <v>0</v>
      </c>
      <c r="K475" s="3">
        <v>14500</v>
      </c>
    </row>
    <row r="476" spans="1:11" x14ac:dyDescent="0.2">
      <c r="A476" s="1" t="s">
        <v>4994</v>
      </c>
      <c r="B476" s="1" t="s">
        <v>609</v>
      </c>
      <c r="C476" s="1"/>
      <c r="D476" s="1"/>
      <c r="E476" s="1"/>
      <c r="F476" s="1"/>
      <c r="G476" s="1"/>
      <c r="H476" s="1" t="str">
        <f>"2000381402538"</f>
        <v>2000381402538</v>
      </c>
      <c r="I476" s="3">
        <v>0</v>
      </c>
      <c r="J476" s="3">
        <v>0</v>
      </c>
      <c r="K476" s="3">
        <v>5000</v>
      </c>
    </row>
    <row r="477" spans="1:11" x14ac:dyDescent="0.2">
      <c r="A477" s="1" t="s">
        <v>4994</v>
      </c>
      <c r="B477" s="1" t="s">
        <v>610</v>
      </c>
      <c r="C477" s="1"/>
      <c r="D477" s="1"/>
      <c r="E477" s="1"/>
      <c r="F477" s="1"/>
      <c r="G477" s="1"/>
      <c r="H477" s="1" t="str">
        <f>"2000381402569"</f>
        <v>2000381402569</v>
      </c>
      <c r="I477" s="3">
        <v>0</v>
      </c>
      <c r="J477" s="3">
        <v>0</v>
      </c>
      <c r="K477" s="3">
        <v>7000</v>
      </c>
    </row>
    <row r="478" spans="1:11" x14ac:dyDescent="0.2">
      <c r="A478" s="1" t="s">
        <v>4994</v>
      </c>
      <c r="B478" s="1" t="s">
        <v>611</v>
      </c>
      <c r="C478" s="1"/>
      <c r="D478" s="1"/>
      <c r="E478" s="1"/>
      <c r="F478" s="1"/>
      <c r="G478" s="1"/>
      <c r="H478" s="1" t="str">
        <f>"2000381402590"</f>
        <v>2000381402590</v>
      </c>
      <c r="I478" s="3">
        <v>0</v>
      </c>
      <c r="J478" s="3">
        <v>0</v>
      </c>
      <c r="K478" s="3">
        <v>5500</v>
      </c>
    </row>
    <row r="479" spans="1:11" x14ac:dyDescent="0.2">
      <c r="A479" s="1" t="s">
        <v>4994</v>
      </c>
      <c r="B479" s="1" t="s">
        <v>612</v>
      </c>
      <c r="C479" s="1"/>
      <c r="D479" s="1"/>
      <c r="E479" s="1"/>
      <c r="F479" s="1"/>
      <c r="G479" s="1"/>
      <c r="H479" s="1" t="str">
        <f>"2000381402606"</f>
        <v>2000381402606</v>
      </c>
      <c r="I479" s="3">
        <v>0</v>
      </c>
      <c r="J479" s="3">
        <v>0</v>
      </c>
      <c r="K479" s="3">
        <v>6000</v>
      </c>
    </row>
    <row r="480" spans="1:11" x14ac:dyDescent="0.2">
      <c r="A480" s="1" t="s">
        <v>4994</v>
      </c>
      <c r="B480" s="1" t="s">
        <v>613</v>
      </c>
      <c r="C480" s="1"/>
      <c r="D480" s="1"/>
      <c r="E480" s="1"/>
      <c r="F480" s="1"/>
      <c r="G480" s="1"/>
      <c r="H480" s="1" t="str">
        <f>"2000381402613"</f>
        <v>2000381402613</v>
      </c>
      <c r="I480" s="3">
        <v>0</v>
      </c>
      <c r="J480" s="3">
        <v>0</v>
      </c>
      <c r="K480" s="3">
        <v>7500</v>
      </c>
    </row>
    <row r="481" spans="1:11" x14ac:dyDescent="0.2">
      <c r="A481" s="1" t="s">
        <v>4994</v>
      </c>
      <c r="B481" s="1" t="s">
        <v>614</v>
      </c>
      <c r="C481" s="1"/>
      <c r="D481" s="1"/>
      <c r="E481" s="1"/>
      <c r="F481" s="1"/>
      <c r="G481" s="1"/>
      <c r="H481" s="1" t="str">
        <f>"2000381402637"</f>
        <v>2000381402637</v>
      </c>
      <c r="I481" s="3">
        <v>0</v>
      </c>
      <c r="J481" s="3">
        <v>0</v>
      </c>
      <c r="K481" s="3">
        <v>6500</v>
      </c>
    </row>
    <row r="482" spans="1:11" x14ac:dyDescent="0.2">
      <c r="A482" s="1" t="s">
        <v>4994</v>
      </c>
      <c r="B482" s="1" t="s">
        <v>615</v>
      </c>
      <c r="C482" s="1"/>
      <c r="D482" s="1"/>
      <c r="E482" s="1"/>
      <c r="F482" s="1"/>
      <c r="G482" s="1"/>
      <c r="H482" s="1" t="str">
        <f>"2000381402644"</f>
        <v>2000381402644</v>
      </c>
      <c r="I482" s="3">
        <v>0</v>
      </c>
      <c r="J482" s="3">
        <v>0</v>
      </c>
      <c r="K482" s="3">
        <v>5500</v>
      </c>
    </row>
    <row r="483" spans="1:11" x14ac:dyDescent="0.2">
      <c r="A483" s="1" t="s">
        <v>4994</v>
      </c>
      <c r="B483" s="1" t="s">
        <v>616</v>
      </c>
      <c r="C483" s="1"/>
      <c r="D483" s="1"/>
      <c r="E483" s="1"/>
      <c r="F483" s="1"/>
      <c r="G483" s="1"/>
      <c r="H483" s="1" t="str">
        <f>"7803504003040"</f>
        <v>7803504003040</v>
      </c>
      <c r="I483" s="3">
        <v>0</v>
      </c>
      <c r="J483" s="3">
        <v>0</v>
      </c>
      <c r="K483" s="3">
        <v>6000</v>
      </c>
    </row>
    <row r="484" spans="1:11" x14ac:dyDescent="0.2">
      <c r="A484" s="1" t="s">
        <v>4994</v>
      </c>
      <c r="B484" s="1" t="s">
        <v>617</v>
      </c>
      <c r="C484" s="1"/>
      <c r="D484" s="1"/>
      <c r="E484" s="1"/>
      <c r="F484" s="1"/>
      <c r="G484" s="1"/>
      <c r="H484" s="1" t="str">
        <f>"2000381402668"</f>
        <v>2000381402668</v>
      </c>
      <c r="I484" s="3">
        <v>0</v>
      </c>
      <c r="J484" s="3">
        <v>0</v>
      </c>
      <c r="K484" s="3">
        <v>6000</v>
      </c>
    </row>
    <row r="485" spans="1:11" x14ac:dyDescent="0.2">
      <c r="A485" s="1" t="s">
        <v>4994</v>
      </c>
      <c r="B485" s="1" t="s">
        <v>618</v>
      </c>
      <c r="C485" s="1"/>
      <c r="D485" s="1"/>
      <c r="E485" s="1"/>
      <c r="F485" s="1"/>
      <c r="G485" s="1"/>
      <c r="H485" s="1" t="str">
        <f>"7800004001798"</f>
        <v>7800004001798</v>
      </c>
      <c r="I485" s="3">
        <v>66</v>
      </c>
      <c r="J485" s="3">
        <v>0</v>
      </c>
      <c r="K485" s="3">
        <v>7500</v>
      </c>
    </row>
    <row r="486" spans="1:11" x14ac:dyDescent="0.2">
      <c r="A486" s="1" t="s">
        <v>4994</v>
      </c>
      <c r="B486" s="1" t="s">
        <v>621</v>
      </c>
      <c r="C486" s="1"/>
      <c r="D486" s="1"/>
      <c r="E486" s="1"/>
      <c r="F486" s="1"/>
      <c r="G486" s="1"/>
      <c r="H486" s="1" t="str">
        <f>"7800026006818"</f>
        <v>7800026006818</v>
      </c>
      <c r="I486" s="3">
        <v>8</v>
      </c>
      <c r="J486" s="3">
        <v>0</v>
      </c>
      <c r="K486" s="3">
        <v>22000</v>
      </c>
    </row>
    <row r="487" spans="1:11" x14ac:dyDescent="0.2">
      <c r="A487" s="1" t="s">
        <v>4994</v>
      </c>
      <c r="B487" s="1" t="s">
        <v>622</v>
      </c>
      <c r="C487" s="1"/>
      <c r="D487" s="1"/>
      <c r="E487" s="1"/>
      <c r="F487" s="1"/>
      <c r="G487" s="1"/>
      <c r="H487" s="1" t="str">
        <f>"7800026006962"</f>
        <v>7800026006962</v>
      </c>
      <c r="I487" s="3">
        <v>37</v>
      </c>
      <c r="J487" s="3">
        <v>0</v>
      </c>
      <c r="K487" s="3">
        <v>21000</v>
      </c>
    </row>
    <row r="488" spans="1:11" x14ac:dyDescent="0.2">
      <c r="A488" s="1" t="s">
        <v>4994</v>
      </c>
      <c r="B488" s="1" t="s">
        <v>623</v>
      </c>
      <c r="C488" s="1"/>
      <c r="D488" s="1"/>
      <c r="E488" s="1"/>
      <c r="F488" s="1"/>
      <c r="G488" s="1"/>
      <c r="H488" s="1" t="str">
        <f>"7804918441404"</f>
        <v>7804918441404</v>
      </c>
      <c r="I488" s="3">
        <v>1</v>
      </c>
      <c r="J488" s="3">
        <v>0</v>
      </c>
      <c r="K488" s="3">
        <v>6500</v>
      </c>
    </row>
    <row r="489" spans="1:11" x14ac:dyDescent="0.2">
      <c r="A489" s="1" t="s">
        <v>4994</v>
      </c>
      <c r="B489" s="1" t="s">
        <v>624</v>
      </c>
      <c r="C489" s="1"/>
      <c r="D489" s="1"/>
      <c r="E489" s="1"/>
      <c r="F489" s="1"/>
      <c r="G489" s="1"/>
      <c r="H489" s="1" t="str">
        <f>"7804918402580"</f>
        <v>7804918402580</v>
      </c>
      <c r="I489" s="3">
        <v>0</v>
      </c>
      <c r="J489" s="3">
        <v>0</v>
      </c>
      <c r="K489" s="3">
        <v>11000</v>
      </c>
    </row>
    <row r="490" spans="1:11" x14ac:dyDescent="0.2">
      <c r="A490" s="1" t="s">
        <v>4994</v>
      </c>
      <c r="B490" s="1" t="s">
        <v>625</v>
      </c>
      <c r="C490" s="1"/>
      <c r="D490" s="1"/>
      <c r="E490" s="1"/>
      <c r="F490" s="1"/>
      <c r="G490" s="1"/>
      <c r="H490" s="1" t="str">
        <f>"7800008040014"</f>
        <v>7800008040014</v>
      </c>
      <c r="I490" s="3">
        <v>0</v>
      </c>
      <c r="J490" s="3">
        <v>0</v>
      </c>
      <c r="K490" s="3">
        <v>3000</v>
      </c>
    </row>
    <row r="491" spans="1:11" x14ac:dyDescent="0.2">
      <c r="A491" s="1" t="s">
        <v>4994</v>
      </c>
      <c r="B491" s="1" t="s">
        <v>626</v>
      </c>
      <c r="C491" s="1"/>
      <c r="D491" s="1"/>
      <c r="E491" s="1"/>
      <c r="F491" s="1"/>
      <c r="G491" s="1"/>
      <c r="H491" s="1" t="str">
        <f>"4027269970000"</f>
        <v>4027269970000</v>
      </c>
      <c r="I491" s="3">
        <v>0</v>
      </c>
      <c r="J491" s="3">
        <v>0</v>
      </c>
      <c r="K491" s="3">
        <v>17000</v>
      </c>
    </row>
    <row r="492" spans="1:11" x14ac:dyDescent="0.2">
      <c r="A492" s="1" t="s">
        <v>4994</v>
      </c>
      <c r="B492" s="1" t="s">
        <v>627</v>
      </c>
      <c r="C492" s="1"/>
      <c r="D492" s="1"/>
      <c r="E492" s="1"/>
      <c r="F492" s="1"/>
      <c r="G492" s="1"/>
      <c r="H492" s="1" t="str">
        <f>"7500435248747"</f>
        <v>7500435248747</v>
      </c>
      <c r="I492" s="3">
        <v>0</v>
      </c>
      <c r="J492" s="3">
        <v>0</v>
      </c>
      <c r="K492" s="3">
        <v>23000</v>
      </c>
    </row>
    <row r="493" spans="1:11" x14ac:dyDescent="0.2">
      <c r="A493" s="1" t="s">
        <v>4994</v>
      </c>
      <c r="B493" s="1" t="s">
        <v>628</v>
      </c>
      <c r="C493" s="1"/>
      <c r="D493" s="1"/>
      <c r="E493" s="1"/>
      <c r="F493" s="1"/>
      <c r="G493" s="1"/>
      <c r="H493" s="1" t="str">
        <f>"7500435246903"</f>
        <v>7500435246903</v>
      </c>
      <c r="I493" s="3">
        <v>0</v>
      </c>
      <c r="J493" s="3">
        <v>0</v>
      </c>
      <c r="K493" s="3">
        <v>13500</v>
      </c>
    </row>
    <row r="494" spans="1:11" x14ac:dyDescent="0.2">
      <c r="A494" s="1" t="s">
        <v>4994</v>
      </c>
      <c r="B494" s="1" t="s">
        <v>629</v>
      </c>
      <c r="C494" s="1"/>
      <c r="D494" s="1"/>
      <c r="E494" s="1"/>
      <c r="F494" s="1"/>
      <c r="G494" s="1"/>
      <c r="H494" s="1" t="str">
        <f>"4027269687540"</f>
        <v>4027269687540</v>
      </c>
      <c r="I494" s="3">
        <v>0</v>
      </c>
      <c r="J494" s="3">
        <v>0</v>
      </c>
      <c r="K494" s="3">
        <v>15500</v>
      </c>
    </row>
    <row r="495" spans="1:11" x14ac:dyDescent="0.2">
      <c r="A495" s="1" t="s">
        <v>4994</v>
      </c>
      <c r="B495" s="1" t="s">
        <v>630</v>
      </c>
      <c r="C495" s="1"/>
      <c r="D495" s="1"/>
      <c r="E495" s="1"/>
      <c r="F495" s="1"/>
      <c r="G495" s="1"/>
      <c r="H495" s="1" t="str">
        <f>"4027269969899"</f>
        <v>4027269969899</v>
      </c>
      <c r="I495" s="3">
        <v>0</v>
      </c>
      <c r="J495" s="3">
        <v>0</v>
      </c>
      <c r="K495" s="3">
        <v>13500</v>
      </c>
    </row>
    <row r="496" spans="1:11" x14ac:dyDescent="0.2">
      <c r="A496" s="1" t="s">
        <v>4994</v>
      </c>
      <c r="B496" s="1" t="s">
        <v>631</v>
      </c>
      <c r="C496" s="1"/>
      <c r="D496" s="1"/>
      <c r="E496" s="1"/>
      <c r="F496" s="1"/>
      <c r="G496" s="1"/>
      <c r="H496" s="1" t="str">
        <f>"7800017002317"</f>
        <v>7800017002317</v>
      </c>
      <c r="I496" s="3">
        <v>6</v>
      </c>
      <c r="J496" s="3">
        <v>0</v>
      </c>
      <c r="K496" s="3">
        <v>20000</v>
      </c>
    </row>
    <row r="497" spans="1:11" x14ac:dyDescent="0.2">
      <c r="A497" s="1" t="s">
        <v>4994</v>
      </c>
      <c r="B497" s="1" t="s">
        <v>632</v>
      </c>
      <c r="C497" s="1"/>
      <c r="D497" s="1"/>
      <c r="E497" s="1"/>
      <c r="F497" s="1"/>
      <c r="G497" s="1"/>
      <c r="H497" s="1" t="str">
        <f>"7800026016336"</f>
        <v>7800026016336</v>
      </c>
      <c r="I497" s="3">
        <v>2</v>
      </c>
      <c r="J497" s="3">
        <v>0</v>
      </c>
      <c r="K497" s="3">
        <v>22000</v>
      </c>
    </row>
    <row r="498" spans="1:11" x14ac:dyDescent="0.2">
      <c r="A498" s="1" t="s">
        <v>4994</v>
      </c>
      <c r="B498" s="1" t="s">
        <v>633</v>
      </c>
      <c r="C498" s="1"/>
      <c r="D498" s="1"/>
      <c r="E498" s="1"/>
      <c r="F498" s="1"/>
      <c r="G498" s="1"/>
      <c r="H498" s="1" t="str">
        <f>"7800026016329"</f>
        <v>7800026016329</v>
      </c>
      <c r="I498" s="3">
        <v>0</v>
      </c>
      <c r="J498" s="3">
        <v>0</v>
      </c>
      <c r="K498" s="3">
        <v>65000</v>
      </c>
    </row>
    <row r="499" spans="1:11" x14ac:dyDescent="0.2">
      <c r="A499" s="1" t="s">
        <v>4994</v>
      </c>
      <c r="B499" s="1" t="s">
        <v>634</v>
      </c>
      <c r="C499" s="1"/>
      <c r="D499" s="1"/>
      <c r="E499" s="1"/>
      <c r="F499" s="1"/>
      <c r="G499" s="1"/>
      <c r="H499" s="1" t="str">
        <f>"7809591402490"</f>
        <v>7809591402490</v>
      </c>
      <c r="I499" s="3">
        <v>0</v>
      </c>
      <c r="J499" s="3">
        <v>0</v>
      </c>
      <c r="K499" s="3">
        <v>15000</v>
      </c>
    </row>
    <row r="500" spans="1:11" x14ac:dyDescent="0.2">
      <c r="A500" s="1" t="s">
        <v>4994</v>
      </c>
      <c r="B500" s="1" t="s">
        <v>635</v>
      </c>
      <c r="C500" s="1"/>
      <c r="D500" s="1"/>
      <c r="E500" s="1"/>
      <c r="F500" s="1"/>
      <c r="G500" s="1"/>
      <c r="H500" s="1" t="str">
        <f>"7805357001808"</f>
        <v>7805357001808</v>
      </c>
      <c r="I500" s="3">
        <v>0</v>
      </c>
      <c r="J500" s="3">
        <v>0</v>
      </c>
      <c r="K500" s="3">
        <v>8000</v>
      </c>
    </row>
    <row r="501" spans="1:11" x14ac:dyDescent="0.2">
      <c r="A501" s="1" t="s">
        <v>4994</v>
      </c>
      <c r="B501" s="1" t="s">
        <v>640</v>
      </c>
      <c r="C501" s="1"/>
      <c r="D501" s="1"/>
      <c r="E501" s="1"/>
      <c r="F501" s="1"/>
      <c r="G501" s="1"/>
      <c r="H501" s="1" t="str">
        <f>"7808713900395"</f>
        <v>7808713900395</v>
      </c>
      <c r="I501" s="3">
        <v>0</v>
      </c>
      <c r="J501" s="3">
        <v>0</v>
      </c>
      <c r="K501" s="3">
        <v>5000</v>
      </c>
    </row>
    <row r="502" spans="1:11" x14ac:dyDescent="0.2">
      <c r="A502" s="1" t="s">
        <v>4994</v>
      </c>
      <c r="B502" s="1" t="s">
        <v>641</v>
      </c>
      <c r="C502" s="1"/>
      <c r="D502" s="1"/>
      <c r="E502" s="1"/>
      <c r="F502" s="1"/>
      <c r="G502" s="1"/>
      <c r="H502" s="1" t="str">
        <f>"609143735079"</f>
        <v>609143735079</v>
      </c>
      <c r="I502" s="3">
        <v>5</v>
      </c>
      <c r="J502" s="3">
        <v>0</v>
      </c>
      <c r="K502" s="3">
        <v>5000</v>
      </c>
    </row>
    <row r="503" spans="1:11" x14ac:dyDescent="0.2">
      <c r="A503" s="1" t="s">
        <v>4994</v>
      </c>
      <c r="B503" s="1" t="s">
        <v>642</v>
      </c>
      <c r="C503" s="1"/>
      <c r="D503" s="1"/>
      <c r="E503" s="1"/>
      <c r="F503" s="1"/>
      <c r="G503" s="1"/>
      <c r="H503" s="1" t="str">
        <f>"7803504003149"</f>
        <v>7803504003149</v>
      </c>
      <c r="I503" s="3">
        <v>0</v>
      </c>
      <c r="J503" s="3">
        <v>0</v>
      </c>
      <c r="K503" s="3">
        <v>7500</v>
      </c>
    </row>
    <row r="504" spans="1:11" x14ac:dyDescent="0.2">
      <c r="A504" s="1" t="s">
        <v>4994</v>
      </c>
      <c r="B504" s="1" t="s">
        <v>644</v>
      </c>
      <c r="C504" s="1"/>
      <c r="D504" s="1"/>
      <c r="E504" s="1"/>
      <c r="F504" s="1"/>
      <c r="G504" s="1"/>
      <c r="H504" s="1" t="str">
        <f>"4065266071320"</f>
        <v>4065266071320</v>
      </c>
      <c r="I504" s="3">
        <v>0</v>
      </c>
      <c r="J504" s="3">
        <v>0</v>
      </c>
      <c r="K504" s="3">
        <v>3500</v>
      </c>
    </row>
    <row r="505" spans="1:11" x14ac:dyDescent="0.2">
      <c r="A505" s="1" t="s">
        <v>4994</v>
      </c>
      <c r="B505" s="1" t="s">
        <v>650</v>
      </c>
      <c r="C505" s="1"/>
      <c r="D505" s="1"/>
      <c r="E505" s="1"/>
      <c r="F505" s="1"/>
      <c r="G505" s="1"/>
      <c r="H505" s="1" t="str">
        <f>"7804633500875"</f>
        <v>7804633500875</v>
      </c>
      <c r="I505" s="3">
        <v>0</v>
      </c>
      <c r="J505" s="3">
        <v>0</v>
      </c>
      <c r="K505" s="3">
        <v>2500</v>
      </c>
    </row>
    <row r="506" spans="1:11" x14ac:dyDescent="0.2">
      <c r="A506" s="1" t="s">
        <v>4994</v>
      </c>
      <c r="B506" s="1" t="s">
        <v>652</v>
      </c>
      <c r="C506" s="1"/>
      <c r="D506" s="1"/>
      <c r="E506" s="1"/>
      <c r="F506" s="1"/>
      <c r="G506" s="1"/>
      <c r="H506" s="1" t="str">
        <f>"7804673040324"</f>
        <v>7804673040324</v>
      </c>
      <c r="I506" s="3">
        <v>0</v>
      </c>
      <c r="J506" s="3">
        <v>0</v>
      </c>
      <c r="K506" s="3">
        <v>2500</v>
      </c>
    </row>
    <row r="507" spans="1:11" x14ac:dyDescent="0.2">
      <c r="A507" s="1" t="s">
        <v>4994</v>
      </c>
      <c r="B507" s="1" t="s">
        <v>654</v>
      </c>
      <c r="C507" s="1"/>
      <c r="D507" s="1"/>
      <c r="E507" s="1"/>
      <c r="F507" s="1"/>
      <c r="G507" s="1"/>
      <c r="H507" s="1" t="str">
        <f>"7804650884668"</f>
        <v>7804650884668</v>
      </c>
      <c r="I507" s="3">
        <v>0</v>
      </c>
      <c r="J507" s="3">
        <v>0</v>
      </c>
      <c r="K507" s="3">
        <v>5000</v>
      </c>
    </row>
    <row r="508" spans="1:11" x14ac:dyDescent="0.2">
      <c r="A508" s="1" t="s">
        <v>4994</v>
      </c>
      <c r="B508" s="1" t="s">
        <v>655</v>
      </c>
      <c r="C508" s="1"/>
      <c r="D508" s="1"/>
      <c r="E508" s="1"/>
      <c r="F508" s="1"/>
      <c r="G508" s="1"/>
      <c r="H508" s="1" t="str">
        <f>"7804633500882"</f>
        <v>7804633500882</v>
      </c>
      <c r="I508" s="3">
        <v>2</v>
      </c>
      <c r="J508" s="3">
        <v>0</v>
      </c>
      <c r="K508" s="3">
        <v>2500</v>
      </c>
    </row>
    <row r="509" spans="1:11" x14ac:dyDescent="0.2">
      <c r="A509" s="1" t="s">
        <v>4994</v>
      </c>
      <c r="B509" s="1" t="s">
        <v>656</v>
      </c>
      <c r="C509" s="1"/>
      <c r="D509" s="1"/>
      <c r="E509" s="1"/>
      <c r="F509" s="1"/>
      <c r="G509" s="1"/>
      <c r="H509" s="1" t="str">
        <f>"7800007805522"</f>
        <v>7800007805522</v>
      </c>
      <c r="I509" s="3">
        <v>72</v>
      </c>
      <c r="J509" s="3">
        <v>0</v>
      </c>
      <c r="K509" s="3">
        <v>5500</v>
      </c>
    </row>
    <row r="510" spans="1:11" x14ac:dyDescent="0.2">
      <c r="A510" s="1" t="s">
        <v>4994</v>
      </c>
      <c r="B510" s="1" t="s">
        <v>658</v>
      </c>
      <c r="C510" s="1"/>
      <c r="D510" s="1"/>
      <c r="E510" s="1"/>
      <c r="F510" s="1"/>
      <c r="G510" s="1"/>
      <c r="H510" s="1" t="str">
        <f>"7800070000046"</f>
        <v>7800070000046</v>
      </c>
      <c r="I510" s="3">
        <v>14</v>
      </c>
      <c r="J510" s="3">
        <v>0</v>
      </c>
      <c r="K510" s="3">
        <v>18000</v>
      </c>
    </row>
    <row r="511" spans="1:11" x14ac:dyDescent="0.2">
      <c r="A511" s="1" t="s">
        <v>4994</v>
      </c>
      <c r="B511" s="1" t="s">
        <v>659</v>
      </c>
      <c r="C511" s="1"/>
      <c r="D511" s="1"/>
      <c r="E511" s="1"/>
      <c r="F511" s="1"/>
      <c r="G511" s="1"/>
      <c r="H511" s="1" t="str">
        <f>"7841141005164"</f>
        <v>7841141005164</v>
      </c>
      <c r="I511" s="3">
        <v>6</v>
      </c>
      <c r="J511" s="3">
        <v>0</v>
      </c>
      <c r="K511" s="3">
        <v>18000</v>
      </c>
    </row>
    <row r="512" spans="1:11" x14ac:dyDescent="0.2">
      <c r="A512" s="1" t="s">
        <v>4994</v>
      </c>
      <c r="B512" s="1" t="s">
        <v>660</v>
      </c>
      <c r="C512" s="1"/>
      <c r="D512" s="1"/>
      <c r="E512" s="1"/>
      <c r="F512" s="1"/>
      <c r="G512" s="1"/>
      <c r="H512" s="1" t="str">
        <f>"7800060166400"</f>
        <v>7800060166400</v>
      </c>
      <c r="I512" s="3">
        <v>0</v>
      </c>
      <c r="J512" s="3">
        <v>0</v>
      </c>
      <c r="K512" s="3">
        <v>19900</v>
      </c>
    </row>
    <row r="513" spans="1:11" x14ac:dyDescent="0.2">
      <c r="A513" s="1" t="s">
        <v>4994</v>
      </c>
      <c r="B513" s="1" t="s">
        <v>661</v>
      </c>
      <c r="C513" s="1"/>
      <c r="D513" s="1"/>
      <c r="E513" s="1"/>
      <c r="F513" s="1"/>
      <c r="G513" s="1"/>
      <c r="H513" s="1" t="str">
        <f>"7800060166592"</f>
        <v>7800060166592</v>
      </c>
      <c r="I513" s="3">
        <v>0</v>
      </c>
      <c r="J513" s="3">
        <v>0</v>
      </c>
      <c r="K513" s="3">
        <v>15000</v>
      </c>
    </row>
    <row r="514" spans="1:11" x14ac:dyDescent="0.2">
      <c r="A514" s="1" t="s">
        <v>4994</v>
      </c>
      <c r="B514" s="1" t="s">
        <v>662</v>
      </c>
      <c r="C514" s="1"/>
      <c r="D514" s="1"/>
      <c r="E514" s="1"/>
      <c r="F514" s="1"/>
      <c r="G514" s="1"/>
      <c r="H514" s="1" t="str">
        <f>"7800008000445"</f>
        <v>7800008000445</v>
      </c>
      <c r="I514" s="3">
        <v>5</v>
      </c>
      <c r="J514" s="3">
        <v>0</v>
      </c>
      <c r="K514" s="3">
        <v>2000</v>
      </c>
    </row>
    <row r="515" spans="1:11" x14ac:dyDescent="0.2">
      <c r="A515" s="1" t="s">
        <v>4994</v>
      </c>
      <c r="B515" s="1" t="s">
        <v>663</v>
      </c>
      <c r="C515" s="1"/>
      <c r="D515" s="1"/>
      <c r="E515" s="1"/>
      <c r="F515" s="1"/>
      <c r="G515" s="1"/>
      <c r="H515" s="1" t="str">
        <f>"7800008000469"</f>
        <v>7800008000469</v>
      </c>
      <c r="I515" s="3">
        <v>8</v>
      </c>
      <c r="J515" s="3">
        <v>0</v>
      </c>
      <c r="K515" s="3">
        <v>2000</v>
      </c>
    </row>
    <row r="516" spans="1:11" x14ac:dyDescent="0.2">
      <c r="A516" s="1" t="s">
        <v>4994</v>
      </c>
      <c r="B516" s="1" t="s">
        <v>664</v>
      </c>
      <c r="C516" s="1"/>
      <c r="D516" s="1"/>
      <c r="E516" s="1"/>
      <c r="F516" s="1"/>
      <c r="G516" s="1"/>
      <c r="H516" s="1" t="str">
        <f>"7800008020023"</f>
        <v>7800008020023</v>
      </c>
      <c r="I516" s="3">
        <v>37</v>
      </c>
      <c r="J516" s="3">
        <v>0</v>
      </c>
      <c r="K516" s="3">
        <v>2000</v>
      </c>
    </row>
    <row r="517" spans="1:11" x14ac:dyDescent="0.2">
      <c r="A517" s="1" t="s">
        <v>4994</v>
      </c>
      <c r="B517" s="1" t="s">
        <v>665</v>
      </c>
      <c r="C517" s="1"/>
      <c r="D517" s="1"/>
      <c r="E517" s="1"/>
      <c r="F517" s="1"/>
      <c r="G517" s="1"/>
      <c r="H517" s="1" t="str">
        <f>"7800008200739"</f>
        <v>7800008200739</v>
      </c>
      <c r="I517" s="3">
        <v>0</v>
      </c>
      <c r="J517" s="3">
        <v>0</v>
      </c>
      <c r="K517" s="3">
        <v>2000</v>
      </c>
    </row>
    <row r="518" spans="1:11" x14ac:dyDescent="0.2">
      <c r="A518" s="1" t="s">
        <v>4994</v>
      </c>
      <c r="B518" s="1" t="s">
        <v>666</v>
      </c>
      <c r="C518" s="1"/>
      <c r="D518" s="1"/>
      <c r="E518" s="1"/>
      <c r="F518" s="1"/>
      <c r="G518" s="1"/>
      <c r="H518" s="1" t="str">
        <f>"7800008000452"</f>
        <v>7800008000452</v>
      </c>
      <c r="I518" s="3">
        <v>7</v>
      </c>
      <c r="J518" s="3">
        <v>0</v>
      </c>
      <c r="K518" s="3">
        <v>2000</v>
      </c>
    </row>
    <row r="519" spans="1:11" x14ac:dyDescent="0.2">
      <c r="A519" s="1" t="s">
        <v>4994</v>
      </c>
      <c r="B519" s="1" t="s">
        <v>667</v>
      </c>
      <c r="C519" s="1"/>
      <c r="D519" s="1"/>
      <c r="E519" s="1"/>
      <c r="F519" s="1"/>
      <c r="G519" s="1"/>
      <c r="H519" s="1" t="str">
        <f>"7800008000544"</f>
        <v>7800008000544</v>
      </c>
      <c r="I519" s="3">
        <v>20</v>
      </c>
      <c r="J519" s="3">
        <v>0</v>
      </c>
      <c r="K519" s="3">
        <v>2000</v>
      </c>
    </row>
    <row r="520" spans="1:11" x14ac:dyDescent="0.2">
      <c r="A520" s="1" t="s">
        <v>4994</v>
      </c>
      <c r="B520" s="1" t="s">
        <v>668</v>
      </c>
      <c r="C520" s="1"/>
      <c r="D520" s="1"/>
      <c r="E520" s="1"/>
      <c r="F520" s="1"/>
      <c r="G520" s="1"/>
      <c r="H520" s="1" t="str">
        <f>"7800004005154"</f>
        <v>7800004005154</v>
      </c>
      <c r="I520" s="3">
        <v>23</v>
      </c>
      <c r="J520" s="3">
        <v>0</v>
      </c>
      <c r="K520" s="3">
        <v>2000</v>
      </c>
    </row>
    <row r="521" spans="1:11" x14ac:dyDescent="0.2">
      <c r="A521" s="1" t="s">
        <v>4994</v>
      </c>
      <c r="B521" s="1" t="s">
        <v>671</v>
      </c>
      <c r="C521" s="1"/>
      <c r="D521" s="1"/>
      <c r="E521" s="1"/>
      <c r="F521" s="1"/>
      <c r="G521" s="1"/>
      <c r="H521" s="1" t="str">
        <f>"8411061081594"</f>
        <v>8411061081594</v>
      </c>
      <c r="I521" s="3">
        <v>2</v>
      </c>
      <c r="J521" s="3">
        <v>0</v>
      </c>
      <c r="K521" s="3">
        <v>19000</v>
      </c>
    </row>
    <row r="522" spans="1:11" x14ac:dyDescent="0.2">
      <c r="A522" s="1" t="s">
        <v>4994</v>
      </c>
      <c r="B522" s="1" t="s">
        <v>672</v>
      </c>
      <c r="C522" s="1"/>
      <c r="D522" s="1"/>
      <c r="E522" s="1"/>
      <c r="F522" s="1"/>
      <c r="G522" s="1"/>
      <c r="H522" s="1" t="str">
        <f>"7801001000135"</f>
        <v>7801001000135</v>
      </c>
      <c r="I522" s="3">
        <v>0</v>
      </c>
      <c r="J522" s="3">
        <v>0</v>
      </c>
      <c r="K522" s="3">
        <v>5000</v>
      </c>
    </row>
    <row r="523" spans="1:11" x14ac:dyDescent="0.2">
      <c r="A523" s="1" t="s">
        <v>4994</v>
      </c>
      <c r="B523" s="1" t="s">
        <v>673</v>
      </c>
      <c r="C523" s="1"/>
      <c r="D523" s="1"/>
      <c r="E523" s="1"/>
      <c r="F523" s="1"/>
      <c r="G523" s="1"/>
      <c r="H523" s="1" t="str">
        <f>"7801001000128"</f>
        <v>7801001000128</v>
      </c>
      <c r="I523" s="3">
        <v>0</v>
      </c>
      <c r="J523" s="3">
        <v>0</v>
      </c>
      <c r="K523" s="3">
        <v>5000</v>
      </c>
    </row>
    <row r="524" spans="1:11" x14ac:dyDescent="0.2">
      <c r="A524" s="1" t="s">
        <v>4994</v>
      </c>
      <c r="B524" s="1" t="s">
        <v>674</v>
      </c>
      <c r="C524" s="1"/>
      <c r="D524" s="1"/>
      <c r="E524" s="1"/>
      <c r="F524" s="1"/>
      <c r="G524" s="1"/>
      <c r="H524" s="1" t="str">
        <f>"7801001000111"</f>
        <v>7801001000111</v>
      </c>
      <c r="I524" s="3">
        <v>0</v>
      </c>
      <c r="J524" s="3">
        <v>0</v>
      </c>
      <c r="K524" s="3">
        <v>5000</v>
      </c>
    </row>
    <row r="525" spans="1:11" x14ac:dyDescent="0.2">
      <c r="A525" s="1" t="s">
        <v>4994</v>
      </c>
      <c r="B525" s="1" t="s">
        <v>675</v>
      </c>
      <c r="C525" s="1"/>
      <c r="D525" s="1"/>
      <c r="E525" s="1"/>
      <c r="F525" s="1"/>
      <c r="G525" s="1"/>
      <c r="H525" s="1" t="str">
        <f>"7801001004553"</f>
        <v>7801001004553</v>
      </c>
      <c r="I525" s="3">
        <v>0</v>
      </c>
      <c r="J525" s="3">
        <v>0</v>
      </c>
      <c r="K525" s="3">
        <v>4000</v>
      </c>
    </row>
    <row r="526" spans="1:11" x14ac:dyDescent="0.2">
      <c r="A526" s="1" t="s">
        <v>4994</v>
      </c>
      <c r="B526" s="1" t="s">
        <v>676</v>
      </c>
      <c r="C526" s="1"/>
      <c r="D526" s="1"/>
      <c r="E526" s="1"/>
      <c r="F526" s="1"/>
      <c r="G526" s="1"/>
      <c r="H526" s="1" t="str">
        <f>"7801001001095"</f>
        <v>7801001001095</v>
      </c>
      <c r="I526" s="3">
        <v>0</v>
      </c>
      <c r="J526" s="3">
        <v>0</v>
      </c>
      <c r="K526" s="3">
        <v>3500</v>
      </c>
    </row>
    <row r="527" spans="1:11" x14ac:dyDescent="0.2">
      <c r="A527" s="1" t="s">
        <v>4994</v>
      </c>
      <c r="B527" s="1" t="s">
        <v>677</v>
      </c>
      <c r="C527" s="1"/>
      <c r="D527" s="1"/>
      <c r="E527" s="1"/>
      <c r="F527" s="1"/>
      <c r="G527" s="1"/>
      <c r="H527" s="1" t="str">
        <f>"7801001001576"</f>
        <v>7801001001576</v>
      </c>
      <c r="I527" s="3">
        <v>0</v>
      </c>
      <c r="J527" s="3">
        <v>0</v>
      </c>
      <c r="K527" s="3">
        <v>11000</v>
      </c>
    </row>
    <row r="528" spans="1:11" x14ac:dyDescent="0.2">
      <c r="A528" s="1" t="s">
        <v>4994</v>
      </c>
      <c r="B528" s="1" t="s">
        <v>679</v>
      </c>
      <c r="C528" s="1"/>
      <c r="D528" s="1"/>
      <c r="E528" s="1"/>
      <c r="F528" s="1"/>
      <c r="G528" s="1"/>
      <c r="H528" s="1" t="str">
        <f>"5901234123464"</f>
        <v>5901234123464</v>
      </c>
      <c r="I528" s="3">
        <v>0</v>
      </c>
      <c r="J528" s="3">
        <v>0</v>
      </c>
      <c r="K528" s="3">
        <v>1000</v>
      </c>
    </row>
    <row r="529" spans="1:11" x14ac:dyDescent="0.2">
      <c r="A529" s="1" t="s">
        <v>4994</v>
      </c>
      <c r="B529" s="1" t="s">
        <v>680</v>
      </c>
      <c r="C529" s="1"/>
      <c r="D529" s="1"/>
      <c r="E529" s="1"/>
      <c r="F529" s="1"/>
      <c r="G529" s="1"/>
      <c r="H529" s="1" t="str">
        <f>"7804995101284"</f>
        <v>7804995101284</v>
      </c>
      <c r="I529" s="3">
        <v>0</v>
      </c>
      <c r="J529" s="3">
        <v>0</v>
      </c>
      <c r="K529" s="3">
        <v>6950</v>
      </c>
    </row>
    <row r="530" spans="1:11" x14ac:dyDescent="0.2">
      <c r="A530" s="1" t="s">
        <v>4994</v>
      </c>
      <c r="B530" s="1" t="s">
        <v>681</v>
      </c>
      <c r="C530" s="1"/>
      <c r="D530" s="1"/>
      <c r="E530" s="1"/>
      <c r="F530" s="1"/>
      <c r="G530" s="1"/>
      <c r="H530" s="1" t="str">
        <f>"7804995100621"</f>
        <v>7804995100621</v>
      </c>
      <c r="I530" s="3">
        <v>0</v>
      </c>
      <c r="J530" s="3">
        <v>0</v>
      </c>
      <c r="K530" s="3">
        <v>7000</v>
      </c>
    </row>
    <row r="531" spans="1:11" x14ac:dyDescent="0.2">
      <c r="A531" s="1" t="s">
        <v>4994</v>
      </c>
      <c r="B531" s="1" t="s">
        <v>682</v>
      </c>
      <c r="C531" s="1"/>
      <c r="D531" s="1"/>
      <c r="E531" s="1"/>
      <c r="F531" s="1"/>
      <c r="G531" s="1"/>
      <c r="H531" s="1" t="str">
        <f>"753153835943"</f>
        <v>753153835943</v>
      </c>
      <c r="I531" s="3">
        <v>0</v>
      </c>
      <c r="J531" s="3">
        <v>0</v>
      </c>
      <c r="K531" s="3">
        <v>7000</v>
      </c>
    </row>
    <row r="532" spans="1:11" x14ac:dyDescent="0.2">
      <c r="A532" s="1" t="s">
        <v>4994</v>
      </c>
      <c r="B532" s="1" t="s">
        <v>683</v>
      </c>
      <c r="C532" s="1"/>
      <c r="D532" s="1"/>
      <c r="E532" s="1"/>
      <c r="F532" s="1"/>
      <c r="G532" s="1"/>
      <c r="H532" s="1" t="str">
        <f>"7805633028833"</f>
        <v>7805633028833</v>
      </c>
      <c r="I532" s="3">
        <v>0</v>
      </c>
      <c r="J532" s="3">
        <v>0</v>
      </c>
      <c r="K532" s="3">
        <v>7000</v>
      </c>
    </row>
    <row r="533" spans="1:11" x14ac:dyDescent="0.2">
      <c r="A533" s="1" t="s">
        <v>4994</v>
      </c>
      <c r="B533" s="1" t="s">
        <v>684</v>
      </c>
      <c r="C533" s="1"/>
      <c r="D533" s="1"/>
      <c r="E533" s="1"/>
      <c r="F533" s="1"/>
      <c r="G533" s="1"/>
      <c r="H533" s="1" t="str">
        <f>"7804995818892"</f>
        <v>7804995818892</v>
      </c>
      <c r="I533" s="3">
        <v>0</v>
      </c>
      <c r="J533" s="3">
        <v>0</v>
      </c>
      <c r="K533" s="3">
        <v>5000</v>
      </c>
    </row>
    <row r="534" spans="1:11" x14ac:dyDescent="0.2">
      <c r="A534" s="1" t="s">
        <v>4994</v>
      </c>
      <c r="B534" s="1" t="s">
        <v>685</v>
      </c>
      <c r="C534" s="1"/>
      <c r="D534" s="1"/>
      <c r="E534" s="1"/>
      <c r="F534" s="1"/>
      <c r="G534" s="1"/>
      <c r="H534" s="1" t="str">
        <f>"7804995109884"</f>
        <v>7804995109884</v>
      </c>
      <c r="I534" s="3">
        <v>0</v>
      </c>
      <c r="J534" s="3">
        <v>0</v>
      </c>
      <c r="K534" s="3">
        <v>9000</v>
      </c>
    </row>
    <row r="535" spans="1:11" x14ac:dyDescent="0.2">
      <c r="A535" s="1" t="s">
        <v>4994</v>
      </c>
      <c r="B535" s="1" t="s">
        <v>686</v>
      </c>
      <c r="C535" s="1"/>
      <c r="D535" s="1"/>
      <c r="E535" s="1"/>
      <c r="F535" s="1"/>
      <c r="G535" s="1"/>
      <c r="H535" s="1" t="str">
        <f>"7800068010576"</f>
        <v>7800068010576</v>
      </c>
      <c r="I535" s="3">
        <v>25</v>
      </c>
      <c r="J535" s="3">
        <v>0</v>
      </c>
      <c r="K535" s="3">
        <v>16000</v>
      </c>
    </row>
    <row r="536" spans="1:11" x14ac:dyDescent="0.2">
      <c r="A536" s="1" t="s">
        <v>4994</v>
      </c>
      <c r="B536" s="1" t="s">
        <v>687</v>
      </c>
      <c r="C536" s="1"/>
      <c r="D536" s="1"/>
      <c r="E536" s="1"/>
      <c r="F536" s="1"/>
      <c r="G536" s="1"/>
      <c r="H536" s="1" t="str">
        <f>"7800068011337"</f>
        <v>7800068011337</v>
      </c>
      <c r="I536" s="3">
        <v>13</v>
      </c>
      <c r="J536" s="3">
        <v>0</v>
      </c>
      <c r="K536" s="3">
        <v>17000</v>
      </c>
    </row>
    <row r="537" spans="1:11" x14ac:dyDescent="0.2">
      <c r="A537" s="1" t="s">
        <v>4994</v>
      </c>
      <c r="B537" s="1" t="s">
        <v>688</v>
      </c>
      <c r="C537" s="1"/>
      <c r="D537" s="1"/>
      <c r="E537" s="1"/>
      <c r="F537" s="1"/>
      <c r="G537" s="1"/>
      <c r="H537" s="1" t="str">
        <f>"7805357001051"</f>
        <v>7805357001051</v>
      </c>
      <c r="I537" s="3">
        <v>0</v>
      </c>
      <c r="J537" s="3">
        <v>0</v>
      </c>
      <c r="K537" s="3">
        <v>500</v>
      </c>
    </row>
    <row r="538" spans="1:11" x14ac:dyDescent="0.2">
      <c r="A538" s="1" t="s">
        <v>4994</v>
      </c>
      <c r="B538" s="1" t="s">
        <v>691</v>
      </c>
      <c r="C538" s="1"/>
      <c r="D538" s="1"/>
      <c r="E538" s="1"/>
      <c r="F538" s="1"/>
      <c r="G538" s="1"/>
      <c r="H538" s="1" t="str">
        <f>"7804680940648"</f>
        <v>7804680940648</v>
      </c>
      <c r="I538" s="3">
        <v>0</v>
      </c>
      <c r="J538" s="3">
        <v>0</v>
      </c>
      <c r="K538" s="3">
        <v>7500</v>
      </c>
    </row>
    <row r="539" spans="1:11" x14ac:dyDescent="0.2">
      <c r="A539" s="1" t="s">
        <v>4994</v>
      </c>
      <c r="B539" s="1" t="s">
        <v>692</v>
      </c>
      <c r="C539" s="1"/>
      <c r="D539" s="1"/>
      <c r="E539" s="1"/>
      <c r="F539" s="1"/>
      <c r="G539" s="1"/>
      <c r="H539" s="1" t="str">
        <f>"7805070024535"</f>
        <v>7805070024535</v>
      </c>
      <c r="I539" s="3">
        <v>2</v>
      </c>
      <c r="J539" s="3">
        <v>0</v>
      </c>
      <c r="K539" s="3">
        <v>6000</v>
      </c>
    </row>
    <row r="540" spans="1:11" x14ac:dyDescent="0.2">
      <c r="A540" s="1" t="s">
        <v>4994</v>
      </c>
      <c r="B540" s="1" t="s">
        <v>693</v>
      </c>
      <c r="C540" s="1"/>
      <c r="D540" s="1"/>
      <c r="E540" s="1"/>
      <c r="F540" s="1"/>
      <c r="G540" s="1"/>
      <c r="H540" s="1" t="str">
        <f>"8713184226143"</f>
        <v>8713184226143</v>
      </c>
      <c r="I540" s="3">
        <v>0</v>
      </c>
      <c r="J540" s="3">
        <v>0</v>
      </c>
      <c r="K540" s="3">
        <v>20000</v>
      </c>
    </row>
    <row r="541" spans="1:11" x14ac:dyDescent="0.2">
      <c r="A541" s="1" t="s">
        <v>4994</v>
      </c>
      <c r="B541" s="1" t="s">
        <v>695</v>
      </c>
      <c r="C541" s="1"/>
      <c r="D541" s="1"/>
      <c r="E541" s="1"/>
      <c r="F541" s="1"/>
      <c r="G541" s="1"/>
      <c r="H541" s="1" t="str">
        <f>"810071800818"</f>
        <v>810071800818</v>
      </c>
      <c r="I541" s="3">
        <v>0</v>
      </c>
      <c r="J541" s="3">
        <v>0</v>
      </c>
      <c r="K541" s="3">
        <v>7000</v>
      </c>
    </row>
    <row r="542" spans="1:11" x14ac:dyDescent="0.2">
      <c r="A542" s="1" t="s">
        <v>4994</v>
      </c>
      <c r="B542" s="1" t="s">
        <v>696</v>
      </c>
      <c r="C542" s="1"/>
      <c r="D542" s="1"/>
      <c r="E542" s="1"/>
      <c r="F542" s="1"/>
      <c r="G542" s="1"/>
      <c r="H542" s="1" t="str">
        <f>"810071800825"</f>
        <v>810071800825</v>
      </c>
      <c r="I542" s="3">
        <v>0</v>
      </c>
      <c r="J542" s="3">
        <v>0</v>
      </c>
      <c r="K542" s="3">
        <v>6500</v>
      </c>
    </row>
    <row r="543" spans="1:11" x14ac:dyDescent="0.2">
      <c r="A543" s="1" t="s">
        <v>4994</v>
      </c>
      <c r="B543" s="1" t="s">
        <v>698</v>
      </c>
      <c r="C543" s="1"/>
      <c r="D543" s="1"/>
      <c r="E543" s="1"/>
      <c r="F543" s="1"/>
      <c r="G543" s="1"/>
      <c r="H543" s="1" t="str">
        <f>"7800030075930"</f>
        <v>7800030075930</v>
      </c>
      <c r="I543" s="3">
        <v>5</v>
      </c>
      <c r="J543" s="3">
        <v>0</v>
      </c>
      <c r="K543" s="3">
        <v>48000</v>
      </c>
    </row>
    <row r="544" spans="1:11" x14ac:dyDescent="0.2">
      <c r="A544" s="1" t="s">
        <v>4994</v>
      </c>
      <c r="B544" s="1" t="s">
        <v>699</v>
      </c>
      <c r="C544" s="1"/>
      <c r="D544" s="1"/>
      <c r="E544" s="1"/>
      <c r="F544" s="1"/>
      <c r="G544" s="1"/>
      <c r="H544" s="1" t="str">
        <f>"7800030075923"</f>
        <v>7800030075923</v>
      </c>
      <c r="I544" s="3">
        <v>0</v>
      </c>
      <c r="J544" s="3">
        <v>0</v>
      </c>
      <c r="K544" s="3">
        <v>64000</v>
      </c>
    </row>
    <row r="545" spans="1:11" x14ac:dyDescent="0.2">
      <c r="A545" s="1" t="s">
        <v>4994</v>
      </c>
      <c r="B545" s="1" t="s">
        <v>700</v>
      </c>
      <c r="C545" s="1"/>
      <c r="D545" s="1"/>
      <c r="E545" s="1"/>
      <c r="F545" s="1"/>
      <c r="G545" s="1"/>
      <c r="H545" s="1" t="str">
        <f>"8424559011843"</f>
        <v>8424559011843</v>
      </c>
      <c r="I545" s="3">
        <v>0</v>
      </c>
      <c r="J545" s="3">
        <v>0</v>
      </c>
      <c r="K545" s="3">
        <v>1500</v>
      </c>
    </row>
    <row r="546" spans="1:11" x14ac:dyDescent="0.2">
      <c r="A546" s="1" t="s">
        <v>4994</v>
      </c>
      <c r="B546" s="1" t="s">
        <v>701</v>
      </c>
      <c r="C546" s="1"/>
      <c r="D546" s="1"/>
      <c r="E546" s="1"/>
      <c r="F546" s="1"/>
      <c r="G546" s="1"/>
      <c r="H546" s="1" t="str">
        <f>"41554583908"</f>
        <v>41554583908</v>
      </c>
      <c r="I546" s="3">
        <v>0</v>
      </c>
      <c r="J546" s="3">
        <v>0</v>
      </c>
      <c r="K546" s="3">
        <v>7000</v>
      </c>
    </row>
    <row r="547" spans="1:11" x14ac:dyDescent="0.2">
      <c r="A547" s="1" t="s">
        <v>4994</v>
      </c>
      <c r="B547" s="1" t="s">
        <v>702</v>
      </c>
      <c r="C547" s="1"/>
      <c r="D547" s="1"/>
      <c r="E547" s="1"/>
      <c r="F547" s="1"/>
      <c r="G547" s="1"/>
      <c r="H547" s="1" t="str">
        <f>"5702150151711"</f>
        <v>5702150151711</v>
      </c>
      <c r="I547" s="3">
        <v>2</v>
      </c>
      <c r="J547" s="3">
        <v>0</v>
      </c>
      <c r="K547" s="3">
        <v>80000</v>
      </c>
    </row>
    <row r="548" spans="1:11" x14ac:dyDescent="0.2">
      <c r="A548" s="1" t="s">
        <v>4994</v>
      </c>
      <c r="B548" s="1" t="s">
        <v>704</v>
      </c>
      <c r="C548" s="1"/>
      <c r="D548" s="1"/>
      <c r="E548" s="1"/>
      <c r="F548" s="1"/>
      <c r="G548" s="1"/>
      <c r="H548" s="1" t="str">
        <f>"7800068010804"</f>
        <v>7800068010804</v>
      </c>
      <c r="I548" s="3">
        <v>3</v>
      </c>
      <c r="J548" s="3">
        <v>0</v>
      </c>
      <c r="K548" s="3">
        <v>6500</v>
      </c>
    </row>
    <row r="549" spans="1:11" x14ac:dyDescent="0.2">
      <c r="A549" s="1" t="s">
        <v>4994</v>
      </c>
      <c r="B549" s="1" t="s">
        <v>705</v>
      </c>
      <c r="C549" s="1"/>
      <c r="D549" s="1"/>
      <c r="E549" s="1"/>
      <c r="F549" s="1"/>
      <c r="G549" s="1"/>
      <c r="H549" s="1" t="str">
        <f>"7804910019427"</f>
        <v>7804910019427</v>
      </c>
      <c r="I549" s="3">
        <v>54</v>
      </c>
      <c r="J549" s="3">
        <v>0</v>
      </c>
      <c r="K549" s="3">
        <v>2500</v>
      </c>
    </row>
    <row r="550" spans="1:11" x14ac:dyDescent="0.2">
      <c r="A550" s="1" t="s">
        <v>4994</v>
      </c>
      <c r="B550" s="1" t="s">
        <v>706</v>
      </c>
      <c r="C550" s="1"/>
      <c r="D550" s="1"/>
      <c r="E550" s="1"/>
      <c r="F550" s="1"/>
      <c r="G550" s="1"/>
      <c r="H550" s="1" t="str">
        <f>"7800063116587"</f>
        <v>7800063116587</v>
      </c>
      <c r="I550" s="3">
        <v>0</v>
      </c>
      <c r="J550" s="3">
        <v>0</v>
      </c>
      <c r="K550" s="3">
        <v>1500</v>
      </c>
    </row>
    <row r="551" spans="1:11" x14ac:dyDescent="0.2">
      <c r="A551" s="1" t="s">
        <v>4994</v>
      </c>
      <c r="B551" s="1" t="s">
        <v>709</v>
      </c>
      <c r="C551" s="1"/>
      <c r="D551" s="1"/>
      <c r="E551" s="1"/>
      <c r="F551" s="1"/>
      <c r="G551" s="1"/>
      <c r="H551" s="1" t="str">
        <f>"7804633500684"</f>
        <v>7804633500684</v>
      </c>
      <c r="I551" s="3">
        <v>0</v>
      </c>
      <c r="J551" s="3">
        <v>0</v>
      </c>
      <c r="K551" s="3">
        <v>20000</v>
      </c>
    </row>
    <row r="552" spans="1:11" x14ac:dyDescent="0.2">
      <c r="A552" s="1" t="s">
        <v>4994</v>
      </c>
      <c r="B552" s="1" t="s">
        <v>710</v>
      </c>
      <c r="C552" s="1"/>
      <c r="D552" s="1"/>
      <c r="E552" s="1"/>
      <c r="F552" s="1"/>
      <c r="G552" s="1"/>
      <c r="H552" s="1" t="str">
        <f>"7809591400731"</f>
        <v>7809591400731</v>
      </c>
      <c r="I552" s="3">
        <v>5</v>
      </c>
      <c r="J552" s="3">
        <v>0</v>
      </c>
      <c r="K552" s="3">
        <v>12000</v>
      </c>
    </row>
    <row r="553" spans="1:11" x14ac:dyDescent="0.2">
      <c r="A553" s="1" t="s">
        <v>4994</v>
      </c>
      <c r="B553" s="1" t="s">
        <v>711</v>
      </c>
      <c r="C553" s="1"/>
      <c r="D553" s="1"/>
      <c r="E553" s="1"/>
      <c r="F553" s="1"/>
      <c r="G553" s="1"/>
      <c r="H553" s="1" t="str">
        <f>"7809591402544"</f>
        <v>7809591402544</v>
      </c>
      <c r="I553" s="3">
        <v>0</v>
      </c>
      <c r="J553" s="3">
        <v>0</v>
      </c>
      <c r="K553" s="3">
        <v>9500</v>
      </c>
    </row>
    <row r="554" spans="1:11" x14ac:dyDescent="0.2">
      <c r="A554" s="1" t="s">
        <v>4994</v>
      </c>
      <c r="B554" s="1" t="s">
        <v>712</v>
      </c>
      <c r="C554" s="1"/>
      <c r="D554" s="1"/>
      <c r="E554" s="1"/>
      <c r="F554" s="1"/>
      <c r="G554" s="1"/>
      <c r="H554" s="1" t="str">
        <f>"7809591401233"</f>
        <v>7809591401233</v>
      </c>
      <c r="I554" s="3">
        <v>0</v>
      </c>
      <c r="J554" s="3">
        <v>0</v>
      </c>
      <c r="K554" s="3">
        <v>19000</v>
      </c>
    </row>
    <row r="555" spans="1:11" x14ac:dyDescent="0.2">
      <c r="A555" s="1" t="s">
        <v>4994</v>
      </c>
      <c r="B555" s="1" t="s">
        <v>714</v>
      </c>
      <c r="C555" s="1"/>
      <c r="D555" s="1"/>
      <c r="E555" s="1"/>
      <c r="F555" s="1"/>
      <c r="G555" s="1"/>
      <c r="H555" s="1" t="str">
        <f>"7809591401424"</f>
        <v>7809591401424</v>
      </c>
      <c r="I555" s="3">
        <v>0</v>
      </c>
      <c r="J555" s="3">
        <v>0</v>
      </c>
      <c r="K555" s="3">
        <v>85000</v>
      </c>
    </row>
    <row r="556" spans="1:11" x14ac:dyDescent="0.2">
      <c r="A556" s="1" t="s">
        <v>4994</v>
      </c>
      <c r="B556" s="1" t="s">
        <v>716</v>
      </c>
      <c r="C556" s="1"/>
      <c r="D556" s="1"/>
      <c r="E556" s="1"/>
      <c r="F556" s="1"/>
      <c r="G556" s="1"/>
      <c r="H556" s="1" t="str">
        <f>"7800026020104"</f>
        <v>7800026020104</v>
      </c>
      <c r="I556" s="3">
        <v>10</v>
      </c>
      <c r="J556" s="3">
        <v>0</v>
      </c>
      <c r="K556" s="3">
        <v>7500</v>
      </c>
    </row>
    <row r="557" spans="1:11" x14ac:dyDescent="0.2">
      <c r="A557" s="1" t="s">
        <v>4994</v>
      </c>
      <c r="B557" s="1" t="s">
        <v>717</v>
      </c>
      <c r="C557" s="1"/>
      <c r="D557" s="1"/>
      <c r="E557" s="1"/>
      <c r="F557" s="1"/>
      <c r="G557" s="1"/>
      <c r="H557" s="1" t="str">
        <f>"7800026003268"</f>
        <v>7800026003268</v>
      </c>
      <c r="I557" s="3">
        <v>0</v>
      </c>
      <c r="J557" s="3">
        <v>0</v>
      </c>
      <c r="K557" s="3">
        <v>6500</v>
      </c>
    </row>
    <row r="558" spans="1:11" x14ac:dyDescent="0.2">
      <c r="A558" s="1" t="s">
        <v>4994</v>
      </c>
      <c r="B558" s="1" t="s">
        <v>720</v>
      </c>
      <c r="C558" s="1"/>
      <c r="D558" s="1"/>
      <c r="E558" s="1"/>
      <c r="F558" s="1"/>
      <c r="G558" s="1"/>
      <c r="H558" s="1" t="str">
        <f>"737186233679"</f>
        <v>737186233679</v>
      </c>
      <c r="I558" s="3">
        <v>0</v>
      </c>
      <c r="J558" s="3">
        <v>0</v>
      </c>
      <c r="K558" s="3">
        <v>2000</v>
      </c>
    </row>
    <row r="559" spans="1:11" x14ac:dyDescent="0.2">
      <c r="A559" s="1" t="s">
        <v>4994</v>
      </c>
      <c r="B559" s="1" t="s">
        <v>724</v>
      </c>
      <c r="C559" s="1"/>
      <c r="D559" s="1"/>
      <c r="E559" s="1"/>
      <c r="F559" s="1"/>
      <c r="G559" s="1"/>
      <c r="H559" s="1" t="str">
        <f>"7804902048619"</f>
        <v>7804902048619</v>
      </c>
      <c r="I559" s="3">
        <v>0</v>
      </c>
      <c r="J559" s="3">
        <v>0</v>
      </c>
      <c r="K559" s="3">
        <v>6500</v>
      </c>
    </row>
    <row r="560" spans="1:11" x14ac:dyDescent="0.2">
      <c r="A560" s="1" t="s">
        <v>4994</v>
      </c>
      <c r="B560" s="1" t="s">
        <v>725</v>
      </c>
      <c r="C560" s="1"/>
      <c r="D560" s="1"/>
      <c r="E560" s="1"/>
      <c r="F560" s="1"/>
      <c r="G560" s="1"/>
      <c r="H560" s="1" t="str">
        <f>"7804902016281"</f>
        <v>7804902016281</v>
      </c>
      <c r="I560" s="3">
        <v>36</v>
      </c>
      <c r="J560" s="3">
        <v>0</v>
      </c>
      <c r="K560" s="3">
        <v>4000</v>
      </c>
    </row>
    <row r="561" spans="1:11" x14ac:dyDescent="0.2">
      <c r="A561" s="1" t="s">
        <v>4994</v>
      </c>
      <c r="B561" s="1" t="s">
        <v>726</v>
      </c>
      <c r="C561" s="1"/>
      <c r="D561" s="1"/>
      <c r="E561" s="1"/>
      <c r="F561" s="1"/>
      <c r="G561" s="1"/>
      <c r="H561" s="1" t="str">
        <f>"7804902038085"</f>
        <v>7804902038085</v>
      </c>
      <c r="I561" s="3">
        <v>2</v>
      </c>
      <c r="J561" s="3">
        <v>0</v>
      </c>
      <c r="K561" s="3">
        <v>5500</v>
      </c>
    </row>
    <row r="562" spans="1:11" x14ac:dyDescent="0.2">
      <c r="A562" s="1" t="s">
        <v>4994</v>
      </c>
      <c r="B562" s="1" t="s">
        <v>727</v>
      </c>
      <c r="C562" s="1"/>
      <c r="D562" s="1"/>
      <c r="E562" s="1"/>
      <c r="F562" s="1"/>
      <c r="G562" s="1"/>
      <c r="H562" s="1" t="str">
        <f>"7804910019434"</f>
        <v>7804910019434</v>
      </c>
      <c r="I562" s="3">
        <v>40</v>
      </c>
      <c r="J562" s="3">
        <v>0</v>
      </c>
      <c r="K562" s="3">
        <v>2000</v>
      </c>
    </row>
    <row r="563" spans="1:11" x14ac:dyDescent="0.2">
      <c r="A563" s="1" t="s">
        <v>4994</v>
      </c>
      <c r="B563" s="1" t="s">
        <v>731</v>
      </c>
      <c r="C563" s="1"/>
      <c r="D563" s="1"/>
      <c r="E563" s="1"/>
      <c r="F563" s="1"/>
      <c r="G563" s="1"/>
      <c r="H563" s="1" t="str">
        <f>"7502221187599"</f>
        <v>7502221187599</v>
      </c>
      <c r="I563" s="3">
        <v>6</v>
      </c>
      <c r="J563" s="3">
        <v>0</v>
      </c>
      <c r="K563" s="3">
        <v>4000</v>
      </c>
    </row>
    <row r="564" spans="1:11" x14ac:dyDescent="0.2">
      <c r="A564" s="1" t="s">
        <v>4994</v>
      </c>
      <c r="B564" s="1" t="s">
        <v>732</v>
      </c>
      <c r="C564" s="1"/>
      <c r="D564" s="1"/>
      <c r="E564" s="1"/>
      <c r="F564" s="1"/>
      <c r="G564" s="1"/>
      <c r="H564" s="1" t="str">
        <f>"7502221183898"</f>
        <v>7502221183898</v>
      </c>
      <c r="I564" s="3">
        <v>0</v>
      </c>
      <c r="J564" s="3">
        <v>0</v>
      </c>
      <c r="K564" s="3">
        <v>5500</v>
      </c>
    </row>
    <row r="565" spans="1:11" x14ac:dyDescent="0.2">
      <c r="A565" s="1" t="s">
        <v>4994</v>
      </c>
      <c r="B565" s="1" t="s">
        <v>733</v>
      </c>
      <c r="C565" s="1"/>
      <c r="D565" s="1"/>
      <c r="E565" s="1"/>
      <c r="F565" s="1"/>
      <c r="G565" s="1"/>
      <c r="H565" s="1" t="str">
        <f>"7502221187773"</f>
        <v>7502221187773</v>
      </c>
      <c r="I565" s="3">
        <v>2</v>
      </c>
      <c r="J565" s="3">
        <v>0</v>
      </c>
      <c r="K565" s="3">
        <v>12000</v>
      </c>
    </row>
    <row r="566" spans="1:11" x14ac:dyDescent="0.2">
      <c r="A566" s="1" t="s">
        <v>4994</v>
      </c>
      <c r="B566" s="1" t="s">
        <v>734</v>
      </c>
      <c r="C566" s="1"/>
      <c r="D566" s="1"/>
      <c r="E566" s="1"/>
      <c r="F566" s="1"/>
      <c r="G566" s="1"/>
      <c r="H566" s="1" t="str">
        <f>"7460536557417"</f>
        <v>7460536557417</v>
      </c>
      <c r="I566" s="3">
        <v>0</v>
      </c>
      <c r="J566" s="3">
        <v>0</v>
      </c>
      <c r="K566" s="3">
        <v>26000</v>
      </c>
    </row>
    <row r="567" spans="1:11" x14ac:dyDescent="0.2">
      <c r="A567" s="1" t="s">
        <v>4994</v>
      </c>
      <c r="B567" s="1" t="s">
        <v>735</v>
      </c>
      <c r="C567" s="1"/>
      <c r="D567" s="1"/>
      <c r="E567" s="1"/>
      <c r="F567" s="1"/>
      <c r="G567" s="1"/>
      <c r="H567" s="1" t="str">
        <f>"7805633015079"</f>
        <v>7805633015079</v>
      </c>
      <c r="I567" s="3">
        <v>2</v>
      </c>
      <c r="J567" s="3">
        <v>0</v>
      </c>
      <c r="K567" s="3">
        <v>2000</v>
      </c>
    </row>
    <row r="568" spans="1:11" x14ac:dyDescent="0.2">
      <c r="A568" s="1" t="s">
        <v>4994</v>
      </c>
      <c r="B568" s="1" t="s">
        <v>736</v>
      </c>
      <c r="C568" s="1"/>
      <c r="D568" s="1"/>
      <c r="E568" s="1"/>
      <c r="F568" s="1"/>
      <c r="G568" s="1"/>
      <c r="H568" s="1" t="str">
        <f>"7805633015086"</f>
        <v>7805633015086</v>
      </c>
      <c r="I568" s="3">
        <v>3</v>
      </c>
      <c r="J568" s="3">
        <v>0</v>
      </c>
      <c r="K568" s="3">
        <v>3500</v>
      </c>
    </row>
    <row r="569" spans="1:11" x14ac:dyDescent="0.2">
      <c r="A569" s="1" t="s">
        <v>4994</v>
      </c>
      <c r="B569" s="1" t="s">
        <v>737</v>
      </c>
      <c r="C569" s="1"/>
      <c r="D569" s="1"/>
      <c r="E569" s="1"/>
      <c r="F569" s="1"/>
      <c r="G569" s="1"/>
      <c r="H569" s="1" t="str">
        <f>"7805633015093"</f>
        <v>7805633015093</v>
      </c>
      <c r="I569" s="3">
        <v>0</v>
      </c>
      <c r="J569" s="3">
        <v>0</v>
      </c>
      <c r="K569" s="3">
        <v>5000</v>
      </c>
    </row>
    <row r="570" spans="1:11" x14ac:dyDescent="0.2">
      <c r="A570" s="1" t="s">
        <v>4994</v>
      </c>
      <c r="B570" s="1" t="s">
        <v>738</v>
      </c>
      <c r="C570" s="1"/>
      <c r="D570" s="1"/>
      <c r="E570" s="1"/>
      <c r="F570" s="1"/>
      <c r="G570" s="1"/>
      <c r="H570" s="1" t="str">
        <f>"7809622000442"</f>
        <v>7809622000442</v>
      </c>
      <c r="I570" s="3">
        <v>5</v>
      </c>
      <c r="J570" s="3">
        <v>0</v>
      </c>
      <c r="K570" s="3">
        <v>2000</v>
      </c>
    </row>
    <row r="571" spans="1:11" x14ac:dyDescent="0.2">
      <c r="A571" s="1" t="s">
        <v>4994</v>
      </c>
      <c r="B571" s="1" t="s">
        <v>739</v>
      </c>
      <c r="C571" s="1"/>
      <c r="D571" s="1"/>
      <c r="E571" s="1"/>
      <c r="F571" s="1"/>
      <c r="G571" s="1"/>
      <c r="H571" s="1" t="str">
        <f>"7805633013778"</f>
        <v>7805633013778</v>
      </c>
      <c r="I571" s="3">
        <v>5</v>
      </c>
      <c r="J571" s="3">
        <v>0</v>
      </c>
      <c r="K571" s="3">
        <v>2500</v>
      </c>
    </row>
    <row r="572" spans="1:11" x14ac:dyDescent="0.2">
      <c r="A572" s="1" t="s">
        <v>4994</v>
      </c>
      <c r="B572" s="1" t="s">
        <v>740</v>
      </c>
      <c r="C572" s="1"/>
      <c r="D572" s="1"/>
      <c r="E572" s="1"/>
      <c r="F572" s="1"/>
      <c r="G572" s="1"/>
      <c r="H572" s="1" t="str">
        <f>"7805633013761"</f>
        <v>7805633013761</v>
      </c>
      <c r="I572" s="3">
        <v>8</v>
      </c>
      <c r="J572" s="3">
        <v>0</v>
      </c>
      <c r="K572" s="3">
        <v>2500</v>
      </c>
    </row>
    <row r="573" spans="1:11" x14ac:dyDescent="0.2">
      <c r="A573" s="1" t="s">
        <v>4994</v>
      </c>
      <c r="B573" s="1" t="s">
        <v>741</v>
      </c>
      <c r="C573" s="1"/>
      <c r="D573" s="1"/>
      <c r="E573" s="1"/>
      <c r="F573" s="1"/>
      <c r="G573" s="1"/>
      <c r="H573" s="1" t="str">
        <f>"7809622000411"</f>
        <v>7809622000411</v>
      </c>
      <c r="I573" s="3">
        <v>0</v>
      </c>
      <c r="J573" s="3">
        <v>0</v>
      </c>
      <c r="K573" s="3">
        <v>1500</v>
      </c>
    </row>
    <row r="574" spans="1:11" x14ac:dyDescent="0.2">
      <c r="A574" s="1" t="s">
        <v>4994</v>
      </c>
      <c r="B574" s="1" t="s">
        <v>742</v>
      </c>
      <c r="C574" s="1"/>
      <c r="D574" s="1"/>
      <c r="E574" s="1"/>
      <c r="F574" s="1"/>
      <c r="G574" s="1"/>
      <c r="H574" s="1" t="str">
        <f>"7809622000466"</f>
        <v>7809622000466</v>
      </c>
      <c r="I574" s="3">
        <v>9</v>
      </c>
      <c r="J574" s="3">
        <v>0</v>
      </c>
      <c r="K574" s="3">
        <v>1500</v>
      </c>
    </row>
    <row r="575" spans="1:11" x14ac:dyDescent="0.2">
      <c r="A575" s="1" t="s">
        <v>4994</v>
      </c>
      <c r="B575" s="1" t="s">
        <v>743</v>
      </c>
      <c r="C575" s="1"/>
      <c r="D575" s="1"/>
      <c r="E575" s="1"/>
      <c r="F575" s="1"/>
      <c r="G575" s="1"/>
      <c r="H575" s="1" t="str">
        <f>"7809622000459"</f>
        <v>7809622000459</v>
      </c>
      <c r="I575" s="3">
        <v>3</v>
      </c>
      <c r="J575" s="3">
        <v>0</v>
      </c>
      <c r="K575" s="3">
        <v>1500</v>
      </c>
    </row>
    <row r="576" spans="1:11" x14ac:dyDescent="0.2">
      <c r="A576" s="1" t="s">
        <v>4994</v>
      </c>
      <c r="B576" s="1" t="s">
        <v>744</v>
      </c>
      <c r="C576" s="1"/>
      <c r="D576" s="1"/>
      <c r="E576" s="1"/>
      <c r="F576" s="1"/>
      <c r="G576" s="1"/>
      <c r="H576" s="1" t="str">
        <f>"7805633012603"</f>
        <v>7805633012603</v>
      </c>
      <c r="I576" s="3">
        <v>0</v>
      </c>
      <c r="J576" s="3">
        <v>0</v>
      </c>
      <c r="K576" s="3">
        <v>2500</v>
      </c>
    </row>
    <row r="577" spans="1:11" x14ac:dyDescent="0.2">
      <c r="A577" s="1" t="s">
        <v>4994</v>
      </c>
      <c r="B577" s="1" t="s">
        <v>745</v>
      </c>
      <c r="C577" s="1"/>
      <c r="D577" s="1"/>
      <c r="E577" s="1"/>
      <c r="F577" s="1"/>
      <c r="G577" s="1"/>
      <c r="H577" s="1" t="str">
        <f>"7805633027737"</f>
        <v>7805633027737</v>
      </c>
      <c r="I577" s="3">
        <v>0</v>
      </c>
      <c r="J577" s="3">
        <v>0</v>
      </c>
      <c r="K577" s="3">
        <v>3000</v>
      </c>
    </row>
    <row r="578" spans="1:11" x14ac:dyDescent="0.2">
      <c r="A578" s="1" t="s">
        <v>4994</v>
      </c>
      <c r="B578" s="1" t="s">
        <v>747</v>
      </c>
      <c r="C578" s="1"/>
      <c r="D578" s="1"/>
      <c r="E578" s="1"/>
      <c r="F578" s="1"/>
      <c r="G578" s="1"/>
      <c r="H578" s="1" t="str">
        <f>"7805633024422"</f>
        <v>7805633024422</v>
      </c>
      <c r="I578" s="3">
        <v>0</v>
      </c>
      <c r="J578" s="3">
        <v>0</v>
      </c>
      <c r="K578" s="3">
        <v>7000</v>
      </c>
    </row>
    <row r="579" spans="1:11" x14ac:dyDescent="0.2">
      <c r="A579" s="1" t="s">
        <v>4994</v>
      </c>
      <c r="B579" s="1" t="s">
        <v>748</v>
      </c>
      <c r="C579" s="1"/>
      <c r="D579" s="1"/>
      <c r="E579" s="1"/>
      <c r="F579" s="1"/>
      <c r="G579" s="1"/>
      <c r="H579" s="1" t="str">
        <f>"7805633027720"</f>
        <v>7805633027720</v>
      </c>
      <c r="I579" s="3">
        <v>0</v>
      </c>
      <c r="J579" s="3">
        <v>0</v>
      </c>
      <c r="K579" s="3">
        <v>3000</v>
      </c>
    </row>
    <row r="580" spans="1:11" x14ac:dyDescent="0.2">
      <c r="A580" s="1" t="s">
        <v>4994</v>
      </c>
      <c r="B580" s="1" t="s">
        <v>750</v>
      </c>
      <c r="C580" s="1"/>
      <c r="D580" s="1"/>
      <c r="E580" s="1"/>
      <c r="F580" s="1"/>
      <c r="G580" s="1"/>
      <c r="H580" s="1" t="str">
        <f>"7804629440550"</f>
        <v>7804629440550</v>
      </c>
      <c r="I580" s="3">
        <v>0</v>
      </c>
      <c r="J580" s="3">
        <v>0</v>
      </c>
      <c r="K580" s="3">
        <v>8000</v>
      </c>
    </row>
    <row r="581" spans="1:11" x14ac:dyDescent="0.2">
      <c r="A581" s="1" t="s">
        <v>4994</v>
      </c>
      <c r="B581" s="1" t="s">
        <v>751</v>
      </c>
      <c r="C581" s="1"/>
      <c r="D581" s="1"/>
      <c r="E581" s="1"/>
      <c r="F581" s="1"/>
      <c r="G581" s="1"/>
      <c r="H581" s="1" t="str">
        <f>"7804629440086"</f>
        <v>7804629440086</v>
      </c>
      <c r="I581" s="3">
        <v>0</v>
      </c>
      <c r="J581" s="3">
        <v>0</v>
      </c>
      <c r="K581" s="3">
        <v>9000</v>
      </c>
    </row>
    <row r="582" spans="1:11" x14ac:dyDescent="0.2">
      <c r="A582" s="1" t="s">
        <v>4994</v>
      </c>
      <c r="B582" s="1" t="s">
        <v>752</v>
      </c>
      <c r="C582" s="1"/>
      <c r="D582" s="1"/>
      <c r="E582" s="1"/>
      <c r="F582" s="1"/>
      <c r="G582" s="1"/>
      <c r="H582" s="1" t="str">
        <f>"7805633015024"</f>
        <v>7805633015024</v>
      </c>
      <c r="I582" s="3">
        <v>0</v>
      </c>
      <c r="J582" s="3">
        <v>0</v>
      </c>
      <c r="K582" s="3">
        <v>1000</v>
      </c>
    </row>
    <row r="583" spans="1:11" x14ac:dyDescent="0.2">
      <c r="A583" s="1" t="s">
        <v>4994</v>
      </c>
      <c r="B583" s="1" t="s">
        <v>753</v>
      </c>
      <c r="C583" s="1"/>
      <c r="D583" s="1"/>
      <c r="E583" s="1"/>
      <c r="F583" s="1"/>
      <c r="G583" s="1"/>
      <c r="H583" s="1" t="str">
        <f>"7804666065341"</f>
        <v>7804666065341</v>
      </c>
      <c r="I583" s="3">
        <v>0</v>
      </c>
      <c r="J583" s="3">
        <v>0</v>
      </c>
      <c r="K583" s="3">
        <v>3500</v>
      </c>
    </row>
    <row r="584" spans="1:11" x14ac:dyDescent="0.2">
      <c r="A584" s="1" t="s">
        <v>4994</v>
      </c>
      <c r="B584" s="1" t="s">
        <v>755</v>
      </c>
      <c r="C584" s="1"/>
      <c r="D584" s="1"/>
      <c r="E584" s="1"/>
      <c r="F584" s="1"/>
      <c r="G584" s="1"/>
      <c r="H584" s="1" t="str">
        <f>"7800007804402"</f>
        <v>7800007804402</v>
      </c>
      <c r="I584" s="3">
        <v>2</v>
      </c>
      <c r="J584" s="3">
        <v>0</v>
      </c>
      <c r="K584" s="3">
        <v>4500</v>
      </c>
    </row>
    <row r="585" spans="1:11" x14ac:dyDescent="0.2">
      <c r="A585" s="1" t="s">
        <v>4994</v>
      </c>
      <c r="B585" s="1" t="s">
        <v>756</v>
      </c>
      <c r="C585" s="1"/>
      <c r="D585" s="1"/>
      <c r="E585" s="1"/>
      <c r="F585" s="1"/>
      <c r="G585" s="1"/>
      <c r="H585" s="1" t="str">
        <f>"3664798046663"</f>
        <v>3664798046663</v>
      </c>
      <c r="I585" s="3">
        <v>2</v>
      </c>
      <c r="J585" s="3">
        <v>0</v>
      </c>
      <c r="K585" s="3">
        <v>7500</v>
      </c>
    </row>
    <row r="586" spans="1:11" x14ac:dyDescent="0.2">
      <c r="A586" s="1" t="s">
        <v>4994</v>
      </c>
      <c r="B586" s="1" t="s">
        <v>757</v>
      </c>
      <c r="C586" s="1"/>
      <c r="D586" s="1"/>
      <c r="E586" s="1"/>
      <c r="F586" s="1"/>
      <c r="G586" s="1"/>
      <c r="H586" s="1" t="str">
        <f>"7800058535591"</f>
        <v>7800058535591</v>
      </c>
      <c r="I586" s="3">
        <v>0</v>
      </c>
      <c r="J586" s="3">
        <v>0</v>
      </c>
      <c r="K586" s="3">
        <v>7500</v>
      </c>
    </row>
    <row r="587" spans="1:11" x14ac:dyDescent="0.2">
      <c r="A587" s="1" t="s">
        <v>4994</v>
      </c>
      <c r="B587" s="1" t="s">
        <v>758</v>
      </c>
      <c r="C587" s="1"/>
      <c r="D587" s="1"/>
      <c r="E587" s="1"/>
      <c r="F587" s="1"/>
      <c r="G587" s="1"/>
      <c r="H587" s="1" t="str">
        <f>"5703188232991"</f>
        <v>5703188232991</v>
      </c>
      <c r="I587" s="3">
        <v>0</v>
      </c>
      <c r="J587" s="3">
        <v>0</v>
      </c>
      <c r="K587" s="3">
        <v>5000</v>
      </c>
    </row>
    <row r="588" spans="1:11" x14ac:dyDescent="0.2">
      <c r="A588" s="1" t="s">
        <v>4994</v>
      </c>
      <c r="B588" s="1" t="s">
        <v>759</v>
      </c>
      <c r="C588" s="1"/>
      <c r="D588" s="1"/>
      <c r="E588" s="1"/>
      <c r="F588" s="1"/>
      <c r="G588" s="1"/>
      <c r="H588" s="1" t="str">
        <f>"7795373022126"</f>
        <v>7795373022126</v>
      </c>
      <c r="I588" s="3">
        <v>0</v>
      </c>
      <c r="J588" s="3">
        <v>0</v>
      </c>
      <c r="K588" s="3">
        <v>14280</v>
      </c>
    </row>
    <row r="589" spans="1:11" x14ac:dyDescent="0.2">
      <c r="A589" s="1" t="s">
        <v>4994</v>
      </c>
      <c r="B589" s="1" t="s">
        <v>760</v>
      </c>
      <c r="C589" s="1"/>
      <c r="D589" s="1"/>
      <c r="E589" s="1"/>
      <c r="F589" s="1"/>
      <c r="G589" s="1"/>
      <c r="H589" s="1" t="str">
        <f>"7800063310503"</f>
        <v>7800063310503</v>
      </c>
      <c r="I589" s="3">
        <v>5</v>
      </c>
      <c r="J589" s="3">
        <v>0</v>
      </c>
      <c r="K589" s="3">
        <v>5000</v>
      </c>
    </row>
    <row r="590" spans="1:11" x14ac:dyDescent="0.2">
      <c r="A590" s="1" t="s">
        <v>4994</v>
      </c>
      <c r="B590" s="1" t="s">
        <v>761</v>
      </c>
      <c r="C590" s="1"/>
      <c r="D590" s="1"/>
      <c r="E590" s="1"/>
      <c r="F590" s="1"/>
      <c r="G590" s="1"/>
      <c r="H590" s="1" t="str">
        <f>"7891317006433"</f>
        <v>7891317006433</v>
      </c>
      <c r="I590" s="3">
        <v>0</v>
      </c>
      <c r="J590" s="3">
        <v>0</v>
      </c>
      <c r="K590" s="3">
        <v>14000</v>
      </c>
    </row>
    <row r="591" spans="1:11" x14ac:dyDescent="0.2">
      <c r="A591" s="1" t="s">
        <v>4994</v>
      </c>
      <c r="B591" s="1" t="s">
        <v>762</v>
      </c>
      <c r="C591" s="1"/>
      <c r="D591" s="1"/>
      <c r="E591" s="1"/>
      <c r="F591" s="1"/>
      <c r="G591" s="1"/>
      <c r="H591" s="1" t="str">
        <f>"1610130"</f>
        <v>1610130</v>
      </c>
      <c r="I591" s="3">
        <v>0</v>
      </c>
      <c r="J591" s="3">
        <v>0</v>
      </c>
      <c r="K591" s="3">
        <v>15000</v>
      </c>
    </row>
    <row r="592" spans="1:11" x14ac:dyDescent="0.2">
      <c r="A592" s="1" t="s">
        <v>4994</v>
      </c>
      <c r="B592" s="1" t="s">
        <v>763</v>
      </c>
      <c r="C592" s="1"/>
      <c r="D592" s="1"/>
      <c r="E592" s="1"/>
      <c r="F592" s="1"/>
      <c r="G592" s="1"/>
      <c r="H592" s="1" t="str">
        <f>"7891317022259"</f>
        <v>7891317022259</v>
      </c>
      <c r="I592" s="3">
        <v>0</v>
      </c>
      <c r="J592" s="3">
        <v>0</v>
      </c>
      <c r="K592" s="3">
        <v>24000</v>
      </c>
    </row>
    <row r="593" spans="1:11" x14ac:dyDescent="0.2">
      <c r="A593" s="1" t="s">
        <v>4994</v>
      </c>
      <c r="B593" s="1" t="s">
        <v>764</v>
      </c>
      <c r="C593" s="1"/>
      <c r="D593" s="1"/>
      <c r="E593" s="1"/>
      <c r="F593" s="1"/>
      <c r="G593" s="1"/>
      <c r="H593" s="1" t="str">
        <f>"8424559085158"</f>
        <v>8424559085158</v>
      </c>
      <c r="I593" s="3">
        <v>0</v>
      </c>
      <c r="J593" s="3">
        <v>0</v>
      </c>
      <c r="K593" s="3">
        <v>1500</v>
      </c>
    </row>
    <row r="594" spans="1:11" x14ac:dyDescent="0.2">
      <c r="A594" s="1" t="s">
        <v>4994</v>
      </c>
      <c r="B594" s="1" t="s">
        <v>765</v>
      </c>
      <c r="C594" s="1"/>
      <c r="D594" s="1"/>
      <c r="E594" s="1"/>
      <c r="F594" s="1"/>
      <c r="G594" s="1"/>
      <c r="H594" s="1" t="str">
        <f>"7800060114364"</f>
        <v>7800060114364</v>
      </c>
      <c r="I594" s="3">
        <v>0</v>
      </c>
      <c r="J594" s="3">
        <v>0</v>
      </c>
      <c r="K594" s="3">
        <v>29000</v>
      </c>
    </row>
    <row r="595" spans="1:11" x14ac:dyDescent="0.2">
      <c r="A595" s="1" t="s">
        <v>4994</v>
      </c>
      <c r="B595" s="1" t="s">
        <v>770</v>
      </c>
      <c r="C595" s="1"/>
      <c r="D595" s="1"/>
      <c r="E595" s="1"/>
      <c r="F595" s="1"/>
      <c r="G595" s="1"/>
      <c r="H595" s="1" t="str">
        <f>"7730979091947"</f>
        <v>7730979091947</v>
      </c>
      <c r="I595" s="3">
        <v>0</v>
      </c>
      <c r="J595" s="3">
        <v>0</v>
      </c>
      <c r="K595" s="3">
        <v>45000</v>
      </c>
    </row>
    <row r="596" spans="1:11" x14ac:dyDescent="0.2">
      <c r="A596" s="1" t="s">
        <v>4994</v>
      </c>
      <c r="B596" s="1" t="s">
        <v>771</v>
      </c>
      <c r="C596" s="1"/>
      <c r="D596" s="1"/>
      <c r="E596" s="1"/>
      <c r="F596" s="1"/>
      <c r="G596" s="1"/>
      <c r="H596" s="1" t="str">
        <f>"7801001004638"</f>
        <v>7801001004638</v>
      </c>
      <c r="I596" s="3">
        <v>0</v>
      </c>
      <c r="J596" s="3">
        <v>0</v>
      </c>
      <c r="K596" s="3">
        <v>4000</v>
      </c>
    </row>
    <row r="597" spans="1:11" x14ac:dyDescent="0.2">
      <c r="A597" s="1" t="s">
        <v>4994</v>
      </c>
      <c r="B597" s="1" t="s">
        <v>772</v>
      </c>
      <c r="C597" s="1"/>
      <c r="D597" s="1"/>
      <c r="E597" s="1"/>
      <c r="F597" s="1"/>
      <c r="G597" s="1"/>
      <c r="H597" s="1" t="str">
        <f>"7801001000142"</f>
        <v>7801001000142</v>
      </c>
      <c r="I597" s="3">
        <v>0</v>
      </c>
      <c r="J597" s="3">
        <v>0</v>
      </c>
      <c r="K597" s="3">
        <v>5000</v>
      </c>
    </row>
    <row r="598" spans="1:11" x14ac:dyDescent="0.2">
      <c r="A598" s="1" t="s">
        <v>4994</v>
      </c>
      <c r="B598" s="1" t="s">
        <v>773</v>
      </c>
      <c r="C598" s="1"/>
      <c r="D598" s="1"/>
      <c r="E598" s="1"/>
      <c r="F598" s="1"/>
      <c r="G598" s="1"/>
      <c r="H598" s="1" t="str">
        <f>"7801001004676"</f>
        <v>7801001004676</v>
      </c>
      <c r="I598" s="3">
        <v>0</v>
      </c>
      <c r="J598" s="3">
        <v>0</v>
      </c>
      <c r="K598" s="3">
        <v>4000</v>
      </c>
    </row>
    <row r="599" spans="1:11" x14ac:dyDescent="0.2">
      <c r="A599" s="1" t="s">
        <v>4994</v>
      </c>
      <c r="B599" s="1" t="s">
        <v>774</v>
      </c>
      <c r="C599" s="1"/>
      <c r="D599" s="1"/>
      <c r="E599" s="1"/>
      <c r="F599" s="1"/>
      <c r="G599" s="1"/>
      <c r="H599" s="1" t="str">
        <f>"7805633002284"</f>
        <v>7805633002284</v>
      </c>
      <c r="I599" s="3">
        <v>0</v>
      </c>
      <c r="J599" s="3">
        <v>0</v>
      </c>
      <c r="K599" s="3">
        <v>5000</v>
      </c>
    </row>
    <row r="600" spans="1:11" x14ac:dyDescent="0.2">
      <c r="A600" s="1" t="s">
        <v>4994</v>
      </c>
      <c r="B600" s="1" t="s">
        <v>775</v>
      </c>
      <c r="C600" s="1"/>
      <c r="D600" s="1"/>
      <c r="E600" s="1"/>
      <c r="F600" s="1"/>
      <c r="G600" s="1"/>
      <c r="H600" s="1" t="str">
        <f>"2000110413378"</f>
        <v>2000110413378</v>
      </c>
      <c r="I600" s="3">
        <v>0</v>
      </c>
      <c r="J600" s="3">
        <v>0</v>
      </c>
      <c r="K600" s="3">
        <v>4500</v>
      </c>
    </row>
    <row r="601" spans="1:11" x14ac:dyDescent="0.2">
      <c r="A601" s="1" t="s">
        <v>4994</v>
      </c>
      <c r="B601" s="1" t="s">
        <v>776</v>
      </c>
      <c r="C601" s="1"/>
      <c r="D601" s="1"/>
      <c r="E601" s="1"/>
      <c r="F601" s="1"/>
      <c r="G601" s="1"/>
      <c r="H601" s="1" t="str">
        <f>"7806125648379"</f>
        <v>7806125648379</v>
      </c>
      <c r="I601" s="3">
        <v>0</v>
      </c>
      <c r="J601" s="3">
        <v>0</v>
      </c>
      <c r="K601" s="3">
        <v>2000</v>
      </c>
    </row>
    <row r="602" spans="1:11" x14ac:dyDescent="0.2">
      <c r="A602" s="1" t="s">
        <v>4994</v>
      </c>
      <c r="B602" s="1" t="s">
        <v>777</v>
      </c>
      <c r="C602" s="1"/>
      <c r="D602" s="1"/>
      <c r="E602" s="1"/>
      <c r="F602" s="1"/>
      <c r="G602" s="1"/>
      <c r="H602" s="1" t="str">
        <f>"737186232771"</f>
        <v>737186232771</v>
      </c>
      <c r="I602" s="3">
        <v>5</v>
      </c>
      <c r="J602" s="3">
        <v>0</v>
      </c>
      <c r="K602" s="3">
        <v>6500</v>
      </c>
    </row>
    <row r="603" spans="1:11" x14ac:dyDescent="0.2">
      <c r="A603" s="1" t="s">
        <v>4994</v>
      </c>
      <c r="B603" s="1" t="s">
        <v>778</v>
      </c>
      <c r="C603" s="1"/>
      <c r="D603" s="1"/>
      <c r="E603" s="1"/>
      <c r="F603" s="1"/>
      <c r="G603" s="1"/>
      <c r="H603" s="1" t="str">
        <f>"7793640211464"</f>
        <v>7793640211464</v>
      </c>
      <c r="I603" s="3">
        <v>3</v>
      </c>
      <c r="J603" s="3">
        <v>0</v>
      </c>
      <c r="K603" s="3">
        <v>8000</v>
      </c>
    </row>
    <row r="604" spans="1:11" x14ac:dyDescent="0.2">
      <c r="A604" s="1" t="s">
        <v>4994</v>
      </c>
      <c r="B604" s="1" t="s">
        <v>779</v>
      </c>
      <c r="C604" s="1"/>
      <c r="D604" s="1"/>
      <c r="E604" s="1"/>
      <c r="F604" s="1"/>
      <c r="G604" s="1"/>
      <c r="H604" s="1" t="str">
        <f>"123456788"</f>
        <v>123456788</v>
      </c>
      <c r="I604" s="3">
        <v>0</v>
      </c>
      <c r="J604" s="3">
        <v>0</v>
      </c>
      <c r="K604" s="3">
        <v>1000</v>
      </c>
    </row>
    <row r="605" spans="1:11" x14ac:dyDescent="0.2">
      <c r="A605" s="1" t="s">
        <v>4994</v>
      </c>
      <c r="B605" s="1" t="s">
        <v>781</v>
      </c>
      <c r="C605" s="1"/>
      <c r="D605" s="1"/>
      <c r="E605" s="1"/>
      <c r="F605" s="1"/>
      <c r="G605" s="1"/>
      <c r="H605" s="1" t="str">
        <f>"7806130201309"</f>
        <v>7806130201309</v>
      </c>
      <c r="I605" s="3">
        <v>0</v>
      </c>
      <c r="J605" s="3">
        <v>0</v>
      </c>
      <c r="K605" s="3">
        <v>1500</v>
      </c>
    </row>
    <row r="606" spans="1:11" x14ac:dyDescent="0.2">
      <c r="A606" s="1" t="s">
        <v>4994</v>
      </c>
      <c r="B606" s="1" t="s">
        <v>782</v>
      </c>
      <c r="C606" s="1"/>
      <c r="D606" s="1"/>
      <c r="E606" s="1"/>
      <c r="F606" s="1"/>
      <c r="G606" s="1"/>
      <c r="H606" s="1" t="str">
        <f>"7800044001840"</f>
        <v>7800044001840</v>
      </c>
      <c r="I606" s="3">
        <v>0</v>
      </c>
      <c r="J606" s="3">
        <v>0</v>
      </c>
      <c r="K606" s="3">
        <v>5000</v>
      </c>
    </row>
    <row r="607" spans="1:11" x14ac:dyDescent="0.2">
      <c r="A607" s="1" t="s">
        <v>4994</v>
      </c>
      <c r="B607" s="1" t="s">
        <v>783</v>
      </c>
      <c r="C607" s="1"/>
      <c r="D607" s="1"/>
      <c r="E607" s="1"/>
      <c r="F607" s="1"/>
      <c r="G607" s="1"/>
      <c r="H607" s="1" t="str">
        <f>"7800007423153"</f>
        <v>7800007423153</v>
      </c>
      <c r="I607" s="3">
        <v>4</v>
      </c>
      <c r="J607" s="3">
        <v>0</v>
      </c>
      <c r="K607" s="3">
        <v>7500</v>
      </c>
    </row>
    <row r="608" spans="1:11" x14ac:dyDescent="0.2">
      <c r="A608" s="1" t="s">
        <v>4994</v>
      </c>
      <c r="B608" s="1" t="s">
        <v>785</v>
      </c>
      <c r="C608" s="1"/>
      <c r="D608" s="1"/>
      <c r="E608" s="1"/>
      <c r="F608" s="1"/>
      <c r="G608" s="1"/>
      <c r="H608" s="1" t="str">
        <f>"7800018000824"</f>
        <v>7800018000824</v>
      </c>
      <c r="I608" s="3">
        <v>2</v>
      </c>
      <c r="J608" s="3">
        <v>0</v>
      </c>
      <c r="K608" s="3">
        <v>10000</v>
      </c>
    </row>
    <row r="609" spans="1:11" x14ac:dyDescent="0.2">
      <c r="A609" s="1" t="s">
        <v>4994</v>
      </c>
      <c r="B609" s="1" t="s">
        <v>787</v>
      </c>
      <c r="C609" s="1"/>
      <c r="D609" s="1"/>
      <c r="E609" s="1"/>
      <c r="F609" s="1"/>
      <c r="G609" s="1"/>
      <c r="H609" s="1" t="str">
        <f>"CALCIOFORTE"</f>
        <v>CALCIOFORTE</v>
      </c>
      <c r="I609" s="3">
        <v>0</v>
      </c>
      <c r="J609" s="3">
        <v>0</v>
      </c>
      <c r="K609" s="3">
        <v>5000</v>
      </c>
    </row>
    <row r="610" spans="1:11" x14ac:dyDescent="0.2">
      <c r="A610" s="1" t="s">
        <v>4994</v>
      </c>
      <c r="B610" s="1" t="s">
        <v>789</v>
      </c>
      <c r="C610" s="1"/>
      <c r="D610" s="1"/>
      <c r="E610" s="1"/>
      <c r="F610" s="1"/>
      <c r="G610" s="1"/>
      <c r="H610" s="1" t="str">
        <f>"7805357001716"</f>
        <v>7805357001716</v>
      </c>
      <c r="I610" s="3">
        <v>0</v>
      </c>
      <c r="J610" s="3">
        <v>0</v>
      </c>
      <c r="K610" s="3">
        <v>6000</v>
      </c>
    </row>
    <row r="611" spans="1:11" x14ac:dyDescent="0.2">
      <c r="A611" s="1" t="s">
        <v>4994</v>
      </c>
      <c r="B611" s="1" t="s">
        <v>790</v>
      </c>
      <c r="C611" s="1"/>
      <c r="D611" s="1"/>
      <c r="E611" s="1"/>
      <c r="F611" s="1"/>
      <c r="G611" s="1"/>
      <c r="H611" s="1" t="str">
        <f>"451131132434"</f>
        <v>451131132434</v>
      </c>
      <c r="I611" s="3">
        <v>0</v>
      </c>
      <c r="J611" s="3">
        <v>0</v>
      </c>
      <c r="K611" s="3">
        <v>4000</v>
      </c>
    </row>
    <row r="612" spans="1:11" x14ac:dyDescent="0.2">
      <c r="A612" s="1" t="s">
        <v>4994</v>
      </c>
      <c r="B612" s="1" t="s">
        <v>791</v>
      </c>
      <c r="C612" s="1"/>
      <c r="D612" s="1"/>
      <c r="E612" s="1"/>
      <c r="F612" s="1"/>
      <c r="G612" s="1"/>
      <c r="H612" s="1" t="str">
        <f>"7806130011410"</f>
        <v>7806130011410</v>
      </c>
      <c r="I612" s="3">
        <v>0</v>
      </c>
      <c r="J612" s="3">
        <v>0</v>
      </c>
      <c r="K612" s="3">
        <v>20000</v>
      </c>
    </row>
    <row r="613" spans="1:11" x14ac:dyDescent="0.2">
      <c r="A613" s="1" t="s">
        <v>4994</v>
      </c>
      <c r="B613" s="1" t="s">
        <v>792</v>
      </c>
      <c r="C613" s="1"/>
      <c r="D613" s="1"/>
      <c r="E613" s="1"/>
      <c r="F613" s="1"/>
      <c r="G613" s="1"/>
      <c r="H613" s="1" t="str">
        <f>"7805633025269"</f>
        <v>7805633025269</v>
      </c>
      <c r="I613" s="3">
        <v>6</v>
      </c>
      <c r="J613" s="3">
        <v>0</v>
      </c>
      <c r="K613" s="3">
        <v>4000</v>
      </c>
    </row>
    <row r="614" spans="1:11" x14ac:dyDescent="0.2">
      <c r="A614" s="1" t="s">
        <v>4994</v>
      </c>
      <c r="B614" s="1" t="s">
        <v>793</v>
      </c>
      <c r="C614" s="1"/>
      <c r="D614" s="1"/>
      <c r="E614" s="1"/>
      <c r="F614" s="1"/>
      <c r="G614" s="1"/>
      <c r="H614" s="1" t="str">
        <f>"2030720013743"</f>
        <v>2030720013743</v>
      </c>
      <c r="I614" s="3">
        <v>2</v>
      </c>
      <c r="J614" s="3">
        <v>0</v>
      </c>
      <c r="K614" s="3">
        <v>5500</v>
      </c>
    </row>
    <row r="615" spans="1:11" x14ac:dyDescent="0.2">
      <c r="A615" s="1" t="s">
        <v>4994</v>
      </c>
      <c r="B615" s="1" t="s">
        <v>794</v>
      </c>
      <c r="C615" s="1"/>
      <c r="D615" s="1"/>
      <c r="E615" s="1"/>
      <c r="F615" s="1"/>
      <c r="G615" s="1"/>
      <c r="H615" s="1" t="str">
        <f>"2010381103816"</f>
        <v>2010381103816</v>
      </c>
      <c r="I615" s="3">
        <v>4</v>
      </c>
      <c r="J615" s="3">
        <v>0</v>
      </c>
      <c r="K615" s="3">
        <v>7000</v>
      </c>
    </row>
    <row r="616" spans="1:11" x14ac:dyDescent="0.2">
      <c r="A616" s="1" t="s">
        <v>4994</v>
      </c>
      <c r="B616" s="1" t="s">
        <v>795</v>
      </c>
      <c r="C616" s="1"/>
      <c r="D616" s="1"/>
      <c r="E616" s="1"/>
      <c r="F616" s="1"/>
      <c r="G616" s="1"/>
      <c r="H616" s="1" t="str">
        <f>"7800023226608"</f>
        <v>7800023226608</v>
      </c>
      <c r="I616" s="3">
        <v>0</v>
      </c>
      <c r="J616" s="3">
        <v>0</v>
      </c>
      <c r="K616" s="3">
        <v>7000</v>
      </c>
    </row>
    <row r="617" spans="1:11" x14ac:dyDescent="0.2">
      <c r="A617" s="1" t="s">
        <v>4994</v>
      </c>
      <c r="B617" s="1" t="s">
        <v>797</v>
      </c>
      <c r="C617" s="1"/>
      <c r="D617" s="1"/>
      <c r="E617" s="1"/>
      <c r="F617" s="1"/>
      <c r="G617" s="1"/>
      <c r="H617" s="1" t="str">
        <f>"310742006230"</f>
        <v>310742006230</v>
      </c>
      <c r="I617" s="3">
        <v>22</v>
      </c>
      <c r="J617" s="3">
        <v>0</v>
      </c>
      <c r="K617" s="3">
        <v>4000</v>
      </c>
    </row>
    <row r="618" spans="1:11" x14ac:dyDescent="0.2">
      <c r="A618" s="1" t="s">
        <v>4994</v>
      </c>
      <c r="B618" s="1" t="s">
        <v>798</v>
      </c>
      <c r="C618" s="1"/>
      <c r="D618" s="1"/>
      <c r="E618" s="1"/>
      <c r="F618" s="1"/>
      <c r="G618" s="1"/>
      <c r="H618" s="1" t="str">
        <f>"310742006247"</f>
        <v>310742006247</v>
      </c>
      <c r="I618" s="3">
        <v>80</v>
      </c>
      <c r="J618" s="3">
        <v>0</v>
      </c>
      <c r="K618" s="3">
        <v>4500</v>
      </c>
    </row>
    <row r="619" spans="1:11" x14ac:dyDescent="0.2">
      <c r="A619" s="1" t="s">
        <v>4994</v>
      </c>
      <c r="B619" s="1" t="s">
        <v>799</v>
      </c>
      <c r="C619" s="1"/>
      <c r="D619" s="1"/>
      <c r="E619" s="1"/>
      <c r="F619" s="1"/>
      <c r="G619" s="1"/>
      <c r="H619" s="1" t="str">
        <f>"310742006261"</f>
        <v>310742006261</v>
      </c>
      <c r="I619" s="3">
        <v>29</v>
      </c>
      <c r="J619" s="3">
        <v>0</v>
      </c>
      <c r="K619" s="3">
        <v>8000</v>
      </c>
    </row>
    <row r="620" spans="1:11" x14ac:dyDescent="0.2">
      <c r="A620" s="1" t="s">
        <v>4994</v>
      </c>
      <c r="B620" s="1" t="s">
        <v>801</v>
      </c>
      <c r="C620" s="1"/>
      <c r="D620" s="1"/>
      <c r="E620" s="1"/>
      <c r="F620" s="1"/>
      <c r="G620" s="1"/>
      <c r="H620" s="1" t="str">
        <f>"7800007187833"</f>
        <v>7800007187833</v>
      </c>
      <c r="I620" s="3">
        <v>10</v>
      </c>
      <c r="J620" s="3">
        <v>0</v>
      </c>
      <c r="K620" s="3">
        <v>12000</v>
      </c>
    </row>
    <row r="621" spans="1:11" x14ac:dyDescent="0.2">
      <c r="A621" s="1" t="s">
        <v>4994</v>
      </c>
      <c r="B621" s="1" t="s">
        <v>803</v>
      </c>
      <c r="C621" s="1"/>
      <c r="D621" s="1"/>
      <c r="E621" s="1"/>
      <c r="F621" s="1"/>
      <c r="G621" s="1"/>
      <c r="H621" s="1" t="str">
        <f>"7800006006678"</f>
        <v>7800006006678</v>
      </c>
      <c r="I621" s="3">
        <v>0</v>
      </c>
      <c r="J621" s="3">
        <v>0</v>
      </c>
      <c r="K621" s="3">
        <v>8000</v>
      </c>
    </row>
    <row r="622" spans="1:11" x14ac:dyDescent="0.2">
      <c r="A622" s="1" t="s">
        <v>4994</v>
      </c>
      <c r="B622" s="1" t="s">
        <v>804</v>
      </c>
      <c r="C622" s="1"/>
      <c r="D622" s="1"/>
      <c r="E622" s="1"/>
      <c r="F622" s="1"/>
      <c r="G622" s="1"/>
      <c r="H622" s="1" t="str">
        <f>"7891106000185"</f>
        <v>7891106000185</v>
      </c>
      <c r="I622" s="3">
        <v>20</v>
      </c>
      <c r="J622" s="3">
        <v>0</v>
      </c>
      <c r="K622" s="3">
        <v>3500</v>
      </c>
    </row>
    <row r="623" spans="1:11" x14ac:dyDescent="0.2">
      <c r="A623" s="1" t="s">
        <v>4994</v>
      </c>
      <c r="B623" s="1" t="s">
        <v>805</v>
      </c>
      <c r="C623" s="1"/>
      <c r="D623" s="1"/>
      <c r="E623" s="1"/>
      <c r="F623" s="1"/>
      <c r="G623" s="1"/>
      <c r="H623" s="1" t="str">
        <f>"7805750003867"</f>
        <v>7805750003867</v>
      </c>
      <c r="I623" s="3">
        <v>0</v>
      </c>
      <c r="J623" s="3">
        <v>0</v>
      </c>
      <c r="K623" s="3">
        <v>7500</v>
      </c>
    </row>
    <row r="624" spans="1:11" x14ac:dyDescent="0.2">
      <c r="A624" s="1" t="s">
        <v>4994</v>
      </c>
      <c r="B624" s="1" t="s">
        <v>807</v>
      </c>
      <c r="C624" s="1"/>
      <c r="D624" s="1"/>
      <c r="E624" s="1"/>
      <c r="F624" s="1"/>
      <c r="G624" s="1"/>
      <c r="H624" s="1" t="str">
        <f>"7800006003783"</f>
        <v>7800006003783</v>
      </c>
      <c r="I624" s="3">
        <v>3</v>
      </c>
      <c r="J624" s="3">
        <v>0</v>
      </c>
      <c r="K624" s="3">
        <v>4000</v>
      </c>
    </row>
    <row r="625" spans="1:11" x14ac:dyDescent="0.2">
      <c r="A625" s="1" t="s">
        <v>4994</v>
      </c>
      <c r="B625" s="1" t="s">
        <v>808</v>
      </c>
      <c r="C625" s="1"/>
      <c r="D625" s="1"/>
      <c r="E625" s="1"/>
      <c r="F625" s="1"/>
      <c r="G625" s="1"/>
      <c r="H625" s="1" t="str">
        <f>"7800006001598"</f>
        <v>7800006001598</v>
      </c>
      <c r="I625" s="3">
        <v>0</v>
      </c>
      <c r="J625" s="3">
        <v>0</v>
      </c>
      <c r="K625" s="3">
        <v>5000</v>
      </c>
    </row>
    <row r="626" spans="1:11" x14ac:dyDescent="0.2">
      <c r="A626" s="1" t="s">
        <v>4994</v>
      </c>
      <c r="B626" s="1" t="s">
        <v>809</v>
      </c>
      <c r="C626" s="1"/>
      <c r="D626" s="1"/>
      <c r="E626" s="1"/>
      <c r="F626" s="1"/>
      <c r="G626" s="1"/>
      <c r="H626" s="1" t="str">
        <f>"7800006004469"</f>
        <v>7800006004469</v>
      </c>
      <c r="I626" s="3">
        <v>0</v>
      </c>
      <c r="J626" s="3">
        <v>0</v>
      </c>
      <c r="K626" s="3">
        <v>7500</v>
      </c>
    </row>
    <row r="627" spans="1:11" x14ac:dyDescent="0.2">
      <c r="A627" s="1" t="s">
        <v>4994</v>
      </c>
      <c r="B627" s="1" t="s">
        <v>810</v>
      </c>
      <c r="C627" s="1"/>
      <c r="D627" s="1"/>
      <c r="E627" s="1"/>
      <c r="F627" s="1"/>
      <c r="G627" s="1"/>
      <c r="H627" s="1" t="str">
        <f>"7800006004452"</f>
        <v>7800006004452</v>
      </c>
      <c r="I627" s="3">
        <v>0</v>
      </c>
      <c r="J627" s="3">
        <v>0</v>
      </c>
      <c r="K627" s="3">
        <v>4000</v>
      </c>
    </row>
    <row r="628" spans="1:11" x14ac:dyDescent="0.2">
      <c r="A628" s="1" t="s">
        <v>4994</v>
      </c>
      <c r="B628" s="1" t="s">
        <v>811</v>
      </c>
      <c r="C628" s="1"/>
      <c r="D628" s="1"/>
      <c r="E628" s="1"/>
      <c r="F628" s="1"/>
      <c r="G628" s="1"/>
      <c r="H628" s="1" t="str">
        <f>"7800006004476"</f>
        <v>7800006004476</v>
      </c>
      <c r="I628" s="3">
        <v>0</v>
      </c>
      <c r="J628" s="3">
        <v>0</v>
      </c>
      <c r="K628" s="3">
        <v>5950</v>
      </c>
    </row>
    <row r="629" spans="1:11" x14ac:dyDescent="0.2">
      <c r="A629" s="1" t="s">
        <v>4994</v>
      </c>
      <c r="B629" s="1" t="s">
        <v>812</v>
      </c>
      <c r="C629" s="1"/>
      <c r="D629" s="1"/>
      <c r="E629" s="1"/>
      <c r="F629" s="1"/>
      <c r="G629" s="1"/>
      <c r="H629" s="1" t="str">
        <f>"7800026065099"</f>
        <v>7800026065099</v>
      </c>
      <c r="I629" s="3">
        <v>12</v>
      </c>
      <c r="J629" s="3">
        <v>0</v>
      </c>
      <c r="K629" s="3">
        <v>7500</v>
      </c>
    </row>
    <row r="630" spans="1:11" x14ac:dyDescent="0.2">
      <c r="A630" s="1" t="s">
        <v>4994</v>
      </c>
      <c r="B630" s="1" t="s">
        <v>813</v>
      </c>
      <c r="C630" s="1"/>
      <c r="D630" s="1"/>
      <c r="E630" s="1"/>
      <c r="F630" s="1"/>
      <c r="G630" s="1"/>
      <c r="H630" s="1" t="str">
        <f>"7800026065105"</f>
        <v>7800026065105</v>
      </c>
      <c r="I630" s="3">
        <v>0</v>
      </c>
      <c r="J630" s="3">
        <v>0</v>
      </c>
      <c r="K630" s="3">
        <v>9000</v>
      </c>
    </row>
    <row r="631" spans="1:11" x14ac:dyDescent="0.2">
      <c r="A631" s="1" t="s">
        <v>4994</v>
      </c>
      <c r="B631" s="1" t="s">
        <v>814</v>
      </c>
      <c r="C631" s="1"/>
      <c r="D631" s="1"/>
      <c r="E631" s="1"/>
      <c r="F631" s="1"/>
      <c r="G631" s="1"/>
      <c r="H631" s="1" t="str">
        <f>"737186551148"</f>
        <v>737186551148</v>
      </c>
      <c r="I631" s="3">
        <v>0</v>
      </c>
      <c r="J631" s="3">
        <v>0</v>
      </c>
      <c r="K631" s="3">
        <v>4000</v>
      </c>
    </row>
    <row r="632" spans="1:11" x14ac:dyDescent="0.2">
      <c r="A632" s="1" t="s">
        <v>4994</v>
      </c>
      <c r="B632" s="1" t="s">
        <v>818</v>
      </c>
      <c r="C632" s="1"/>
      <c r="D632" s="1"/>
      <c r="E632" s="1"/>
      <c r="F632" s="1"/>
      <c r="G632" s="1"/>
      <c r="H632" s="1" t="str">
        <f>"7800044000409"</f>
        <v>7800044000409</v>
      </c>
      <c r="I632" s="3">
        <v>0</v>
      </c>
      <c r="J632" s="3">
        <v>0</v>
      </c>
      <c r="K632" s="3">
        <v>600</v>
      </c>
    </row>
    <row r="633" spans="1:11" x14ac:dyDescent="0.2">
      <c r="A633" s="1" t="s">
        <v>4994</v>
      </c>
      <c r="B633" s="1" t="s">
        <v>819</v>
      </c>
      <c r="C633" s="1"/>
      <c r="D633" s="1"/>
      <c r="E633" s="1"/>
      <c r="F633" s="1"/>
      <c r="G633" s="1"/>
      <c r="H633" s="1" t="str">
        <f>"75613044476305"</f>
        <v>75613044476305</v>
      </c>
      <c r="I633" s="3">
        <v>0</v>
      </c>
      <c r="J633" s="3">
        <v>0</v>
      </c>
      <c r="K633" s="3">
        <v>500</v>
      </c>
    </row>
    <row r="634" spans="1:11" x14ac:dyDescent="0.2">
      <c r="A634" s="1" t="s">
        <v>4994</v>
      </c>
      <c r="B634" s="1" t="s">
        <v>820</v>
      </c>
      <c r="C634" s="1"/>
      <c r="D634" s="1"/>
      <c r="E634" s="1"/>
      <c r="F634" s="1"/>
      <c r="G634" s="1"/>
      <c r="H634" s="1" t="str">
        <f>"7800044000126"</f>
        <v>7800044000126</v>
      </c>
      <c r="I634" s="3">
        <v>0</v>
      </c>
      <c r="J634" s="3">
        <v>0</v>
      </c>
      <c r="K634" s="3">
        <v>0</v>
      </c>
    </row>
    <row r="635" spans="1:11" x14ac:dyDescent="0.2">
      <c r="A635" s="1" t="s">
        <v>4994</v>
      </c>
      <c r="B635" s="1" t="s">
        <v>821</v>
      </c>
      <c r="C635" s="1"/>
      <c r="D635" s="1"/>
      <c r="E635" s="1"/>
      <c r="F635" s="1"/>
      <c r="G635" s="1"/>
      <c r="H635" s="1" t="str">
        <f>"737186551643"</f>
        <v>737186551643</v>
      </c>
      <c r="I635" s="3">
        <v>10</v>
      </c>
      <c r="J635" s="3">
        <v>0</v>
      </c>
      <c r="K635" s="3">
        <v>5000</v>
      </c>
    </row>
    <row r="636" spans="1:11" x14ac:dyDescent="0.2">
      <c r="A636" s="1" t="s">
        <v>4994</v>
      </c>
      <c r="B636" s="1" t="s">
        <v>822</v>
      </c>
      <c r="C636" s="1"/>
      <c r="D636" s="1"/>
      <c r="E636" s="1"/>
      <c r="F636" s="1"/>
      <c r="G636" s="1"/>
      <c r="H636" s="1" t="str">
        <f>"2000110413958"</f>
        <v>2000110413958</v>
      </c>
      <c r="I636" s="3">
        <v>0</v>
      </c>
      <c r="J636" s="3">
        <v>0</v>
      </c>
      <c r="K636" s="3">
        <v>4000</v>
      </c>
    </row>
    <row r="637" spans="1:11" x14ac:dyDescent="0.2">
      <c r="A637" s="1" t="s">
        <v>4994</v>
      </c>
      <c r="B637" s="1" t="s">
        <v>824</v>
      </c>
      <c r="C637" s="1"/>
      <c r="D637" s="1"/>
      <c r="E637" s="1"/>
      <c r="F637" s="1"/>
      <c r="G637" s="1"/>
      <c r="H637" s="1" t="str">
        <f>"7800059002818"</f>
        <v>7800059002818</v>
      </c>
      <c r="I637" s="3">
        <v>0</v>
      </c>
      <c r="J637" s="3">
        <v>0</v>
      </c>
      <c r="K637" s="3">
        <v>12000</v>
      </c>
    </row>
    <row r="638" spans="1:11" x14ac:dyDescent="0.2">
      <c r="A638" s="1" t="s">
        <v>4994</v>
      </c>
      <c r="B638" s="1" t="s">
        <v>825</v>
      </c>
      <c r="C638" s="1"/>
      <c r="D638" s="1"/>
      <c r="E638" s="1"/>
      <c r="F638" s="1"/>
      <c r="G638" s="1"/>
      <c r="H638" s="1" t="str">
        <f>"7800059002542"</f>
        <v>7800059002542</v>
      </c>
      <c r="I638" s="3">
        <v>1</v>
      </c>
      <c r="J638" s="3">
        <v>0</v>
      </c>
      <c r="K638" s="3">
        <v>29000</v>
      </c>
    </row>
    <row r="639" spans="1:11" x14ac:dyDescent="0.2">
      <c r="A639" s="1" t="s">
        <v>4994</v>
      </c>
      <c r="B639" s="1" t="s">
        <v>826</v>
      </c>
      <c r="C639" s="1"/>
      <c r="D639" s="1"/>
      <c r="E639" s="1"/>
      <c r="F639" s="1"/>
      <c r="G639" s="1"/>
      <c r="H639" s="1" t="str">
        <f>"7800059002535"</f>
        <v>7800059002535</v>
      </c>
      <c r="I639" s="3">
        <v>5</v>
      </c>
      <c r="J639" s="3">
        <v>0</v>
      </c>
      <c r="K639" s="3">
        <v>21000</v>
      </c>
    </row>
    <row r="640" spans="1:11" x14ac:dyDescent="0.2">
      <c r="A640" s="1" t="s">
        <v>4994</v>
      </c>
      <c r="B640" s="1" t="s">
        <v>832</v>
      </c>
      <c r="C640" s="1"/>
      <c r="D640" s="1"/>
      <c r="E640" s="1"/>
      <c r="F640" s="1"/>
      <c r="G640" s="1"/>
      <c r="H640" s="1" t="str">
        <f>"8000000000101"</f>
        <v>8000000000101</v>
      </c>
      <c r="I640" s="3">
        <v>25</v>
      </c>
      <c r="J640" s="3">
        <v>0</v>
      </c>
      <c r="K640" s="3">
        <v>6500</v>
      </c>
    </row>
    <row r="641" spans="1:11" x14ac:dyDescent="0.2">
      <c r="A641" s="1" t="s">
        <v>4994</v>
      </c>
      <c r="B641" s="1" t="s">
        <v>833</v>
      </c>
      <c r="C641" s="1"/>
      <c r="D641" s="1"/>
      <c r="E641" s="1"/>
      <c r="F641" s="1"/>
      <c r="G641" s="1"/>
      <c r="H641" s="1" t="str">
        <f>"9001213011266"</f>
        <v>9001213011266</v>
      </c>
      <c r="I641" s="3">
        <v>0</v>
      </c>
      <c r="J641" s="3">
        <v>0</v>
      </c>
      <c r="K641" s="3">
        <v>5000</v>
      </c>
    </row>
    <row r="642" spans="1:11" x14ac:dyDescent="0.2">
      <c r="A642" s="1" t="s">
        <v>4994</v>
      </c>
      <c r="B642" s="1" t="s">
        <v>834</v>
      </c>
      <c r="C642" s="1"/>
      <c r="D642" s="1"/>
      <c r="E642" s="1"/>
      <c r="F642" s="1"/>
      <c r="G642" s="1"/>
      <c r="H642" s="1" t="str">
        <f>"737186233228"</f>
        <v>737186233228</v>
      </c>
      <c r="I642" s="3">
        <v>0</v>
      </c>
      <c r="J642" s="3">
        <v>0</v>
      </c>
      <c r="K642" s="3">
        <v>5000</v>
      </c>
    </row>
    <row r="643" spans="1:11" x14ac:dyDescent="0.2">
      <c r="A643" s="1" t="s">
        <v>4994</v>
      </c>
      <c r="B643" s="1" t="s">
        <v>836</v>
      </c>
      <c r="C643" s="1"/>
      <c r="D643" s="1"/>
      <c r="E643" s="1"/>
      <c r="F643" s="1"/>
      <c r="G643" s="1"/>
      <c r="H643" s="1" t="str">
        <f>"7800085000215"</f>
        <v>7800085000215</v>
      </c>
      <c r="I643" s="3">
        <v>58</v>
      </c>
      <c r="J643" s="3">
        <v>0</v>
      </c>
      <c r="K643" s="3">
        <v>7000</v>
      </c>
    </row>
    <row r="644" spans="1:11" x14ac:dyDescent="0.2">
      <c r="A644" s="1" t="s">
        <v>4994</v>
      </c>
      <c r="B644" s="1" t="s">
        <v>837</v>
      </c>
      <c r="C644" s="1"/>
      <c r="D644" s="1"/>
      <c r="E644" s="1"/>
      <c r="F644" s="1"/>
      <c r="G644" s="1"/>
      <c r="H644" s="1" t="str">
        <f>"7702031502548"</f>
        <v>7702031502548</v>
      </c>
      <c r="I644" s="3">
        <v>0</v>
      </c>
      <c r="J644" s="3">
        <v>0</v>
      </c>
      <c r="K644" s="3">
        <v>2500</v>
      </c>
    </row>
    <row r="645" spans="1:11" x14ac:dyDescent="0.2">
      <c r="A645" s="1" t="s">
        <v>4994</v>
      </c>
      <c r="B645" s="1" t="s">
        <v>838</v>
      </c>
      <c r="C645" s="1"/>
      <c r="D645" s="1"/>
      <c r="E645" s="1"/>
      <c r="F645" s="1"/>
      <c r="G645" s="1"/>
      <c r="H645" s="1" t="str">
        <f>"7804918402399"</f>
        <v>7804918402399</v>
      </c>
      <c r="I645" s="3">
        <v>0</v>
      </c>
      <c r="J645" s="3">
        <v>0</v>
      </c>
      <c r="K645" s="3">
        <v>5000</v>
      </c>
    </row>
    <row r="646" spans="1:11" x14ac:dyDescent="0.2">
      <c r="A646" s="1" t="s">
        <v>4994</v>
      </c>
      <c r="B646" s="1" t="s">
        <v>839</v>
      </c>
      <c r="C646" s="1"/>
      <c r="D646" s="1"/>
      <c r="E646" s="1"/>
      <c r="F646" s="1"/>
      <c r="G646" s="1"/>
      <c r="H646" s="1" t="str">
        <f>"7804918403037"</f>
        <v>7804918403037</v>
      </c>
      <c r="I646" s="3">
        <v>0</v>
      </c>
      <c r="J646" s="3">
        <v>0</v>
      </c>
      <c r="K646" s="3">
        <v>7000</v>
      </c>
    </row>
    <row r="647" spans="1:11" x14ac:dyDescent="0.2">
      <c r="A647" s="1" t="s">
        <v>4994</v>
      </c>
      <c r="B647" s="1" t="s">
        <v>840</v>
      </c>
      <c r="C647" s="1"/>
      <c r="D647" s="1"/>
      <c r="E647" s="1"/>
      <c r="F647" s="1"/>
      <c r="G647" s="1"/>
      <c r="H647" s="1" t="str">
        <f>"7800004508396"</f>
        <v>7800004508396</v>
      </c>
      <c r="I647" s="3">
        <v>6</v>
      </c>
      <c r="J647" s="3">
        <v>0</v>
      </c>
      <c r="K647" s="3">
        <v>8000</v>
      </c>
    </row>
    <row r="648" spans="1:11" x14ac:dyDescent="0.2">
      <c r="A648" s="1" t="s">
        <v>4994</v>
      </c>
      <c r="B648" s="1" t="s">
        <v>841</v>
      </c>
      <c r="C648" s="1"/>
      <c r="D648" s="1"/>
      <c r="E648" s="1"/>
      <c r="F648" s="1"/>
      <c r="G648" s="1"/>
      <c r="H648" s="1" t="str">
        <f>"7800004241453"</f>
        <v>7800004241453</v>
      </c>
      <c r="I648" s="3">
        <v>0</v>
      </c>
      <c r="J648" s="3">
        <v>0</v>
      </c>
      <c r="K648" s="3">
        <v>5500</v>
      </c>
    </row>
    <row r="649" spans="1:11" x14ac:dyDescent="0.2">
      <c r="A649" s="1" t="s">
        <v>4994</v>
      </c>
      <c r="B649" s="1" t="s">
        <v>842</v>
      </c>
      <c r="C649" s="1"/>
      <c r="D649" s="1"/>
      <c r="E649" s="1"/>
      <c r="F649" s="1"/>
      <c r="G649" s="1"/>
      <c r="H649" s="1" t="str">
        <f>"7800004000128"</f>
        <v>7800004000128</v>
      </c>
      <c r="I649" s="3">
        <v>0</v>
      </c>
      <c r="J649" s="3">
        <v>0</v>
      </c>
      <c r="K649" s="3">
        <v>9000</v>
      </c>
    </row>
    <row r="650" spans="1:11" x14ac:dyDescent="0.2">
      <c r="A650" s="1" t="s">
        <v>4994</v>
      </c>
      <c r="B650" s="1" t="s">
        <v>843</v>
      </c>
      <c r="C650" s="1"/>
      <c r="D650" s="1"/>
      <c r="E650" s="1"/>
      <c r="F650" s="1"/>
      <c r="G650" s="1"/>
      <c r="H650" s="1" t="str">
        <f>"7800004000111"</f>
        <v>7800004000111</v>
      </c>
      <c r="I650" s="3">
        <v>0</v>
      </c>
      <c r="J650" s="3">
        <v>0</v>
      </c>
      <c r="K650" s="3">
        <v>5500</v>
      </c>
    </row>
    <row r="651" spans="1:11" x14ac:dyDescent="0.2">
      <c r="A651" s="1" t="s">
        <v>4994</v>
      </c>
      <c r="B651" s="1" t="s">
        <v>844</v>
      </c>
      <c r="C651" s="1"/>
      <c r="D651" s="1"/>
      <c r="E651" s="1"/>
      <c r="F651" s="1"/>
      <c r="G651" s="1"/>
      <c r="H651" s="1" t="str">
        <f>"7800004507412"</f>
        <v>7800004507412</v>
      </c>
      <c r="I651" s="3">
        <v>0</v>
      </c>
      <c r="J651" s="3">
        <v>0</v>
      </c>
      <c r="K651" s="3">
        <v>6000</v>
      </c>
    </row>
    <row r="652" spans="1:11" x14ac:dyDescent="0.2">
      <c r="A652" s="1" t="s">
        <v>4994</v>
      </c>
      <c r="B652" s="1" t="s">
        <v>845</v>
      </c>
      <c r="C652" s="1"/>
      <c r="D652" s="1"/>
      <c r="E652" s="1"/>
      <c r="F652" s="1"/>
      <c r="G652" s="1"/>
      <c r="H652" s="1" t="str">
        <f>"7804640560664"</f>
        <v>7804640560664</v>
      </c>
      <c r="I652" s="3">
        <v>0</v>
      </c>
      <c r="J652" s="3">
        <v>0</v>
      </c>
      <c r="K652" s="3">
        <v>2000</v>
      </c>
    </row>
    <row r="653" spans="1:11" x14ac:dyDescent="0.2">
      <c r="A653" s="1" t="s">
        <v>4994</v>
      </c>
      <c r="B653" s="1" t="s">
        <v>847</v>
      </c>
      <c r="C653" s="1"/>
      <c r="D653" s="1"/>
      <c r="E653" s="1"/>
      <c r="F653" s="1"/>
      <c r="G653" s="1"/>
      <c r="H653" s="1" t="str">
        <f>"2000120414044"</f>
        <v>2000120414044</v>
      </c>
      <c r="I653" s="3">
        <v>0</v>
      </c>
      <c r="J653" s="3">
        <v>0</v>
      </c>
      <c r="K653" s="3">
        <v>4000</v>
      </c>
    </row>
    <row r="654" spans="1:11" x14ac:dyDescent="0.2">
      <c r="A654" s="1" t="s">
        <v>4994</v>
      </c>
      <c r="B654" s="1" t="s">
        <v>849</v>
      </c>
      <c r="C654" s="1"/>
      <c r="D654" s="1"/>
      <c r="E654" s="1"/>
      <c r="F654" s="1"/>
      <c r="G654" s="1"/>
      <c r="H654" s="1" t="str">
        <f>"7800007803221"</f>
        <v>7800007803221</v>
      </c>
      <c r="I654" s="3">
        <v>0</v>
      </c>
      <c r="J654" s="3">
        <v>0</v>
      </c>
      <c r="K654" s="3">
        <v>10000</v>
      </c>
    </row>
    <row r="655" spans="1:11" x14ac:dyDescent="0.2">
      <c r="A655" s="1" t="s">
        <v>4994</v>
      </c>
      <c r="B655" s="1" t="s">
        <v>850</v>
      </c>
      <c r="C655" s="1"/>
      <c r="D655" s="1"/>
      <c r="E655" s="1"/>
      <c r="F655" s="1"/>
      <c r="G655" s="1"/>
      <c r="H655" s="1" t="str">
        <f>"7800007803214"</f>
        <v>7800007803214</v>
      </c>
      <c r="I655" s="3">
        <v>0</v>
      </c>
      <c r="J655" s="3">
        <v>0</v>
      </c>
      <c r="K655" s="3">
        <v>8000</v>
      </c>
    </row>
    <row r="656" spans="1:11" x14ac:dyDescent="0.2">
      <c r="A656" s="1" t="s">
        <v>4994</v>
      </c>
      <c r="B656" s="1" t="s">
        <v>861</v>
      </c>
      <c r="C656" s="1"/>
      <c r="D656" s="1"/>
      <c r="E656" s="1"/>
      <c r="F656" s="1"/>
      <c r="G656" s="1"/>
      <c r="H656" s="1" t="str">
        <f>"7800008000902"</f>
        <v>7800008000902</v>
      </c>
      <c r="I656" s="3">
        <v>0</v>
      </c>
      <c r="J656" s="3">
        <v>0</v>
      </c>
      <c r="K656" s="3">
        <v>16000</v>
      </c>
    </row>
    <row r="657" spans="1:11" x14ac:dyDescent="0.2">
      <c r="A657" s="1" t="s">
        <v>4994</v>
      </c>
      <c r="B657" s="1" t="s">
        <v>862</v>
      </c>
      <c r="C657" s="1"/>
      <c r="D657" s="1"/>
      <c r="E657" s="1"/>
      <c r="F657" s="1"/>
      <c r="G657" s="1"/>
      <c r="H657" s="1" t="str">
        <f>"7804640561319"</f>
        <v>7804640561319</v>
      </c>
      <c r="I657" s="3">
        <v>0</v>
      </c>
      <c r="J657" s="3">
        <v>0</v>
      </c>
      <c r="K657" s="3">
        <v>7000</v>
      </c>
    </row>
    <row r="658" spans="1:11" x14ac:dyDescent="0.2">
      <c r="A658" s="1" t="s">
        <v>4994</v>
      </c>
      <c r="B658" s="1" t="s">
        <v>863</v>
      </c>
      <c r="C658" s="1"/>
      <c r="D658" s="1"/>
      <c r="E658" s="1"/>
      <c r="F658" s="1"/>
      <c r="G658" s="1"/>
      <c r="H658" s="1" t="str">
        <f>"7795373012912"</f>
        <v>7795373012912</v>
      </c>
      <c r="I658" s="3">
        <v>16</v>
      </c>
      <c r="J658" s="3">
        <v>0</v>
      </c>
      <c r="K658" s="3">
        <v>15000</v>
      </c>
    </row>
    <row r="659" spans="1:11" x14ac:dyDescent="0.2">
      <c r="A659" s="1" t="s">
        <v>4994</v>
      </c>
      <c r="B659" s="1" t="s">
        <v>864</v>
      </c>
      <c r="C659" s="1"/>
      <c r="D659" s="1"/>
      <c r="E659" s="1"/>
      <c r="F659" s="1"/>
      <c r="G659" s="1"/>
      <c r="H659" s="1" t="str">
        <f>"7800004004300"</f>
        <v>7800004004300</v>
      </c>
      <c r="I659" s="3">
        <v>0</v>
      </c>
      <c r="J659" s="3">
        <v>0</v>
      </c>
      <c r="K659" s="3">
        <v>1500</v>
      </c>
    </row>
    <row r="660" spans="1:11" x14ac:dyDescent="0.2">
      <c r="A660" s="1" t="s">
        <v>4994</v>
      </c>
      <c r="B660" s="1" t="s">
        <v>867</v>
      </c>
      <c r="C660" s="1"/>
      <c r="D660" s="1"/>
      <c r="E660" s="1"/>
      <c r="F660" s="1"/>
      <c r="G660" s="1"/>
      <c r="H660" s="1" t="str">
        <f>"7896014184552"</f>
        <v>7896014184552</v>
      </c>
      <c r="I660" s="3">
        <v>0</v>
      </c>
      <c r="J660" s="3">
        <v>0</v>
      </c>
      <c r="K660" s="3">
        <v>4000</v>
      </c>
    </row>
    <row r="661" spans="1:11" x14ac:dyDescent="0.2">
      <c r="A661" s="1" t="s">
        <v>4994</v>
      </c>
      <c r="B661" s="1" t="s">
        <v>868</v>
      </c>
      <c r="C661" s="1"/>
      <c r="D661" s="1"/>
      <c r="E661" s="1"/>
      <c r="F661" s="1"/>
      <c r="G661" s="1"/>
      <c r="H661" s="1" t="str">
        <f>"7899706135887"</f>
        <v>7899706135887</v>
      </c>
      <c r="I661" s="3">
        <v>0</v>
      </c>
      <c r="J661" s="3">
        <v>0</v>
      </c>
      <c r="K661" s="3">
        <v>4800</v>
      </c>
    </row>
    <row r="662" spans="1:11" x14ac:dyDescent="0.2">
      <c r="A662" s="1" t="s">
        <v>4994</v>
      </c>
      <c r="B662" s="1" t="s">
        <v>869</v>
      </c>
      <c r="C662" s="1"/>
      <c r="D662" s="1"/>
      <c r="E662" s="1"/>
      <c r="F662" s="1"/>
      <c r="G662" s="1"/>
      <c r="H662" s="1" t="str">
        <f>"7805100003387"</f>
        <v>7805100003387</v>
      </c>
      <c r="I662" s="3">
        <v>0</v>
      </c>
      <c r="J662" s="3">
        <v>0</v>
      </c>
      <c r="K662" s="3">
        <v>1000</v>
      </c>
    </row>
    <row r="663" spans="1:11" x14ac:dyDescent="0.2">
      <c r="A663" s="1" t="s">
        <v>4994</v>
      </c>
      <c r="B663" s="1" t="s">
        <v>870</v>
      </c>
      <c r="C663" s="1"/>
      <c r="D663" s="1"/>
      <c r="E663" s="1"/>
      <c r="F663" s="1"/>
      <c r="G663" s="1"/>
      <c r="H663" s="1" t="str">
        <f>"76056605937428"</f>
        <v>76056605937428</v>
      </c>
      <c r="I663" s="3">
        <v>0</v>
      </c>
      <c r="J663" s="3">
        <v>0</v>
      </c>
      <c r="K663" s="3">
        <v>1000</v>
      </c>
    </row>
    <row r="664" spans="1:11" x14ac:dyDescent="0.2">
      <c r="A664" s="1" t="s">
        <v>4994</v>
      </c>
      <c r="B664" s="1" t="s">
        <v>871</v>
      </c>
      <c r="C664" s="1"/>
      <c r="D664" s="1"/>
      <c r="E664" s="1"/>
      <c r="F664" s="1"/>
      <c r="G664" s="1"/>
      <c r="H664" s="1" t="str">
        <f>"7898909175416"</f>
        <v>7898909175416</v>
      </c>
      <c r="I664" s="3">
        <v>0</v>
      </c>
      <c r="J664" s="3">
        <v>0</v>
      </c>
      <c r="K664" s="3">
        <v>1000</v>
      </c>
    </row>
    <row r="665" spans="1:11" x14ac:dyDescent="0.2">
      <c r="A665" s="1" t="s">
        <v>4994</v>
      </c>
      <c r="B665" s="1" t="s">
        <v>872</v>
      </c>
      <c r="C665" s="1"/>
      <c r="D665" s="1"/>
      <c r="E665" s="1"/>
      <c r="F665" s="1"/>
      <c r="G665" s="1"/>
      <c r="H665" s="1" t="str">
        <f>"CATETRE"</f>
        <v>CATETRE</v>
      </c>
      <c r="I665" s="3">
        <v>0</v>
      </c>
      <c r="J665" s="3">
        <v>0</v>
      </c>
      <c r="K665" s="3">
        <v>1000</v>
      </c>
    </row>
    <row r="666" spans="1:11" x14ac:dyDescent="0.2">
      <c r="A666" s="1" t="s">
        <v>4994</v>
      </c>
      <c r="B666" s="1" t="s">
        <v>873</v>
      </c>
      <c r="C666" s="1"/>
      <c r="D666" s="1"/>
      <c r="E666" s="1"/>
      <c r="F666" s="1"/>
      <c r="G666" s="1"/>
      <c r="H666" s="1" t="str">
        <f>"7806130012011"</f>
        <v>7806130012011</v>
      </c>
      <c r="I666" s="3">
        <v>0</v>
      </c>
      <c r="J666" s="3">
        <v>0</v>
      </c>
      <c r="K666" s="3">
        <v>1000</v>
      </c>
    </row>
    <row r="667" spans="1:11" x14ac:dyDescent="0.2">
      <c r="A667" s="1" t="s">
        <v>4994</v>
      </c>
      <c r="B667" s="1" t="s">
        <v>874</v>
      </c>
      <c r="C667" s="1"/>
      <c r="D667" s="1"/>
      <c r="E667" s="1"/>
      <c r="F667" s="1"/>
      <c r="G667" s="1"/>
      <c r="H667" s="1" t="str">
        <f>"7806130012004"</f>
        <v>7806130012004</v>
      </c>
      <c r="I667" s="3">
        <v>0</v>
      </c>
      <c r="J667" s="3">
        <v>0</v>
      </c>
      <c r="K667" s="3">
        <v>1000</v>
      </c>
    </row>
    <row r="668" spans="1:11" x14ac:dyDescent="0.2">
      <c r="A668" s="1" t="s">
        <v>4994</v>
      </c>
      <c r="B668" s="1" t="s">
        <v>875</v>
      </c>
      <c r="C668" s="1"/>
      <c r="D668" s="1"/>
      <c r="E668" s="1"/>
      <c r="F668" s="1"/>
      <c r="G668" s="1"/>
      <c r="H668" s="1" t="str">
        <f>"100382903883172"</f>
        <v>100382903883172</v>
      </c>
      <c r="I668" s="3">
        <v>0</v>
      </c>
      <c r="J668" s="3">
        <v>0</v>
      </c>
      <c r="K668" s="3">
        <v>1000</v>
      </c>
    </row>
    <row r="669" spans="1:11" x14ac:dyDescent="0.2">
      <c r="A669" s="1" t="s">
        <v>4994</v>
      </c>
      <c r="B669" s="1" t="s">
        <v>876</v>
      </c>
      <c r="C669" s="1"/>
      <c r="D669" s="1"/>
      <c r="E669" s="1"/>
      <c r="F669" s="1"/>
      <c r="G669" s="1"/>
      <c r="H669" s="1" t="str">
        <f>"7805100003431"</f>
        <v>7805100003431</v>
      </c>
      <c r="I669" s="3">
        <v>0</v>
      </c>
      <c r="J669" s="3">
        <v>0</v>
      </c>
      <c r="K669" s="3">
        <v>1000</v>
      </c>
    </row>
    <row r="670" spans="1:11" x14ac:dyDescent="0.2">
      <c r="A670" s="1" t="s">
        <v>4994</v>
      </c>
      <c r="B670" s="1" t="s">
        <v>877</v>
      </c>
      <c r="C670" s="1"/>
      <c r="D670" s="1"/>
      <c r="E670" s="1"/>
      <c r="F670" s="1"/>
      <c r="G670" s="1"/>
      <c r="H670" s="1" t="str">
        <f>"8470006826171"</f>
        <v>8470006826171</v>
      </c>
      <c r="I670" s="3">
        <v>1</v>
      </c>
      <c r="J670" s="3">
        <v>0</v>
      </c>
      <c r="K670" s="3">
        <v>19000</v>
      </c>
    </row>
    <row r="671" spans="1:11" x14ac:dyDescent="0.2">
      <c r="A671" s="1" t="s">
        <v>4994</v>
      </c>
      <c r="B671" s="1" t="s">
        <v>878</v>
      </c>
      <c r="C671" s="1"/>
      <c r="D671" s="1"/>
      <c r="E671" s="1"/>
      <c r="F671" s="1"/>
      <c r="G671" s="1"/>
      <c r="H671" s="1" t="str">
        <f>"76062954055979"</f>
        <v>76062954055979</v>
      </c>
      <c r="I671" s="3">
        <v>0</v>
      </c>
      <c r="J671" s="3">
        <v>0</v>
      </c>
      <c r="K671" s="3">
        <v>14000</v>
      </c>
    </row>
    <row r="672" spans="1:11" x14ac:dyDescent="0.2">
      <c r="A672" s="1" t="s">
        <v>4994</v>
      </c>
      <c r="B672" s="1" t="s">
        <v>879</v>
      </c>
      <c r="C672" s="1"/>
      <c r="D672" s="1"/>
      <c r="E672" s="1"/>
      <c r="F672" s="1"/>
      <c r="G672" s="1"/>
      <c r="H672" s="1" t="str">
        <f>"7702418001510"</f>
        <v>7702418001510</v>
      </c>
      <c r="I672" s="3">
        <v>0</v>
      </c>
      <c r="J672" s="3">
        <v>0</v>
      </c>
      <c r="K672" s="3">
        <v>8000</v>
      </c>
    </row>
    <row r="673" spans="1:11" x14ac:dyDescent="0.2">
      <c r="A673" s="1" t="s">
        <v>4994</v>
      </c>
      <c r="B673" s="1" t="s">
        <v>881</v>
      </c>
      <c r="C673" s="1"/>
      <c r="D673" s="1"/>
      <c r="E673" s="1"/>
      <c r="F673" s="1"/>
      <c r="G673" s="1"/>
      <c r="H673" s="1" t="str">
        <f>"7800018129228"</f>
        <v>7800018129228</v>
      </c>
      <c r="I673" s="3">
        <v>0</v>
      </c>
      <c r="J673" s="3">
        <v>0</v>
      </c>
      <c r="K673" s="3">
        <v>2000</v>
      </c>
    </row>
    <row r="674" spans="1:11" x14ac:dyDescent="0.2">
      <c r="A674" s="1" t="s">
        <v>4994</v>
      </c>
      <c r="B674" s="1" t="s">
        <v>886</v>
      </c>
      <c r="C674" s="1"/>
      <c r="D674" s="1"/>
      <c r="E674" s="1"/>
      <c r="F674" s="1"/>
      <c r="G674" s="1"/>
      <c r="H674" s="1" t="str">
        <f>"7800028001996"</f>
        <v>7800028001996</v>
      </c>
      <c r="I674" s="3">
        <v>0</v>
      </c>
      <c r="J674" s="3">
        <v>0</v>
      </c>
      <c r="K674" s="3">
        <v>22000</v>
      </c>
    </row>
    <row r="675" spans="1:11" x14ac:dyDescent="0.2">
      <c r="A675" s="1" t="s">
        <v>4994</v>
      </c>
      <c r="B675" s="1" t="s">
        <v>887</v>
      </c>
      <c r="C675" s="1"/>
      <c r="D675" s="1"/>
      <c r="E675" s="1"/>
      <c r="F675" s="1"/>
      <c r="G675" s="1"/>
      <c r="H675" s="1" t="str">
        <f>"7800060118270"</f>
        <v>7800060118270</v>
      </c>
      <c r="I675" s="3">
        <v>0</v>
      </c>
      <c r="J675" s="3">
        <v>0</v>
      </c>
      <c r="K675" s="3">
        <v>27000</v>
      </c>
    </row>
    <row r="676" spans="1:11" x14ac:dyDescent="0.2">
      <c r="A676" s="1" t="s">
        <v>4994</v>
      </c>
      <c r="B676" s="1" t="s">
        <v>888</v>
      </c>
      <c r="C676" s="1"/>
      <c r="D676" s="1"/>
      <c r="E676" s="1"/>
      <c r="F676" s="1"/>
      <c r="G676" s="1"/>
      <c r="H676" s="1" t="str">
        <f>"7800060118355"</f>
        <v>7800060118355</v>
      </c>
      <c r="I676" s="3">
        <v>2</v>
      </c>
      <c r="J676" s="3">
        <v>0</v>
      </c>
      <c r="K676" s="3">
        <v>26000</v>
      </c>
    </row>
    <row r="677" spans="1:11" x14ac:dyDescent="0.2">
      <c r="A677" s="1" t="s">
        <v>4994</v>
      </c>
      <c r="B677" s="1" t="s">
        <v>889</v>
      </c>
      <c r="C677" s="1"/>
      <c r="D677" s="1"/>
      <c r="E677" s="1"/>
      <c r="F677" s="1"/>
      <c r="G677" s="1"/>
      <c r="H677" s="1" t="str">
        <f>"7800063120102"</f>
        <v>7800063120102</v>
      </c>
      <c r="I677" s="3">
        <v>0</v>
      </c>
      <c r="J677" s="3">
        <v>0</v>
      </c>
      <c r="K677" s="3">
        <v>1500</v>
      </c>
    </row>
    <row r="678" spans="1:11" x14ac:dyDescent="0.2">
      <c r="A678" s="1" t="s">
        <v>4994</v>
      </c>
      <c r="B678" s="1" t="s">
        <v>890</v>
      </c>
      <c r="C678" s="1"/>
      <c r="D678" s="1"/>
      <c r="E678" s="1"/>
      <c r="F678" s="1"/>
      <c r="G678" s="1"/>
      <c r="H678" s="1" t="str">
        <f>"7800001004563"</f>
        <v>7800001004563</v>
      </c>
      <c r="I678" s="3">
        <v>1</v>
      </c>
      <c r="J678" s="3">
        <v>0</v>
      </c>
      <c r="K678" s="3">
        <v>25000</v>
      </c>
    </row>
    <row r="679" spans="1:11" x14ac:dyDescent="0.2">
      <c r="A679" s="1" t="s">
        <v>4994</v>
      </c>
      <c r="B679" s="1" t="s">
        <v>893</v>
      </c>
      <c r="C679" s="1"/>
      <c r="D679" s="1"/>
      <c r="E679" s="1"/>
      <c r="F679" s="1"/>
      <c r="G679" s="1"/>
      <c r="H679" s="1" t="str">
        <f>"7804900000770"</f>
        <v>7804900000770</v>
      </c>
      <c r="I679" s="3">
        <v>0</v>
      </c>
      <c r="J679" s="3">
        <v>0</v>
      </c>
      <c r="K679" s="3">
        <v>7000</v>
      </c>
    </row>
    <row r="680" spans="1:11" x14ac:dyDescent="0.2">
      <c r="A680" s="1" t="s">
        <v>4994</v>
      </c>
      <c r="B680" s="1" t="s">
        <v>894</v>
      </c>
      <c r="C680" s="1"/>
      <c r="D680" s="1"/>
      <c r="E680" s="1"/>
      <c r="F680" s="1"/>
      <c r="G680" s="1"/>
      <c r="H680" s="1" t="str">
        <f>"7896090611751"</f>
        <v>7896090611751</v>
      </c>
      <c r="I680" s="3">
        <v>11</v>
      </c>
      <c r="J680" s="3">
        <v>0</v>
      </c>
      <c r="K680" s="3">
        <v>10000</v>
      </c>
    </row>
    <row r="681" spans="1:11" x14ac:dyDescent="0.2">
      <c r="A681" s="1" t="s">
        <v>4994</v>
      </c>
      <c r="B681" s="1" t="s">
        <v>895</v>
      </c>
      <c r="C681" s="1"/>
      <c r="D681" s="1"/>
      <c r="E681" s="1"/>
      <c r="F681" s="1"/>
      <c r="G681" s="1"/>
      <c r="H681" s="1" t="str">
        <f>"7804900000794"</f>
        <v>7804900000794</v>
      </c>
      <c r="I681" s="3">
        <v>3</v>
      </c>
      <c r="J681" s="3">
        <v>0</v>
      </c>
      <c r="K681" s="3">
        <v>9000</v>
      </c>
    </row>
    <row r="682" spans="1:11" x14ac:dyDescent="0.2">
      <c r="A682" s="1" t="s">
        <v>4994</v>
      </c>
      <c r="B682" s="1" t="s">
        <v>896</v>
      </c>
      <c r="C682" s="1"/>
      <c r="D682" s="1"/>
      <c r="E682" s="1"/>
      <c r="F682" s="1"/>
      <c r="G682" s="1"/>
      <c r="H682" s="1" t="str">
        <f>"7804900000763"</f>
        <v>7804900000763</v>
      </c>
      <c r="I682" s="3">
        <v>0</v>
      </c>
      <c r="J682" s="3">
        <v>0</v>
      </c>
      <c r="K682" s="3">
        <v>8000</v>
      </c>
    </row>
    <row r="683" spans="1:11" x14ac:dyDescent="0.2">
      <c r="A683" s="1" t="s">
        <v>4994</v>
      </c>
      <c r="B683" s="1" t="s">
        <v>897</v>
      </c>
      <c r="C683" s="1"/>
      <c r="D683" s="1"/>
      <c r="E683" s="1"/>
      <c r="F683" s="1"/>
      <c r="G683" s="1"/>
      <c r="H683" s="1" t="str">
        <f>"7804900000817"</f>
        <v>7804900000817</v>
      </c>
      <c r="I683" s="3">
        <v>0</v>
      </c>
      <c r="J683" s="3">
        <v>0</v>
      </c>
      <c r="K683" s="3">
        <v>8500</v>
      </c>
    </row>
    <row r="684" spans="1:11" x14ac:dyDescent="0.2">
      <c r="A684" s="1" t="s">
        <v>4994</v>
      </c>
      <c r="B684" s="1" t="s">
        <v>898</v>
      </c>
      <c r="C684" s="1"/>
      <c r="D684" s="1"/>
      <c r="E684" s="1"/>
      <c r="F684" s="1"/>
      <c r="G684" s="1"/>
      <c r="H684" s="1" t="str">
        <f>"7804900000855"</f>
        <v>7804900000855</v>
      </c>
      <c r="I684" s="3">
        <v>1</v>
      </c>
      <c r="J684" s="3">
        <v>0</v>
      </c>
      <c r="K684" s="3">
        <v>24000</v>
      </c>
    </row>
    <row r="685" spans="1:11" x14ac:dyDescent="0.2">
      <c r="A685" s="1" t="s">
        <v>4994</v>
      </c>
      <c r="B685" s="1" t="s">
        <v>899</v>
      </c>
      <c r="C685" s="1"/>
      <c r="D685" s="1"/>
      <c r="E685" s="1"/>
      <c r="F685" s="1"/>
      <c r="G685" s="1"/>
      <c r="H685" s="1" t="str">
        <f>"7896090611768"</f>
        <v>7896090611768</v>
      </c>
      <c r="I685" s="3">
        <v>1</v>
      </c>
      <c r="J685" s="3">
        <v>0</v>
      </c>
      <c r="K685" s="3">
        <v>12000</v>
      </c>
    </row>
    <row r="686" spans="1:11" x14ac:dyDescent="0.2">
      <c r="A686" s="1" t="s">
        <v>4994</v>
      </c>
      <c r="B686" s="1" t="s">
        <v>900</v>
      </c>
      <c r="C686" s="1"/>
      <c r="D686" s="1"/>
      <c r="E686" s="1"/>
      <c r="F686" s="1"/>
      <c r="G686" s="1"/>
      <c r="H686" s="1" t="str">
        <f>"7804900000831"</f>
        <v>7804900000831</v>
      </c>
      <c r="I686" s="3">
        <v>0</v>
      </c>
      <c r="J686" s="3">
        <v>0</v>
      </c>
      <c r="K686" s="3">
        <v>12000</v>
      </c>
    </row>
    <row r="687" spans="1:11" x14ac:dyDescent="0.2">
      <c r="A687" s="1" t="s">
        <v>4994</v>
      </c>
      <c r="B687" s="1" t="s">
        <v>901</v>
      </c>
      <c r="C687" s="1"/>
      <c r="D687" s="1"/>
      <c r="E687" s="1"/>
      <c r="F687" s="1"/>
      <c r="G687" s="1"/>
      <c r="H687" s="1" t="str">
        <f>"7804969800373"</f>
        <v>7804969800373</v>
      </c>
      <c r="I687" s="3">
        <v>0</v>
      </c>
      <c r="J687" s="3">
        <v>0</v>
      </c>
      <c r="K687" s="3">
        <v>8500</v>
      </c>
    </row>
    <row r="688" spans="1:11" x14ac:dyDescent="0.2">
      <c r="A688" s="1" t="s">
        <v>4994</v>
      </c>
      <c r="B688" s="1" t="s">
        <v>902</v>
      </c>
      <c r="C688" s="1"/>
      <c r="D688" s="1"/>
      <c r="E688" s="1"/>
      <c r="F688" s="1"/>
      <c r="G688" s="1"/>
      <c r="H688" s="1" t="str">
        <f>"7804969800434"</f>
        <v>7804969800434</v>
      </c>
      <c r="I688" s="3">
        <v>0</v>
      </c>
      <c r="J688" s="3">
        <v>0</v>
      </c>
      <c r="K688" s="3">
        <v>6500</v>
      </c>
    </row>
    <row r="689" spans="1:11" x14ac:dyDescent="0.2">
      <c r="A689" s="1" t="s">
        <v>4994</v>
      </c>
      <c r="B689" s="1" t="s">
        <v>903</v>
      </c>
      <c r="C689" s="1"/>
      <c r="D689" s="1"/>
      <c r="E689" s="1"/>
      <c r="F689" s="1"/>
      <c r="G689" s="1"/>
      <c r="H689" s="1" t="str">
        <f>"8424559085165"</f>
        <v>8424559085165</v>
      </c>
      <c r="I689" s="3">
        <v>0</v>
      </c>
      <c r="J689" s="3">
        <v>0</v>
      </c>
      <c r="K689" s="3">
        <v>2000</v>
      </c>
    </row>
    <row r="690" spans="1:11" x14ac:dyDescent="0.2">
      <c r="A690" s="1" t="s">
        <v>4994</v>
      </c>
      <c r="B690" s="1" t="s">
        <v>904</v>
      </c>
      <c r="C690" s="1"/>
      <c r="D690" s="1"/>
      <c r="E690" s="1"/>
      <c r="F690" s="1"/>
      <c r="G690" s="1"/>
      <c r="H690" s="1" t="str">
        <f>"8424559085141"</f>
        <v>8424559085141</v>
      </c>
      <c r="I690" s="3">
        <v>0</v>
      </c>
      <c r="J690" s="3">
        <v>0</v>
      </c>
      <c r="K690" s="3">
        <v>2000</v>
      </c>
    </row>
    <row r="691" spans="1:11" x14ac:dyDescent="0.2">
      <c r="A691" s="1" t="s">
        <v>4994</v>
      </c>
      <c r="B691" s="1" t="s">
        <v>905</v>
      </c>
      <c r="C691" s="1"/>
      <c r="D691" s="1"/>
      <c r="E691" s="1"/>
      <c r="F691" s="1"/>
      <c r="G691" s="1"/>
      <c r="H691" s="1" t="str">
        <f>"8424559085110"</f>
        <v>8424559085110</v>
      </c>
      <c r="I691" s="3">
        <v>0</v>
      </c>
      <c r="J691" s="3">
        <v>0</v>
      </c>
      <c r="K691" s="3">
        <v>2500</v>
      </c>
    </row>
    <row r="692" spans="1:11" x14ac:dyDescent="0.2">
      <c r="A692" s="1" t="s">
        <v>4994</v>
      </c>
      <c r="B692" s="1" t="s">
        <v>906</v>
      </c>
      <c r="C692" s="1"/>
      <c r="D692" s="1"/>
      <c r="E692" s="1"/>
      <c r="F692" s="1"/>
      <c r="G692" s="1"/>
      <c r="H692" s="1" t="str">
        <f>"7612412910094"</f>
        <v>7612412910094</v>
      </c>
      <c r="I692" s="3">
        <v>0</v>
      </c>
      <c r="J692" s="3">
        <v>0</v>
      </c>
      <c r="K692" s="3">
        <v>4500</v>
      </c>
    </row>
    <row r="693" spans="1:11" x14ac:dyDescent="0.2">
      <c r="A693" s="1" t="s">
        <v>4994</v>
      </c>
      <c r="B693" s="1" t="s">
        <v>907</v>
      </c>
      <c r="C693" s="1"/>
      <c r="D693" s="1"/>
      <c r="E693" s="1"/>
      <c r="F693" s="1"/>
      <c r="G693" s="1"/>
      <c r="H693" s="1" t="str">
        <f>"7612412423174"</f>
        <v>7612412423174</v>
      </c>
      <c r="I693" s="3">
        <v>7</v>
      </c>
      <c r="J693" s="3">
        <v>0</v>
      </c>
      <c r="K693" s="3">
        <v>5500</v>
      </c>
    </row>
    <row r="694" spans="1:11" x14ac:dyDescent="0.2">
      <c r="A694" s="1" t="s">
        <v>4994</v>
      </c>
      <c r="B694" s="1" t="s">
        <v>908</v>
      </c>
      <c r="C694" s="1"/>
      <c r="D694" s="1"/>
      <c r="E694" s="1"/>
      <c r="F694" s="1"/>
      <c r="G694" s="1"/>
      <c r="H694" s="1" t="str">
        <f>"7503030215879"</f>
        <v>7503030215879</v>
      </c>
      <c r="I694" s="3">
        <v>0</v>
      </c>
      <c r="J694" s="3">
        <v>0</v>
      </c>
      <c r="K694" s="3">
        <v>2500</v>
      </c>
    </row>
    <row r="695" spans="1:11" x14ac:dyDescent="0.2">
      <c r="A695" s="1" t="s">
        <v>4994</v>
      </c>
      <c r="B695" s="1" t="s">
        <v>909</v>
      </c>
      <c r="C695" s="1"/>
      <c r="D695" s="1"/>
      <c r="E695" s="1"/>
      <c r="F695" s="1"/>
      <c r="G695" s="1"/>
      <c r="H695" s="1" t="str">
        <f>"7503036426705"</f>
        <v>7503036426705</v>
      </c>
      <c r="I695" s="3">
        <v>0</v>
      </c>
      <c r="J695" s="3">
        <v>0</v>
      </c>
      <c r="K695" s="3">
        <v>3500</v>
      </c>
    </row>
    <row r="696" spans="1:11" x14ac:dyDescent="0.2">
      <c r="A696" s="1" t="s">
        <v>4994</v>
      </c>
      <c r="B696" s="1" t="s">
        <v>910</v>
      </c>
      <c r="C696" s="1"/>
      <c r="D696" s="1"/>
      <c r="E696" s="1"/>
      <c r="F696" s="1"/>
      <c r="G696" s="1"/>
      <c r="H696" s="1" t="str">
        <f>"4210201334774"</f>
        <v>4210201334774</v>
      </c>
      <c r="I696" s="3">
        <v>2</v>
      </c>
      <c r="J696" s="3">
        <v>0</v>
      </c>
      <c r="K696" s="3">
        <v>18000</v>
      </c>
    </row>
    <row r="697" spans="1:11" x14ac:dyDescent="0.2">
      <c r="A697" s="1" t="s">
        <v>4994</v>
      </c>
      <c r="B697" s="1" t="s">
        <v>911</v>
      </c>
      <c r="C697" s="1"/>
      <c r="D697" s="1"/>
      <c r="E697" s="1"/>
      <c r="F697" s="1"/>
      <c r="G697" s="1"/>
      <c r="H697" s="1" t="str">
        <f>"7503036426217"</f>
        <v>7503036426217</v>
      </c>
      <c r="I697" s="3">
        <v>0</v>
      </c>
      <c r="J697" s="3">
        <v>0</v>
      </c>
      <c r="K697" s="3">
        <v>3500</v>
      </c>
    </row>
    <row r="698" spans="1:11" x14ac:dyDescent="0.2">
      <c r="A698" s="1" t="s">
        <v>4994</v>
      </c>
      <c r="B698" s="1" t="s">
        <v>912</v>
      </c>
      <c r="C698" s="1"/>
      <c r="D698" s="1"/>
      <c r="E698" s="1"/>
      <c r="F698" s="1"/>
      <c r="G698" s="1"/>
      <c r="H698" s="1" t="str">
        <f>"7503036426422"</f>
        <v>7503036426422</v>
      </c>
      <c r="I698" s="3">
        <v>0</v>
      </c>
      <c r="J698" s="3">
        <v>0</v>
      </c>
      <c r="K698" s="3">
        <v>2500</v>
      </c>
    </row>
    <row r="699" spans="1:11" x14ac:dyDescent="0.2">
      <c r="A699" s="1" t="s">
        <v>4994</v>
      </c>
      <c r="B699" s="1" t="s">
        <v>913</v>
      </c>
      <c r="C699" s="1"/>
      <c r="D699" s="1"/>
      <c r="E699" s="1"/>
      <c r="F699" s="1"/>
      <c r="G699" s="1"/>
      <c r="H699" s="1" t="str">
        <f>"7503036426194"</f>
        <v>7503036426194</v>
      </c>
      <c r="I699" s="3">
        <v>0</v>
      </c>
      <c r="J699" s="3">
        <v>0</v>
      </c>
      <c r="K699" s="3">
        <v>2500</v>
      </c>
    </row>
    <row r="700" spans="1:11" x14ac:dyDescent="0.2">
      <c r="A700" s="1" t="s">
        <v>4994</v>
      </c>
      <c r="B700" s="1" t="s">
        <v>914</v>
      </c>
      <c r="C700" s="1"/>
      <c r="D700" s="1"/>
      <c r="E700" s="1"/>
      <c r="F700" s="1"/>
      <c r="G700" s="1"/>
      <c r="H700" s="1" t="str">
        <f>"7805633020349"</f>
        <v>7805633020349</v>
      </c>
      <c r="I700" s="3">
        <v>12</v>
      </c>
      <c r="J700" s="3">
        <v>0</v>
      </c>
      <c r="K700" s="3">
        <v>563</v>
      </c>
    </row>
    <row r="701" spans="1:11" x14ac:dyDescent="0.2">
      <c r="A701" s="1" t="s">
        <v>4994</v>
      </c>
      <c r="B701" s="1" t="s">
        <v>915</v>
      </c>
      <c r="C701" s="1"/>
      <c r="D701" s="1"/>
      <c r="E701" s="1"/>
      <c r="F701" s="1"/>
      <c r="G701" s="1"/>
      <c r="H701" s="1" t="str">
        <f>"7503036426446"</f>
        <v>7503036426446</v>
      </c>
      <c r="I701" s="3">
        <v>0</v>
      </c>
      <c r="J701" s="3">
        <v>0</v>
      </c>
      <c r="K701" s="3">
        <v>2500</v>
      </c>
    </row>
    <row r="702" spans="1:11" x14ac:dyDescent="0.2">
      <c r="A702" s="1" t="s">
        <v>4994</v>
      </c>
      <c r="B702" s="1" t="s">
        <v>916</v>
      </c>
      <c r="C702" s="1"/>
      <c r="D702" s="1"/>
      <c r="E702" s="1"/>
      <c r="F702" s="1"/>
      <c r="G702" s="1"/>
      <c r="H702" s="1" t="str">
        <f>"7503030215886"</f>
        <v>7503030215886</v>
      </c>
      <c r="I702" s="3">
        <v>0</v>
      </c>
      <c r="J702" s="3">
        <v>0</v>
      </c>
      <c r="K702" s="3">
        <v>2500</v>
      </c>
    </row>
    <row r="703" spans="1:11" x14ac:dyDescent="0.2">
      <c r="A703" s="1" t="s">
        <v>4994</v>
      </c>
      <c r="B703" s="1" t="s">
        <v>917</v>
      </c>
      <c r="C703" s="1"/>
      <c r="D703" s="1"/>
      <c r="E703" s="1"/>
      <c r="F703" s="1"/>
      <c r="G703" s="1"/>
      <c r="H703" s="1" t="str">
        <f>"7503036426095"</f>
        <v>7503036426095</v>
      </c>
      <c r="I703" s="3">
        <v>0</v>
      </c>
      <c r="J703" s="3">
        <v>0</v>
      </c>
      <c r="K703" s="3">
        <v>2500</v>
      </c>
    </row>
    <row r="704" spans="1:11" x14ac:dyDescent="0.2">
      <c r="A704" s="1" t="s">
        <v>4994</v>
      </c>
      <c r="B704" s="1" t="s">
        <v>918</v>
      </c>
      <c r="C704" s="1"/>
      <c r="D704" s="1"/>
      <c r="E704" s="1"/>
      <c r="F704" s="1"/>
      <c r="G704" s="1"/>
      <c r="H704" s="1" t="str">
        <f>"8427426020108"</f>
        <v>8427426020108</v>
      </c>
      <c r="I704" s="3">
        <v>0</v>
      </c>
      <c r="J704" s="3">
        <v>0</v>
      </c>
      <c r="K704" s="3">
        <v>3500</v>
      </c>
    </row>
    <row r="705" spans="1:11" x14ac:dyDescent="0.2">
      <c r="A705" s="1" t="s">
        <v>4994</v>
      </c>
      <c r="B705" s="1" t="s">
        <v>919</v>
      </c>
      <c r="C705" s="1"/>
      <c r="D705" s="1"/>
      <c r="E705" s="1"/>
      <c r="F705" s="1"/>
      <c r="G705" s="1"/>
      <c r="H705" s="1" t="str">
        <f>"7503036426071"</f>
        <v>7503036426071</v>
      </c>
      <c r="I705" s="3">
        <v>0</v>
      </c>
      <c r="J705" s="3">
        <v>0</v>
      </c>
      <c r="K705" s="3">
        <v>1500</v>
      </c>
    </row>
    <row r="706" spans="1:11" x14ac:dyDescent="0.2">
      <c r="A706" s="1" t="s">
        <v>4994</v>
      </c>
      <c r="B706" s="1" t="s">
        <v>921</v>
      </c>
      <c r="C706" s="1"/>
      <c r="D706" s="1"/>
      <c r="E706" s="1"/>
      <c r="F706" s="1"/>
      <c r="G706" s="1"/>
      <c r="H706" s="1" t="str">
        <f>"7804925543283"</f>
        <v>7804925543283</v>
      </c>
      <c r="I706" s="3">
        <v>0</v>
      </c>
      <c r="J706" s="3">
        <v>0</v>
      </c>
      <c r="K706" s="3">
        <v>2500</v>
      </c>
    </row>
    <row r="707" spans="1:11" x14ac:dyDescent="0.2">
      <c r="A707" s="1" t="s">
        <v>4994</v>
      </c>
      <c r="B707" s="1" t="s">
        <v>922</v>
      </c>
      <c r="C707" s="1"/>
      <c r="D707" s="1"/>
      <c r="E707" s="1"/>
      <c r="F707" s="1"/>
      <c r="G707" s="1"/>
      <c r="H707" s="1" t="str">
        <f>"8424559085042"</f>
        <v>8424559085042</v>
      </c>
      <c r="I707" s="3">
        <v>0</v>
      </c>
      <c r="J707" s="3">
        <v>0</v>
      </c>
      <c r="K707" s="3">
        <v>2000</v>
      </c>
    </row>
    <row r="708" spans="1:11" x14ac:dyDescent="0.2">
      <c r="A708" s="1" t="s">
        <v>4994</v>
      </c>
      <c r="B708" s="1" t="s">
        <v>923</v>
      </c>
      <c r="C708" s="1"/>
      <c r="D708" s="1"/>
      <c r="E708" s="1"/>
      <c r="F708" s="1"/>
      <c r="G708" s="1"/>
      <c r="H708" s="1" t="str">
        <f>"8424559085028"</f>
        <v>8424559085028</v>
      </c>
      <c r="I708" s="3">
        <v>0</v>
      </c>
      <c r="J708" s="3">
        <v>0</v>
      </c>
      <c r="K708" s="3">
        <v>2000</v>
      </c>
    </row>
    <row r="709" spans="1:11" x14ac:dyDescent="0.2">
      <c r="A709" s="1" t="s">
        <v>4994</v>
      </c>
      <c r="B709" s="1" t="s">
        <v>924</v>
      </c>
      <c r="C709" s="1"/>
      <c r="D709" s="1"/>
      <c r="E709" s="1"/>
      <c r="F709" s="1"/>
      <c r="G709" s="1"/>
      <c r="H709" s="1" t="str">
        <f>"7702010130250"</f>
        <v>7702010130250</v>
      </c>
      <c r="I709" s="3">
        <v>7</v>
      </c>
      <c r="J709" s="3">
        <v>0</v>
      </c>
      <c r="K709" s="3">
        <v>2500</v>
      </c>
    </row>
    <row r="710" spans="1:11" x14ac:dyDescent="0.2">
      <c r="A710" s="1" t="s">
        <v>4994</v>
      </c>
      <c r="B710" s="1" t="s">
        <v>925</v>
      </c>
      <c r="C710" s="1"/>
      <c r="D710" s="1"/>
      <c r="E710" s="1"/>
      <c r="F710" s="1"/>
      <c r="G710" s="1"/>
      <c r="H710" s="1" t="str">
        <f>"8427426020207"</f>
        <v>8427426020207</v>
      </c>
      <c r="I710" s="3">
        <v>0</v>
      </c>
      <c r="J710" s="3">
        <v>0</v>
      </c>
      <c r="K710" s="3">
        <v>3500</v>
      </c>
    </row>
    <row r="711" spans="1:11" x14ac:dyDescent="0.2">
      <c r="A711" s="1" t="s">
        <v>4994</v>
      </c>
      <c r="B711" s="1" t="s">
        <v>926</v>
      </c>
      <c r="C711" s="1"/>
      <c r="D711" s="1"/>
      <c r="E711" s="1"/>
      <c r="F711" s="1"/>
      <c r="G711" s="1"/>
      <c r="H711" s="1" t="str">
        <f>"4210201826613"</f>
        <v>4210201826613</v>
      </c>
      <c r="I711" s="3">
        <v>1</v>
      </c>
      <c r="J711" s="3">
        <v>0</v>
      </c>
      <c r="K711" s="3">
        <v>14000</v>
      </c>
    </row>
    <row r="712" spans="1:11" x14ac:dyDescent="0.2">
      <c r="A712" s="1" t="s">
        <v>4994</v>
      </c>
      <c r="B712" s="1" t="s">
        <v>927</v>
      </c>
      <c r="C712" s="1"/>
      <c r="D712" s="1"/>
      <c r="E712" s="1"/>
      <c r="F712" s="1"/>
      <c r="G712" s="1"/>
      <c r="H712" s="1" t="str">
        <f>"8424559085035"</f>
        <v>8424559085035</v>
      </c>
      <c r="I712" s="3">
        <v>0</v>
      </c>
      <c r="J712" s="3">
        <v>0</v>
      </c>
      <c r="K712" s="3">
        <v>2000</v>
      </c>
    </row>
    <row r="713" spans="1:11" x14ac:dyDescent="0.2">
      <c r="A713" s="1" t="s">
        <v>4994</v>
      </c>
      <c r="B713" s="1" t="s">
        <v>928</v>
      </c>
      <c r="C713" s="1"/>
      <c r="D713" s="1"/>
      <c r="E713" s="1"/>
      <c r="F713" s="1"/>
      <c r="G713" s="1"/>
      <c r="H713" s="1" t="str">
        <f>"7784391054097"</f>
        <v>7784391054097</v>
      </c>
      <c r="I713" s="3">
        <v>0</v>
      </c>
      <c r="J713" s="3">
        <v>0</v>
      </c>
      <c r="K713" s="3">
        <v>2500</v>
      </c>
    </row>
    <row r="714" spans="1:11" x14ac:dyDescent="0.2">
      <c r="A714" s="1" t="s">
        <v>4994</v>
      </c>
      <c r="B714" s="1" t="s">
        <v>929</v>
      </c>
      <c r="C714" s="1"/>
      <c r="D714" s="1"/>
      <c r="E714" s="1"/>
      <c r="F714" s="1"/>
      <c r="G714" s="1"/>
      <c r="H714" s="1" t="str">
        <f>"6922331000495"</f>
        <v>6922331000495</v>
      </c>
      <c r="I714" s="3">
        <v>0</v>
      </c>
      <c r="J714" s="3">
        <v>0</v>
      </c>
      <c r="K714" s="3">
        <v>2000</v>
      </c>
    </row>
    <row r="715" spans="1:11" x14ac:dyDescent="0.2">
      <c r="A715" s="1" t="s">
        <v>4994</v>
      </c>
      <c r="B715" s="1" t="s">
        <v>930</v>
      </c>
      <c r="C715" s="1"/>
      <c r="D715" s="1"/>
      <c r="E715" s="1"/>
      <c r="F715" s="1"/>
      <c r="G715" s="1"/>
      <c r="H715" s="1" t="str">
        <f>"8424559085127"</f>
        <v>8424559085127</v>
      </c>
      <c r="I715" s="3">
        <v>0</v>
      </c>
      <c r="J715" s="3">
        <v>0</v>
      </c>
      <c r="K715" s="3">
        <v>2500</v>
      </c>
    </row>
    <row r="716" spans="1:11" x14ac:dyDescent="0.2">
      <c r="A716" s="1" t="s">
        <v>4994</v>
      </c>
      <c r="B716" s="1" t="s">
        <v>931</v>
      </c>
      <c r="C716" s="1"/>
      <c r="D716" s="1"/>
      <c r="E716" s="1"/>
      <c r="F716" s="1"/>
      <c r="G716" s="1"/>
      <c r="H716" s="1" t="str">
        <f>"7805163000194"</f>
        <v>7805163000194</v>
      </c>
      <c r="I716" s="3">
        <v>27</v>
      </c>
      <c r="J716" s="3">
        <v>0</v>
      </c>
      <c r="K716" s="3">
        <v>3500</v>
      </c>
    </row>
    <row r="717" spans="1:11" x14ac:dyDescent="0.2">
      <c r="A717" s="1" t="s">
        <v>4994</v>
      </c>
      <c r="B717" s="1" t="s">
        <v>932</v>
      </c>
      <c r="C717" s="1"/>
      <c r="D717" s="1"/>
      <c r="E717" s="1"/>
      <c r="F717" s="1"/>
      <c r="G717" s="1"/>
      <c r="H717" s="1" t="str">
        <f>"7805163000200"</f>
        <v>7805163000200</v>
      </c>
      <c r="I717" s="3">
        <v>0</v>
      </c>
      <c r="J717" s="3">
        <v>0</v>
      </c>
      <c r="K717" s="3">
        <v>4900</v>
      </c>
    </row>
    <row r="718" spans="1:11" x14ac:dyDescent="0.2">
      <c r="A718" s="1" t="s">
        <v>4994</v>
      </c>
      <c r="B718" s="1" t="s">
        <v>933</v>
      </c>
      <c r="C718" s="1"/>
      <c r="D718" s="1"/>
      <c r="E718" s="1"/>
      <c r="F718" s="1"/>
      <c r="G718" s="1"/>
      <c r="H718" s="1" t="str">
        <f>"7805163000187"</f>
        <v>7805163000187</v>
      </c>
      <c r="I718" s="3">
        <v>0</v>
      </c>
      <c r="J718" s="3">
        <v>0</v>
      </c>
      <c r="K718" s="3">
        <v>3500</v>
      </c>
    </row>
    <row r="719" spans="1:11" x14ac:dyDescent="0.2">
      <c r="A719" s="1" t="s">
        <v>4994</v>
      </c>
      <c r="B719" s="1" t="s">
        <v>934</v>
      </c>
      <c r="C719" s="1"/>
      <c r="D719" s="1"/>
      <c r="E719" s="1"/>
      <c r="F719" s="1"/>
      <c r="G719" s="1"/>
      <c r="H719" s="1" t="str">
        <f>"8427426006508"</f>
        <v>8427426006508</v>
      </c>
      <c r="I719" s="3">
        <v>0</v>
      </c>
      <c r="J719" s="3">
        <v>0</v>
      </c>
      <c r="K719" s="3">
        <v>5100</v>
      </c>
    </row>
    <row r="720" spans="1:11" x14ac:dyDescent="0.2">
      <c r="A720" s="1" t="s">
        <v>4994</v>
      </c>
      <c r="B720" s="1" t="s">
        <v>935</v>
      </c>
      <c r="C720" s="1"/>
      <c r="D720" s="1"/>
      <c r="E720" s="1"/>
      <c r="F720" s="1"/>
      <c r="G720" s="1"/>
      <c r="H720" s="1" t="str">
        <f>"7805633018643"</f>
        <v>7805633018643</v>
      </c>
      <c r="I720" s="3">
        <v>6</v>
      </c>
      <c r="J720" s="3">
        <v>0</v>
      </c>
      <c r="K720" s="3">
        <v>1000</v>
      </c>
    </row>
    <row r="721" spans="1:11" x14ac:dyDescent="0.2">
      <c r="A721" s="1" t="s">
        <v>4994</v>
      </c>
      <c r="B721" s="1" t="s">
        <v>936</v>
      </c>
      <c r="C721" s="1"/>
      <c r="D721" s="1"/>
      <c r="E721" s="1"/>
      <c r="F721" s="1"/>
      <c r="G721" s="1"/>
      <c r="H721" s="1" t="str">
        <f>"7805633014157"</f>
        <v>7805633014157</v>
      </c>
      <c r="I721" s="3">
        <v>9</v>
      </c>
      <c r="J721" s="3">
        <v>0</v>
      </c>
      <c r="K721" s="3">
        <v>2000</v>
      </c>
    </row>
    <row r="722" spans="1:11" x14ac:dyDescent="0.2">
      <c r="A722" s="1" t="s">
        <v>4994</v>
      </c>
      <c r="B722" s="1" t="s">
        <v>937</v>
      </c>
      <c r="C722" s="1"/>
      <c r="D722" s="1"/>
      <c r="E722" s="1"/>
      <c r="F722" s="1"/>
      <c r="G722" s="1"/>
      <c r="H722" s="1" t="str">
        <f>"7805633014140"</f>
        <v>7805633014140</v>
      </c>
      <c r="I722" s="3">
        <v>11</v>
      </c>
      <c r="J722" s="3">
        <v>0</v>
      </c>
      <c r="K722" s="3">
        <v>1500</v>
      </c>
    </row>
    <row r="723" spans="1:11" x14ac:dyDescent="0.2">
      <c r="A723" s="1" t="s">
        <v>4994</v>
      </c>
      <c r="B723" s="1" t="s">
        <v>938</v>
      </c>
      <c r="C723" s="1"/>
      <c r="D723" s="1"/>
      <c r="E723" s="1"/>
      <c r="F723" s="1"/>
      <c r="G723" s="1"/>
      <c r="H723" s="1" t="str">
        <f>"8427426046535"</f>
        <v>8427426046535</v>
      </c>
      <c r="I723" s="3">
        <v>9</v>
      </c>
      <c r="J723" s="3">
        <v>0</v>
      </c>
      <c r="K723" s="3">
        <v>5500</v>
      </c>
    </row>
    <row r="724" spans="1:11" x14ac:dyDescent="0.2">
      <c r="A724" s="1" t="s">
        <v>4994</v>
      </c>
      <c r="B724" s="1" t="s">
        <v>939</v>
      </c>
      <c r="C724" s="1"/>
      <c r="D724" s="1"/>
      <c r="E724" s="1"/>
      <c r="F724" s="1"/>
      <c r="G724" s="1"/>
      <c r="H724" s="1" t="str">
        <f>"3337875597210"</f>
        <v>3337875597210</v>
      </c>
      <c r="I724" s="3">
        <v>8</v>
      </c>
      <c r="J724" s="3">
        <v>0</v>
      </c>
      <c r="K724" s="3">
        <v>12000</v>
      </c>
    </row>
    <row r="725" spans="1:11" x14ac:dyDescent="0.2">
      <c r="A725" s="1" t="s">
        <v>4994</v>
      </c>
      <c r="B725" s="1" t="s">
        <v>940</v>
      </c>
      <c r="C725" s="1"/>
      <c r="D725" s="1"/>
      <c r="E725" s="1"/>
      <c r="F725" s="1"/>
      <c r="G725" s="1"/>
      <c r="H725" s="1" t="str">
        <f>"5031413938395"</f>
        <v>5031413938395</v>
      </c>
      <c r="I725" s="3">
        <v>0</v>
      </c>
      <c r="J725" s="3">
        <v>0</v>
      </c>
      <c r="K725" s="3">
        <v>6500</v>
      </c>
    </row>
    <row r="726" spans="1:11" x14ac:dyDescent="0.2">
      <c r="A726" s="1" t="s">
        <v>4994</v>
      </c>
      <c r="B726" s="1" t="s">
        <v>941</v>
      </c>
      <c r="C726" s="1"/>
      <c r="D726" s="1"/>
      <c r="E726" s="1"/>
      <c r="F726" s="1"/>
      <c r="G726" s="1"/>
      <c r="H726" s="1" t="str">
        <f>"3337875597227"</f>
        <v>3337875597227</v>
      </c>
      <c r="I726" s="3">
        <v>0</v>
      </c>
      <c r="J726" s="3">
        <v>0</v>
      </c>
      <c r="K726" s="3">
        <v>19000</v>
      </c>
    </row>
    <row r="727" spans="1:11" x14ac:dyDescent="0.2">
      <c r="A727" s="1" t="s">
        <v>4994</v>
      </c>
      <c r="B727" s="1" t="s">
        <v>942</v>
      </c>
      <c r="C727" s="1"/>
      <c r="D727" s="1"/>
      <c r="E727" s="1"/>
      <c r="F727" s="1"/>
      <c r="G727" s="1"/>
      <c r="H727" s="1" t="str">
        <f>"3337875597388"</f>
        <v>3337875597388</v>
      </c>
      <c r="I727" s="3">
        <v>6</v>
      </c>
      <c r="J727" s="3">
        <v>0</v>
      </c>
      <c r="K727" s="3">
        <v>18000</v>
      </c>
    </row>
    <row r="728" spans="1:11" x14ac:dyDescent="0.2">
      <c r="A728" s="1" t="s">
        <v>4994</v>
      </c>
      <c r="B728" s="1" t="s">
        <v>943</v>
      </c>
      <c r="C728" s="1"/>
      <c r="D728" s="1"/>
      <c r="E728" s="1"/>
      <c r="F728" s="1"/>
      <c r="G728" s="1"/>
      <c r="H728" s="1" t="str">
        <f>"3337875597319"</f>
        <v>3337875597319</v>
      </c>
      <c r="I728" s="3">
        <v>8</v>
      </c>
      <c r="J728" s="3">
        <v>0</v>
      </c>
      <c r="K728" s="3">
        <v>6000</v>
      </c>
    </row>
    <row r="729" spans="1:11" x14ac:dyDescent="0.2">
      <c r="A729" s="1" t="s">
        <v>4994</v>
      </c>
      <c r="B729" s="1" t="s">
        <v>944</v>
      </c>
      <c r="C729" s="1"/>
      <c r="D729" s="1"/>
      <c r="E729" s="1"/>
      <c r="F729" s="1"/>
      <c r="G729" s="1"/>
      <c r="H729" s="1" t="str">
        <f>"3337875909525"</f>
        <v>3337875909525</v>
      </c>
      <c r="I729" s="3">
        <v>0</v>
      </c>
      <c r="J729" s="3">
        <v>0</v>
      </c>
      <c r="K729" s="3">
        <v>15000</v>
      </c>
    </row>
    <row r="730" spans="1:11" x14ac:dyDescent="0.2">
      <c r="A730" s="1" t="s">
        <v>4994</v>
      </c>
      <c r="B730" s="1" t="s">
        <v>945</v>
      </c>
      <c r="C730" s="1"/>
      <c r="D730" s="1"/>
      <c r="E730" s="1"/>
      <c r="F730" s="1"/>
      <c r="G730" s="1"/>
      <c r="H730" s="1" t="str">
        <f>"3337875597197"</f>
        <v>3337875597197</v>
      </c>
      <c r="I730" s="3">
        <v>16</v>
      </c>
      <c r="J730" s="3">
        <v>0</v>
      </c>
      <c r="K730" s="3">
        <v>11000</v>
      </c>
    </row>
    <row r="731" spans="1:11" x14ac:dyDescent="0.2">
      <c r="A731" s="1" t="s">
        <v>4994</v>
      </c>
      <c r="B731" s="1" t="s">
        <v>946</v>
      </c>
      <c r="C731" s="1"/>
      <c r="D731" s="1"/>
      <c r="E731" s="1"/>
      <c r="F731" s="1"/>
      <c r="G731" s="1"/>
      <c r="H731" s="1" t="str">
        <f>"3337875784054"</f>
        <v>3337875784054</v>
      </c>
      <c r="I731" s="3">
        <v>0</v>
      </c>
      <c r="J731" s="3">
        <v>0</v>
      </c>
      <c r="K731" s="3">
        <v>13000</v>
      </c>
    </row>
    <row r="732" spans="1:11" x14ac:dyDescent="0.2">
      <c r="A732" s="1" t="s">
        <v>4994</v>
      </c>
      <c r="B732" s="1" t="s">
        <v>947</v>
      </c>
      <c r="C732" s="1"/>
      <c r="D732" s="1"/>
      <c r="E732" s="1"/>
      <c r="F732" s="1"/>
      <c r="G732" s="1"/>
      <c r="H732" s="1" t="str">
        <f>"3337875597395"</f>
        <v>3337875597395</v>
      </c>
      <c r="I732" s="3">
        <v>0</v>
      </c>
      <c r="J732" s="3">
        <v>0</v>
      </c>
      <c r="K732" s="3">
        <v>17000</v>
      </c>
    </row>
    <row r="733" spans="1:11" x14ac:dyDescent="0.2">
      <c r="A733" s="1" t="s">
        <v>4994</v>
      </c>
      <c r="B733" s="1" t="s">
        <v>948</v>
      </c>
      <c r="C733" s="1"/>
      <c r="D733" s="1"/>
      <c r="E733" s="1"/>
      <c r="F733" s="1"/>
      <c r="G733" s="1"/>
      <c r="H733" s="1" t="str">
        <f>"7804656600415"</f>
        <v>7804656600415</v>
      </c>
      <c r="I733" s="3">
        <v>0</v>
      </c>
      <c r="J733" s="3">
        <v>0</v>
      </c>
      <c r="K733" s="3">
        <v>5000</v>
      </c>
    </row>
    <row r="734" spans="1:11" x14ac:dyDescent="0.2">
      <c r="A734" s="1" t="s">
        <v>4994</v>
      </c>
      <c r="B734" s="1" t="s">
        <v>952</v>
      </c>
      <c r="C734" s="1"/>
      <c r="D734" s="1"/>
      <c r="E734" s="1"/>
      <c r="F734" s="1"/>
      <c r="G734" s="1"/>
      <c r="H734" s="1" t="str">
        <f>"7501001170080"</f>
        <v>7501001170080</v>
      </c>
      <c r="I734" s="3">
        <v>3</v>
      </c>
      <c r="J734" s="3">
        <v>0</v>
      </c>
      <c r="K734" s="3">
        <v>4500</v>
      </c>
    </row>
    <row r="735" spans="1:11" x14ac:dyDescent="0.2">
      <c r="A735" s="1" t="s">
        <v>4994</v>
      </c>
      <c r="B735" s="1" t="s">
        <v>953</v>
      </c>
      <c r="C735" s="1"/>
      <c r="D735" s="1"/>
      <c r="E735" s="1"/>
      <c r="F735" s="1"/>
      <c r="G735" s="1"/>
      <c r="H735" s="1" t="str">
        <f>"8000246003645"</f>
        <v>8000246003645</v>
      </c>
      <c r="I735" s="3">
        <v>0</v>
      </c>
      <c r="J735" s="3">
        <v>0</v>
      </c>
      <c r="K735" s="3">
        <v>3000</v>
      </c>
    </row>
    <row r="736" spans="1:11" x14ac:dyDescent="0.2">
      <c r="A736" s="1" t="s">
        <v>4994</v>
      </c>
      <c r="B736" s="1" t="s">
        <v>954</v>
      </c>
      <c r="C736" s="1"/>
      <c r="D736" s="1"/>
      <c r="E736" s="1"/>
      <c r="F736" s="1"/>
      <c r="G736" s="1"/>
      <c r="H736" s="1" t="str">
        <f>"8000246003638"</f>
        <v>8000246003638</v>
      </c>
      <c r="I736" s="3">
        <v>0</v>
      </c>
      <c r="J736" s="3">
        <v>0</v>
      </c>
      <c r="K736" s="3">
        <v>1500</v>
      </c>
    </row>
    <row r="737" spans="1:11" x14ac:dyDescent="0.2">
      <c r="A737" s="1" t="s">
        <v>4994</v>
      </c>
      <c r="B737" s="1" t="s">
        <v>956</v>
      </c>
      <c r="C737" s="1"/>
      <c r="D737" s="1"/>
      <c r="E737" s="1"/>
      <c r="F737" s="1"/>
      <c r="G737" s="1"/>
      <c r="H737" s="1" t="str">
        <f>"7804673040362"</f>
        <v>7804673040362</v>
      </c>
      <c r="I737" s="3">
        <v>0</v>
      </c>
      <c r="J737" s="3">
        <v>0</v>
      </c>
      <c r="K737" s="3">
        <v>2000</v>
      </c>
    </row>
    <row r="738" spans="1:11" x14ac:dyDescent="0.2">
      <c r="A738" s="1" t="s">
        <v>4994</v>
      </c>
      <c r="B738" s="1" t="s">
        <v>959</v>
      </c>
      <c r="C738" s="1"/>
      <c r="D738" s="1"/>
      <c r="E738" s="1"/>
      <c r="F738" s="1"/>
      <c r="G738" s="1"/>
      <c r="H738" s="1" t="str">
        <f>"8470008661039"</f>
        <v>8470008661039</v>
      </c>
      <c r="I738" s="3">
        <v>5</v>
      </c>
      <c r="J738" s="3">
        <v>0</v>
      </c>
      <c r="K738" s="3">
        <v>21000</v>
      </c>
    </row>
    <row r="739" spans="1:11" x14ac:dyDescent="0.2">
      <c r="A739" s="1" t="s">
        <v>4994</v>
      </c>
      <c r="B739" s="1" t="s">
        <v>960</v>
      </c>
      <c r="C739" s="1"/>
      <c r="D739" s="1"/>
      <c r="E739" s="1"/>
      <c r="F739" s="1"/>
      <c r="G739" s="1"/>
      <c r="H739" s="1" t="str">
        <f>"7800059002832"</f>
        <v>7800059002832</v>
      </c>
      <c r="I739" s="3">
        <v>2</v>
      </c>
      <c r="J739" s="3">
        <v>0</v>
      </c>
      <c r="K739" s="3">
        <v>30000</v>
      </c>
    </row>
    <row r="740" spans="1:11" x14ac:dyDescent="0.2">
      <c r="A740" s="1" t="s">
        <v>4994</v>
      </c>
      <c r="B740" s="1" t="s">
        <v>961</v>
      </c>
      <c r="C740" s="1"/>
      <c r="D740" s="1"/>
      <c r="E740" s="1"/>
      <c r="F740" s="1"/>
      <c r="G740" s="1"/>
      <c r="H740" s="1" t="str">
        <f>"2000341103260"</f>
        <v>2000341103260</v>
      </c>
      <c r="I740" s="3">
        <v>0</v>
      </c>
      <c r="J740" s="3">
        <v>0</v>
      </c>
      <c r="K740" s="3">
        <v>7500</v>
      </c>
    </row>
    <row r="741" spans="1:11" x14ac:dyDescent="0.2">
      <c r="A741" s="1" t="s">
        <v>4994</v>
      </c>
      <c r="B741" s="1" t="s">
        <v>962</v>
      </c>
      <c r="C741" s="1"/>
      <c r="D741" s="1"/>
      <c r="E741" s="1"/>
      <c r="F741" s="1"/>
      <c r="G741" s="1"/>
      <c r="H741" s="1" t="str">
        <f>"123456"</f>
        <v>123456</v>
      </c>
      <c r="I741" s="3">
        <v>0</v>
      </c>
      <c r="J741" s="3">
        <v>0</v>
      </c>
      <c r="K741" s="3">
        <v>5000</v>
      </c>
    </row>
    <row r="742" spans="1:11" x14ac:dyDescent="0.2">
      <c r="A742" s="1" t="s">
        <v>4994</v>
      </c>
      <c r="B742" s="1" t="s">
        <v>963</v>
      </c>
      <c r="C742" s="1"/>
      <c r="D742" s="1"/>
      <c r="E742" s="1"/>
      <c r="F742" s="1"/>
      <c r="G742" s="1"/>
      <c r="H742" s="1" t="str">
        <f>"KDJFKDSJIFVD"</f>
        <v>KDJFKDSJIFVD</v>
      </c>
      <c r="I742" s="3">
        <v>0</v>
      </c>
      <c r="J742" s="3">
        <v>0</v>
      </c>
      <c r="K742" s="3">
        <v>5000</v>
      </c>
    </row>
    <row r="743" spans="1:11" x14ac:dyDescent="0.2">
      <c r="A743" s="1" t="s">
        <v>4994</v>
      </c>
      <c r="B743" s="1" t="s">
        <v>964</v>
      </c>
      <c r="C743" s="1"/>
      <c r="D743" s="1"/>
      <c r="E743" s="1"/>
      <c r="F743" s="1"/>
      <c r="G743" s="1"/>
      <c r="H743" s="1" t="str">
        <f>"2010380020015"</f>
        <v>2010380020015</v>
      </c>
      <c r="I743" s="3">
        <v>0</v>
      </c>
      <c r="J743" s="3">
        <v>0</v>
      </c>
      <c r="K743" s="3">
        <v>7000</v>
      </c>
    </row>
    <row r="744" spans="1:11" x14ac:dyDescent="0.2">
      <c r="A744" s="1" t="s">
        <v>4994</v>
      </c>
      <c r="B744" s="1" t="s">
        <v>966</v>
      </c>
      <c r="C744" s="1"/>
      <c r="D744" s="1"/>
      <c r="E744" s="1"/>
      <c r="F744" s="1"/>
      <c r="G744" s="1"/>
      <c r="H744" s="1" t="str">
        <f>"2000110414368"</f>
        <v>2000110414368</v>
      </c>
      <c r="I744" s="3">
        <v>0</v>
      </c>
      <c r="J744" s="3">
        <v>0</v>
      </c>
      <c r="K744" s="3">
        <v>3500</v>
      </c>
    </row>
    <row r="745" spans="1:11" x14ac:dyDescent="0.2">
      <c r="A745" s="1" t="s">
        <v>4994</v>
      </c>
      <c r="B745" s="1" t="s">
        <v>967</v>
      </c>
      <c r="C745" s="1"/>
      <c r="D745" s="1"/>
      <c r="E745" s="1"/>
      <c r="F745" s="1"/>
      <c r="G745" s="1"/>
      <c r="H745" s="1" t="str">
        <f>"7730969307003"</f>
        <v>7730969307003</v>
      </c>
      <c r="I745" s="3">
        <v>0</v>
      </c>
      <c r="J745" s="3">
        <v>0</v>
      </c>
      <c r="K745" s="3">
        <v>65000</v>
      </c>
    </row>
    <row r="746" spans="1:11" x14ac:dyDescent="0.2">
      <c r="A746" s="1" t="s">
        <v>4994</v>
      </c>
      <c r="B746" s="1" t="s">
        <v>968</v>
      </c>
      <c r="C746" s="1"/>
      <c r="D746" s="1"/>
      <c r="E746" s="1"/>
      <c r="F746" s="1"/>
      <c r="G746" s="1"/>
      <c r="H746" s="1" t="str">
        <f>"7730969301162"</f>
        <v>7730969301162</v>
      </c>
      <c r="I746" s="3">
        <v>18</v>
      </c>
      <c r="J746" s="3">
        <v>0</v>
      </c>
      <c r="K746" s="3">
        <v>13500</v>
      </c>
    </row>
    <row r="747" spans="1:11" x14ac:dyDescent="0.2">
      <c r="A747" s="1" t="s">
        <v>4994</v>
      </c>
      <c r="B747" s="1" t="s">
        <v>969</v>
      </c>
      <c r="C747" s="1"/>
      <c r="D747" s="1"/>
      <c r="E747" s="1"/>
      <c r="F747" s="1"/>
      <c r="G747" s="1"/>
      <c r="H747" s="1" t="str">
        <f>"7730698003504"</f>
        <v>7730698003504</v>
      </c>
      <c r="I747" s="3">
        <v>0</v>
      </c>
      <c r="J747" s="3">
        <v>0</v>
      </c>
      <c r="K747" s="3">
        <v>12500</v>
      </c>
    </row>
    <row r="748" spans="1:11" x14ac:dyDescent="0.2">
      <c r="A748" s="1" t="s">
        <v>4994</v>
      </c>
      <c r="B748" s="1" t="s">
        <v>970</v>
      </c>
      <c r="C748" s="1"/>
      <c r="D748" s="1"/>
      <c r="E748" s="1"/>
      <c r="F748" s="1"/>
      <c r="G748" s="1"/>
      <c r="H748" s="1" t="str">
        <f>"7791969850777"</f>
        <v>7791969850777</v>
      </c>
      <c r="I748" s="3">
        <v>0</v>
      </c>
      <c r="J748" s="3">
        <v>0</v>
      </c>
      <c r="K748" s="3">
        <v>5000</v>
      </c>
    </row>
    <row r="749" spans="1:11" x14ac:dyDescent="0.2">
      <c r="A749" s="1" t="s">
        <v>4994</v>
      </c>
      <c r="B749" s="1" t="s">
        <v>972</v>
      </c>
      <c r="C749" s="1"/>
      <c r="D749" s="1"/>
      <c r="E749" s="1"/>
      <c r="F749" s="1"/>
      <c r="G749" s="1"/>
      <c r="H749" s="1" t="str">
        <f>"737186551476"</f>
        <v>737186551476</v>
      </c>
      <c r="I749" s="3">
        <v>1</v>
      </c>
      <c r="J749" s="3">
        <v>0</v>
      </c>
      <c r="K749" s="3">
        <v>5000</v>
      </c>
    </row>
    <row r="750" spans="1:11" x14ac:dyDescent="0.2">
      <c r="A750" s="1" t="s">
        <v>4994</v>
      </c>
      <c r="B750" s="1" t="s">
        <v>974</v>
      </c>
      <c r="C750" s="1"/>
      <c r="D750" s="1"/>
      <c r="E750" s="1"/>
      <c r="F750" s="1"/>
      <c r="G750" s="1"/>
      <c r="H750" s="1" t="str">
        <f>"7806125847130"</f>
        <v>7806125847130</v>
      </c>
      <c r="I750" s="3">
        <v>0</v>
      </c>
      <c r="J750" s="3">
        <v>0</v>
      </c>
      <c r="K750" s="3">
        <v>4000</v>
      </c>
    </row>
    <row r="751" spans="1:11" x14ac:dyDescent="0.2">
      <c r="A751" s="1" t="s">
        <v>4994</v>
      </c>
      <c r="B751" s="1" t="s">
        <v>975</v>
      </c>
      <c r="C751" s="1"/>
      <c r="D751" s="1"/>
      <c r="E751" s="1"/>
      <c r="F751" s="1"/>
      <c r="G751" s="1"/>
      <c r="H751" s="1" t="str">
        <f>"4710693223100"</f>
        <v>4710693223100</v>
      </c>
      <c r="I751" s="3">
        <v>0</v>
      </c>
      <c r="J751" s="3">
        <v>0</v>
      </c>
      <c r="K751" s="3">
        <v>2800</v>
      </c>
    </row>
    <row r="752" spans="1:11" x14ac:dyDescent="0.2">
      <c r="A752" s="1" t="s">
        <v>4994</v>
      </c>
      <c r="B752" s="1" t="s">
        <v>976</v>
      </c>
      <c r="C752" s="1"/>
      <c r="D752" s="1"/>
      <c r="E752" s="1"/>
      <c r="F752" s="1"/>
      <c r="G752" s="1"/>
      <c r="H752" s="1" t="str">
        <f>"4710693223117"</f>
        <v>4710693223117</v>
      </c>
      <c r="I752" s="3">
        <v>0</v>
      </c>
      <c r="J752" s="3">
        <v>0</v>
      </c>
      <c r="K752" s="3">
        <v>3000</v>
      </c>
    </row>
    <row r="753" spans="1:11" x14ac:dyDescent="0.2">
      <c r="A753" s="1" t="s">
        <v>4994</v>
      </c>
      <c r="B753" s="1" t="s">
        <v>977</v>
      </c>
      <c r="C753" s="1"/>
      <c r="D753" s="1"/>
      <c r="E753" s="1"/>
      <c r="F753" s="1"/>
      <c r="G753" s="1"/>
      <c r="H753" s="1" t="str">
        <f>"9001616203954"</f>
        <v>9001616203954</v>
      </c>
      <c r="I753" s="3">
        <v>0</v>
      </c>
      <c r="J753" s="3">
        <v>0</v>
      </c>
      <c r="K753" s="3">
        <v>11000</v>
      </c>
    </row>
    <row r="754" spans="1:11" x14ac:dyDescent="0.2">
      <c r="A754" s="1" t="s">
        <v>4994</v>
      </c>
      <c r="B754" s="1" t="s">
        <v>978</v>
      </c>
      <c r="C754" s="1"/>
      <c r="D754" s="1"/>
      <c r="E754" s="1"/>
      <c r="F754" s="1"/>
      <c r="G754" s="1"/>
      <c r="H754" s="1" t="str">
        <f>"7806125847673"</f>
        <v>7806125847673</v>
      </c>
      <c r="I754" s="3">
        <v>0</v>
      </c>
      <c r="J754" s="3">
        <v>0</v>
      </c>
      <c r="K754" s="3">
        <v>3500</v>
      </c>
    </row>
    <row r="755" spans="1:11" x14ac:dyDescent="0.2">
      <c r="A755" s="1" t="s">
        <v>4994</v>
      </c>
      <c r="B755" s="1" t="s">
        <v>979</v>
      </c>
      <c r="C755" s="1"/>
      <c r="D755" s="1"/>
      <c r="E755" s="1"/>
      <c r="F755" s="1"/>
      <c r="G755" s="1"/>
      <c r="H755" s="1" t="str">
        <f>"9001616203909"</f>
        <v>9001616203909</v>
      </c>
      <c r="I755" s="3">
        <v>0</v>
      </c>
      <c r="J755" s="3">
        <v>0</v>
      </c>
      <c r="K755" s="3">
        <v>11000</v>
      </c>
    </row>
    <row r="756" spans="1:11" x14ac:dyDescent="0.2">
      <c r="A756" s="1" t="s">
        <v>4994</v>
      </c>
      <c r="B756" s="1" t="s">
        <v>980</v>
      </c>
      <c r="C756" s="1"/>
      <c r="D756" s="1"/>
      <c r="E756" s="1"/>
      <c r="F756" s="1"/>
      <c r="G756" s="1"/>
      <c r="H756" s="1" t="str">
        <f>"7805633013754"</f>
        <v>7805633013754</v>
      </c>
      <c r="I756" s="3">
        <v>4</v>
      </c>
      <c r="J756" s="3">
        <v>0</v>
      </c>
      <c r="K756" s="3">
        <v>1500</v>
      </c>
    </row>
    <row r="757" spans="1:11" x14ac:dyDescent="0.2">
      <c r="A757" s="1" t="s">
        <v>4994</v>
      </c>
      <c r="B757" s="1" t="s">
        <v>981</v>
      </c>
      <c r="C757" s="1"/>
      <c r="D757" s="1"/>
      <c r="E757" s="1"/>
      <c r="F757" s="1"/>
      <c r="G757" s="1"/>
      <c r="H757" s="1" t="str">
        <f>"7805633012627"</f>
        <v>7805633012627</v>
      </c>
      <c r="I757" s="3">
        <v>3</v>
      </c>
      <c r="J757" s="3">
        <v>0</v>
      </c>
      <c r="K757" s="3">
        <v>1500</v>
      </c>
    </row>
    <row r="758" spans="1:11" x14ac:dyDescent="0.2">
      <c r="A758" s="1" t="s">
        <v>4994</v>
      </c>
      <c r="B758" s="1" t="s">
        <v>982</v>
      </c>
      <c r="C758" s="1"/>
      <c r="D758" s="1"/>
      <c r="E758" s="1"/>
      <c r="F758" s="1"/>
      <c r="G758" s="1"/>
      <c r="H758" s="1" t="str">
        <f>"8850217000094"</f>
        <v>8850217000094</v>
      </c>
      <c r="I758" s="3">
        <v>0</v>
      </c>
      <c r="J758" s="3">
        <v>0</v>
      </c>
      <c r="K758" s="3">
        <v>4500</v>
      </c>
    </row>
    <row r="759" spans="1:11" x14ac:dyDescent="0.2">
      <c r="A759" s="1" t="s">
        <v>4994</v>
      </c>
      <c r="B759" s="1" t="s">
        <v>983</v>
      </c>
      <c r="C759" s="1"/>
      <c r="D759" s="1"/>
      <c r="E759" s="1"/>
      <c r="F759" s="1"/>
      <c r="G759" s="1"/>
      <c r="H759" s="1" t="str">
        <f>"8859263201165"</f>
        <v>8859263201165</v>
      </c>
      <c r="I759" s="3">
        <v>0</v>
      </c>
      <c r="J759" s="3">
        <v>0</v>
      </c>
      <c r="K759" s="3">
        <v>2800</v>
      </c>
    </row>
    <row r="760" spans="1:11" x14ac:dyDescent="0.2">
      <c r="A760" s="1" t="s">
        <v>4994</v>
      </c>
      <c r="B760" s="1" t="s">
        <v>984</v>
      </c>
      <c r="C760" s="1"/>
      <c r="D760" s="1"/>
      <c r="E760" s="1"/>
      <c r="F760" s="1"/>
      <c r="G760" s="1"/>
      <c r="H760" s="1" t="str">
        <f>"7350083122889"</f>
        <v>7350083122889</v>
      </c>
      <c r="I760" s="3">
        <v>0</v>
      </c>
      <c r="J760" s="3">
        <v>0</v>
      </c>
      <c r="K760" s="3">
        <v>6500</v>
      </c>
    </row>
    <row r="761" spans="1:11" x14ac:dyDescent="0.2">
      <c r="A761" s="1" t="s">
        <v>4994</v>
      </c>
      <c r="B761" s="1" t="s">
        <v>985</v>
      </c>
      <c r="C761" s="1"/>
      <c r="D761" s="1"/>
      <c r="E761" s="1"/>
      <c r="F761" s="1"/>
      <c r="G761" s="1"/>
      <c r="H761" s="1" t="str">
        <f>"8859263201172"</f>
        <v>8859263201172</v>
      </c>
      <c r="I761" s="3">
        <v>0</v>
      </c>
      <c r="J761" s="3">
        <v>0</v>
      </c>
      <c r="K761" s="3">
        <v>3800</v>
      </c>
    </row>
    <row r="762" spans="1:11" x14ac:dyDescent="0.2">
      <c r="A762" s="1" t="s">
        <v>4994</v>
      </c>
      <c r="B762" s="1" t="s">
        <v>986</v>
      </c>
      <c r="C762" s="1"/>
      <c r="D762" s="1"/>
      <c r="E762" s="1"/>
      <c r="F762" s="1"/>
      <c r="G762" s="1"/>
      <c r="H762" s="1" t="str">
        <f>"4902508782494"</f>
        <v>4902508782494</v>
      </c>
      <c r="I762" s="3">
        <v>0</v>
      </c>
      <c r="J762" s="3">
        <v>0</v>
      </c>
      <c r="K762" s="3">
        <v>9000</v>
      </c>
    </row>
    <row r="763" spans="1:11" x14ac:dyDescent="0.2">
      <c r="A763" s="1" t="s">
        <v>4994</v>
      </c>
      <c r="B763" s="1" t="s">
        <v>987</v>
      </c>
      <c r="C763" s="1"/>
      <c r="D763" s="1"/>
      <c r="E763" s="1"/>
      <c r="F763" s="1"/>
      <c r="G763" s="1"/>
      <c r="H763" s="1" t="str">
        <f>"4902508808309"</f>
        <v>4902508808309</v>
      </c>
      <c r="I763" s="3">
        <v>0</v>
      </c>
      <c r="J763" s="3">
        <v>0</v>
      </c>
      <c r="K763" s="3">
        <v>7000</v>
      </c>
    </row>
    <row r="764" spans="1:11" x14ac:dyDescent="0.2">
      <c r="A764" s="1" t="s">
        <v>4994</v>
      </c>
      <c r="B764" s="1" t="s">
        <v>988</v>
      </c>
      <c r="C764" s="1"/>
      <c r="D764" s="1"/>
      <c r="E764" s="1"/>
      <c r="F764" s="1"/>
      <c r="G764" s="1"/>
      <c r="H764" s="1" t="str">
        <f>"8850217000124"</f>
        <v>8850217000124</v>
      </c>
      <c r="I764" s="3">
        <v>0</v>
      </c>
      <c r="J764" s="3">
        <v>0</v>
      </c>
      <c r="K764" s="3">
        <v>3500</v>
      </c>
    </row>
    <row r="765" spans="1:11" x14ac:dyDescent="0.2">
      <c r="A765" s="1" t="s">
        <v>4994</v>
      </c>
      <c r="B765" s="1" t="s">
        <v>989</v>
      </c>
      <c r="C765" s="1"/>
      <c r="D765" s="1"/>
      <c r="E765" s="1"/>
      <c r="F765" s="1"/>
      <c r="G765" s="1"/>
      <c r="H765" s="1" t="str">
        <f>"8850217000131"</f>
        <v>8850217000131</v>
      </c>
      <c r="I765" s="3">
        <v>0</v>
      </c>
      <c r="J765" s="3">
        <v>0</v>
      </c>
      <c r="K765" s="3">
        <v>3500</v>
      </c>
    </row>
    <row r="766" spans="1:11" x14ac:dyDescent="0.2">
      <c r="A766" s="1" t="s">
        <v>4994</v>
      </c>
      <c r="B766" s="1" t="s">
        <v>990</v>
      </c>
      <c r="C766" s="1"/>
      <c r="D766" s="1"/>
      <c r="E766" s="1"/>
      <c r="F766" s="1"/>
      <c r="G766" s="1"/>
      <c r="H766" s="1" t="str">
        <f>"7501082242034"</f>
        <v>7501082242034</v>
      </c>
      <c r="I766" s="3">
        <v>1</v>
      </c>
      <c r="J766" s="3">
        <v>0</v>
      </c>
      <c r="K766" s="3">
        <v>35000</v>
      </c>
    </row>
    <row r="767" spans="1:11" x14ac:dyDescent="0.2">
      <c r="A767" s="1" t="s">
        <v>4994</v>
      </c>
      <c r="B767" s="1" t="s">
        <v>993</v>
      </c>
      <c r="C767" s="1"/>
      <c r="D767" s="1"/>
      <c r="E767" s="1"/>
      <c r="F767" s="1"/>
      <c r="G767" s="1"/>
      <c r="H767" s="1" t="str">
        <f>"30106659"</f>
        <v>30106659</v>
      </c>
      <c r="I767" s="3">
        <v>0</v>
      </c>
      <c r="J767" s="3">
        <v>0</v>
      </c>
      <c r="K767" s="3">
        <v>8000</v>
      </c>
    </row>
    <row r="768" spans="1:11" x14ac:dyDescent="0.2">
      <c r="A768" s="1" t="s">
        <v>4994</v>
      </c>
      <c r="B768" s="1" t="s">
        <v>994</v>
      </c>
      <c r="C768" s="1"/>
      <c r="D768" s="1"/>
      <c r="E768" s="1"/>
      <c r="F768" s="1"/>
      <c r="G768" s="1"/>
      <c r="H768" s="1" t="str">
        <f>"3337875586269"</f>
        <v>3337875586269</v>
      </c>
      <c r="I768" s="3">
        <v>0</v>
      </c>
      <c r="J768" s="3">
        <v>0</v>
      </c>
      <c r="K768" s="3">
        <v>27000</v>
      </c>
    </row>
    <row r="769" spans="1:11" x14ac:dyDescent="0.2">
      <c r="A769" s="1" t="s">
        <v>4994</v>
      </c>
      <c r="B769" s="1" t="s">
        <v>995</v>
      </c>
      <c r="C769" s="1"/>
      <c r="D769" s="1"/>
      <c r="E769" s="1"/>
      <c r="F769" s="1"/>
      <c r="G769" s="1"/>
      <c r="H769" s="1" t="str">
        <f>"7798140258230"</f>
        <v>7798140258230</v>
      </c>
      <c r="I769" s="3">
        <v>1</v>
      </c>
      <c r="J769" s="3">
        <v>0</v>
      </c>
      <c r="K769" s="3">
        <v>16000</v>
      </c>
    </row>
    <row r="770" spans="1:11" x14ac:dyDescent="0.2">
      <c r="A770" s="1" t="s">
        <v>4994</v>
      </c>
      <c r="B770" s="1" t="s">
        <v>996</v>
      </c>
      <c r="C770" s="1"/>
      <c r="D770" s="1"/>
      <c r="E770" s="1"/>
      <c r="F770" s="1"/>
      <c r="G770" s="1"/>
      <c r="H770" s="1" t="str">
        <f>"7798140252085"</f>
        <v>7798140252085</v>
      </c>
      <c r="I770" s="3">
        <v>4</v>
      </c>
      <c r="J770" s="3">
        <v>0</v>
      </c>
      <c r="K770" s="3">
        <v>15000</v>
      </c>
    </row>
    <row r="771" spans="1:11" x14ac:dyDescent="0.2">
      <c r="A771" s="1" t="s">
        <v>4994</v>
      </c>
      <c r="B771" s="1" t="s">
        <v>997</v>
      </c>
      <c r="C771" s="1"/>
      <c r="D771" s="1"/>
      <c r="E771" s="1"/>
      <c r="F771" s="1"/>
      <c r="G771" s="1"/>
      <c r="H771" s="1" t="str">
        <f>"650240001864"</f>
        <v>650240001864</v>
      </c>
      <c r="I771" s="3">
        <v>3</v>
      </c>
      <c r="J771" s="3">
        <v>0</v>
      </c>
      <c r="K771" s="3">
        <v>15000</v>
      </c>
    </row>
    <row r="772" spans="1:11" x14ac:dyDescent="0.2">
      <c r="A772" s="1" t="s">
        <v>4994</v>
      </c>
      <c r="B772" s="1" t="s">
        <v>998</v>
      </c>
      <c r="C772" s="1"/>
      <c r="D772" s="1"/>
      <c r="E772" s="1"/>
      <c r="F772" s="1"/>
      <c r="G772" s="1"/>
      <c r="H772" s="1" t="str">
        <f>"650240003974"</f>
        <v>650240003974</v>
      </c>
      <c r="I772" s="3">
        <v>5</v>
      </c>
      <c r="J772" s="3">
        <v>0</v>
      </c>
      <c r="K772" s="3">
        <v>10000</v>
      </c>
    </row>
    <row r="773" spans="1:11" x14ac:dyDescent="0.2">
      <c r="A773" s="1" t="s">
        <v>4994</v>
      </c>
      <c r="B773" s="1" t="s">
        <v>999</v>
      </c>
      <c r="C773" s="1"/>
      <c r="D773" s="1"/>
      <c r="E773" s="1"/>
      <c r="F773" s="1"/>
      <c r="G773" s="1"/>
      <c r="H773" s="1" t="str">
        <f>"650240029950"</f>
        <v>650240029950</v>
      </c>
      <c r="I773" s="3">
        <v>0</v>
      </c>
      <c r="J773" s="3">
        <v>0</v>
      </c>
      <c r="K773" s="3">
        <v>10000</v>
      </c>
    </row>
    <row r="774" spans="1:11" x14ac:dyDescent="0.2">
      <c r="A774" s="1" t="s">
        <v>4994</v>
      </c>
      <c r="B774" s="1" t="s">
        <v>1000</v>
      </c>
      <c r="C774" s="1"/>
      <c r="D774" s="1"/>
      <c r="E774" s="1"/>
      <c r="F774" s="1"/>
      <c r="G774" s="1"/>
      <c r="H774" s="1" t="str">
        <f>"650240003196"</f>
        <v>650240003196</v>
      </c>
      <c r="I774" s="3">
        <v>3</v>
      </c>
      <c r="J774" s="3">
        <v>0</v>
      </c>
      <c r="K774" s="3">
        <v>16500</v>
      </c>
    </row>
    <row r="775" spans="1:11" x14ac:dyDescent="0.2">
      <c r="A775" s="1" t="s">
        <v>4994</v>
      </c>
      <c r="B775" s="1" t="s">
        <v>1001</v>
      </c>
      <c r="C775" s="1"/>
      <c r="D775" s="1"/>
      <c r="E775" s="1"/>
      <c r="F775" s="1"/>
      <c r="G775" s="1"/>
      <c r="H775" s="1" t="str">
        <f>"3337875816847"</f>
        <v>3337875816847</v>
      </c>
      <c r="I775" s="3">
        <v>0</v>
      </c>
      <c r="J775" s="3">
        <v>0</v>
      </c>
      <c r="K775" s="3">
        <v>17000</v>
      </c>
    </row>
    <row r="776" spans="1:11" x14ac:dyDescent="0.2">
      <c r="A776" s="1" t="s">
        <v>4994</v>
      </c>
      <c r="B776" s="1" t="s">
        <v>1006</v>
      </c>
      <c r="C776" s="1"/>
      <c r="D776" s="1"/>
      <c r="E776" s="1"/>
      <c r="F776" s="1"/>
      <c r="G776" s="1"/>
      <c r="H776" s="1" t="str">
        <f>"8437024105053"</f>
        <v>8437024105053</v>
      </c>
      <c r="I776" s="3">
        <v>0</v>
      </c>
      <c r="J776" s="3">
        <v>0</v>
      </c>
      <c r="K776" s="3">
        <v>17500</v>
      </c>
    </row>
    <row r="777" spans="1:11" x14ac:dyDescent="0.2">
      <c r="A777" s="1" t="s">
        <v>4994</v>
      </c>
      <c r="B777" s="1" t="s">
        <v>1007</v>
      </c>
      <c r="C777" s="1"/>
      <c r="D777" s="1"/>
      <c r="E777" s="1"/>
      <c r="F777" s="1"/>
      <c r="G777" s="1"/>
      <c r="H777" s="1" t="str">
        <f>"7800019000458"</f>
        <v>7800019000458</v>
      </c>
      <c r="I777" s="3">
        <v>0</v>
      </c>
      <c r="J777" s="3">
        <v>0</v>
      </c>
      <c r="K777" s="3">
        <v>30000</v>
      </c>
    </row>
    <row r="778" spans="1:11" x14ac:dyDescent="0.2">
      <c r="A778" s="1" t="s">
        <v>4994</v>
      </c>
      <c r="B778" s="1" t="s">
        <v>1008</v>
      </c>
      <c r="C778" s="1"/>
      <c r="D778" s="1"/>
      <c r="E778" s="1"/>
      <c r="F778" s="1"/>
      <c r="G778" s="1"/>
      <c r="H778" s="1" t="str">
        <f>"7501082242010"</f>
        <v>7501082242010</v>
      </c>
      <c r="I778" s="3">
        <v>10</v>
      </c>
      <c r="J778" s="3">
        <v>0</v>
      </c>
      <c r="K778" s="3">
        <v>18000</v>
      </c>
    </row>
    <row r="779" spans="1:11" x14ac:dyDescent="0.2">
      <c r="A779" s="1" t="s">
        <v>4994</v>
      </c>
      <c r="B779" s="1" t="s">
        <v>1010</v>
      </c>
      <c r="C779" s="1"/>
      <c r="D779" s="1"/>
      <c r="E779" s="1"/>
      <c r="F779" s="1"/>
      <c r="G779" s="1"/>
      <c r="H779" s="1" t="str">
        <f>"7804653720055"</f>
        <v>7804653720055</v>
      </c>
      <c r="I779" s="3">
        <v>9</v>
      </c>
      <c r="J779" s="3">
        <v>0</v>
      </c>
      <c r="K779" s="3">
        <v>9000</v>
      </c>
    </row>
    <row r="780" spans="1:11" x14ac:dyDescent="0.2">
      <c r="A780" s="1" t="s">
        <v>4994</v>
      </c>
      <c r="B780" s="1" t="s">
        <v>1011</v>
      </c>
      <c r="C780" s="1"/>
      <c r="D780" s="1"/>
      <c r="E780" s="1"/>
      <c r="F780" s="1"/>
      <c r="G780" s="1"/>
      <c r="H780" s="1" t="str">
        <f>"8437020503150"</f>
        <v>8437020503150</v>
      </c>
      <c r="I780" s="3">
        <v>8</v>
      </c>
      <c r="J780" s="3">
        <v>0</v>
      </c>
      <c r="K780" s="3">
        <v>8000</v>
      </c>
    </row>
    <row r="781" spans="1:11" x14ac:dyDescent="0.2">
      <c r="A781" s="1" t="s">
        <v>4994</v>
      </c>
      <c r="B781" s="1" t="s">
        <v>1012</v>
      </c>
      <c r="C781" s="1"/>
      <c r="D781" s="1"/>
      <c r="E781" s="1"/>
      <c r="F781" s="1"/>
      <c r="G781" s="1"/>
      <c r="H781" s="1" t="str">
        <f>"2000341103222"</f>
        <v>2000341103222</v>
      </c>
      <c r="I781" s="3">
        <v>0</v>
      </c>
      <c r="J781" s="3">
        <v>0</v>
      </c>
      <c r="K781" s="3">
        <v>6500</v>
      </c>
    </row>
    <row r="782" spans="1:11" x14ac:dyDescent="0.2">
      <c r="A782" s="1" t="s">
        <v>4994</v>
      </c>
      <c r="B782" s="1" t="s">
        <v>1013</v>
      </c>
      <c r="C782" s="1"/>
      <c r="D782" s="1"/>
      <c r="E782" s="1"/>
      <c r="F782" s="1"/>
      <c r="G782" s="1"/>
      <c r="H782" s="1" t="str">
        <f>"CAH5"</f>
        <v>CAH5</v>
      </c>
      <c r="I782" s="3">
        <v>0</v>
      </c>
      <c r="J782" s="3">
        <v>0</v>
      </c>
      <c r="K782" s="3">
        <v>2500</v>
      </c>
    </row>
    <row r="783" spans="1:11" x14ac:dyDescent="0.2">
      <c r="A783" s="1" t="s">
        <v>4994</v>
      </c>
      <c r="B783" s="1" t="s">
        <v>1014</v>
      </c>
      <c r="C783" s="1"/>
      <c r="D783" s="1"/>
      <c r="E783" s="1"/>
      <c r="F783" s="1"/>
      <c r="G783" s="1"/>
      <c r="H783" s="1" t="str">
        <f>"7805633011040"</f>
        <v>7805633011040</v>
      </c>
      <c r="I783" s="3">
        <v>2</v>
      </c>
      <c r="J783" s="3">
        <v>0</v>
      </c>
      <c r="K783" s="3">
        <v>5000</v>
      </c>
    </row>
    <row r="784" spans="1:11" x14ac:dyDescent="0.2">
      <c r="A784" s="1" t="s">
        <v>4994</v>
      </c>
      <c r="B784" s="1" t="s">
        <v>1015</v>
      </c>
      <c r="C784" s="1"/>
      <c r="D784" s="1"/>
      <c r="E784" s="1"/>
      <c r="F784" s="1"/>
      <c r="G784" s="1"/>
      <c r="H784" s="1" t="str">
        <f>"7804680940211"</f>
        <v>7804680940211</v>
      </c>
      <c r="I784" s="3">
        <v>0</v>
      </c>
      <c r="J784" s="3">
        <v>0</v>
      </c>
      <c r="K784" s="3">
        <v>1500</v>
      </c>
    </row>
    <row r="785" spans="1:11" x14ac:dyDescent="0.2">
      <c r="A785" s="1" t="s">
        <v>4994</v>
      </c>
      <c r="B785" s="1" t="s">
        <v>1016</v>
      </c>
      <c r="C785" s="1"/>
      <c r="D785" s="1"/>
      <c r="E785" s="1"/>
      <c r="F785" s="1"/>
      <c r="G785" s="1"/>
      <c r="H785" s="1" t="str">
        <f>"6920201222015"</f>
        <v>6920201222015</v>
      </c>
      <c r="I785" s="3">
        <v>26</v>
      </c>
      <c r="J785" s="3">
        <v>0</v>
      </c>
      <c r="K785" s="3">
        <v>2000</v>
      </c>
    </row>
    <row r="786" spans="1:11" x14ac:dyDescent="0.2">
      <c r="A786" s="1" t="s">
        <v>4994</v>
      </c>
      <c r="B786" s="1" t="s">
        <v>1017</v>
      </c>
      <c r="C786" s="1"/>
      <c r="D786" s="1"/>
      <c r="E786" s="1"/>
      <c r="F786" s="1"/>
      <c r="G786" s="1"/>
      <c r="H786" s="1" t="str">
        <f>"6920201222022"</f>
        <v>6920201222022</v>
      </c>
      <c r="I786" s="3">
        <v>14</v>
      </c>
      <c r="J786" s="3">
        <v>0</v>
      </c>
      <c r="K786" s="3">
        <v>3000</v>
      </c>
    </row>
    <row r="787" spans="1:11" x14ac:dyDescent="0.2">
      <c r="A787" s="1" t="s">
        <v>4994</v>
      </c>
      <c r="B787" s="1" t="s">
        <v>1018</v>
      </c>
      <c r="C787" s="1"/>
      <c r="D787" s="1"/>
      <c r="E787" s="1"/>
      <c r="F787" s="1"/>
      <c r="G787" s="1"/>
      <c r="H787" s="1" t="str">
        <f>"7804656850001"</f>
        <v>7804656850001</v>
      </c>
      <c r="I787" s="3">
        <v>0</v>
      </c>
      <c r="J787" s="3">
        <v>0</v>
      </c>
      <c r="K787" s="3">
        <v>7500</v>
      </c>
    </row>
    <row r="788" spans="1:11" x14ac:dyDescent="0.2">
      <c r="A788" s="1" t="s">
        <v>4994</v>
      </c>
      <c r="B788" s="1" t="s">
        <v>1019</v>
      </c>
      <c r="C788" s="1"/>
      <c r="D788" s="1"/>
      <c r="E788" s="1"/>
      <c r="F788" s="1"/>
      <c r="G788" s="1"/>
      <c r="H788" s="1" t="str">
        <f>"75883043509487"</f>
        <v>75883043509487</v>
      </c>
      <c r="I788" s="3">
        <v>18</v>
      </c>
      <c r="J788" s="3">
        <v>0</v>
      </c>
      <c r="K788" s="3">
        <v>1000</v>
      </c>
    </row>
    <row r="789" spans="1:11" x14ac:dyDescent="0.2">
      <c r="A789" s="1" t="s">
        <v>4994</v>
      </c>
      <c r="B789" s="1" t="s">
        <v>1020</v>
      </c>
      <c r="C789" s="1"/>
      <c r="D789" s="1"/>
      <c r="E789" s="1"/>
      <c r="F789" s="1"/>
      <c r="G789" s="1"/>
      <c r="H789" s="1" t="str">
        <f>"75883059937474"</f>
        <v>75883059937474</v>
      </c>
      <c r="I789" s="3">
        <v>12</v>
      </c>
      <c r="J789" s="3">
        <v>0</v>
      </c>
      <c r="K789" s="3">
        <v>1500</v>
      </c>
    </row>
    <row r="790" spans="1:11" x14ac:dyDescent="0.2">
      <c r="A790" s="1" t="s">
        <v>4994</v>
      </c>
      <c r="B790" s="1" t="s">
        <v>1021</v>
      </c>
      <c r="C790" s="1"/>
      <c r="D790" s="1"/>
      <c r="E790" s="1"/>
      <c r="F790" s="1"/>
      <c r="G790" s="1"/>
      <c r="H790" s="1" t="str">
        <f>"75883067116852"</f>
        <v>75883067116852</v>
      </c>
      <c r="I790" s="3">
        <v>6</v>
      </c>
      <c r="J790" s="3">
        <v>0</v>
      </c>
      <c r="K790" s="3">
        <v>2000</v>
      </c>
    </row>
    <row r="791" spans="1:11" x14ac:dyDescent="0.2">
      <c r="A791" s="1" t="s">
        <v>4994</v>
      </c>
      <c r="B791" s="1" t="s">
        <v>1022</v>
      </c>
      <c r="C791" s="1"/>
      <c r="D791" s="1"/>
      <c r="E791" s="1"/>
      <c r="F791" s="1"/>
      <c r="G791" s="1"/>
      <c r="H791" s="1" t="str">
        <f>"6920220511008"</f>
        <v>6920220511008</v>
      </c>
      <c r="I791" s="3">
        <v>17</v>
      </c>
      <c r="J791" s="3">
        <v>0</v>
      </c>
      <c r="K791" s="3">
        <v>1000</v>
      </c>
    </row>
    <row r="792" spans="1:11" x14ac:dyDescent="0.2">
      <c r="A792" s="1" t="s">
        <v>4994</v>
      </c>
      <c r="B792" s="1" t="s">
        <v>1023</v>
      </c>
      <c r="C792" s="1"/>
      <c r="D792" s="1"/>
      <c r="E792" s="1"/>
      <c r="F792" s="1"/>
      <c r="G792" s="1"/>
      <c r="H792" s="1" t="str">
        <f>"6920190327104"</f>
        <v>6920190327104</v>
      </c>
      <c r="I792" s="3">
        <v>0</v>
      </c>
      <c r="J792" s="3">
        <v>0</v>
      </c>
      <c r="K792" s="3">
        <v>2000</v>
      </c>
    </row>
    <row r="793" spans="1:11" x14ac:dyDescent="0.2">
      <c r="A793" s="1" t="s">
        <v>4994</v>
      </c>
      <c r="B793" s="1" t="s">
        <v>1024</v>
      </c>
      <c r="C793" s="1"/>
      <c r="D793" s="1"/>
      <c r="E793" s="1"/>
      <c r="F793" s="1"/>
      <c r="G793" s="1"/>
      <c r="H793" s="1" t="str">
        <f>"6920220511015"</f>
        <v>6920220511015</v>
      </c>
      <c r="I793" s="3">
        <v>0</v>
      </c>
      <c r="J793" s="3">
        <v>0</v>
      </c>
      <c r="K793" s="3">
        <v>1000</v>
      </c>
    </row>
    <row r="794" spans="1:11" x14ac:dyDescent="0.2">
      <c r="A794" s="1" t="s">
        <v>4994</v>
      </c>
      <c r="B794" s="1" t="s">
        <v>1025</v>
      </c>
      <c r="C794" s="1"/>
      <c r="D794" s="1"/>
      <c r="E794" s="1"/>
      <c r="F794" s="1"/>
      <c r="G794" s="1"/>
      <c r="H794" s="1" t="str">
        <f>"6920190327111"</f>
        <v>6920190327111</v>
      </c>
      <c r="I794" s="3">
        <v>0</v>
      </c>
      <c r="J794" s="3">
        <v>0</v>
      </c>
      <c r="K794" s="3">
        <v>2500</v>
      </c>
    </row>
    <row r="795" spans="1:11" x14ac:dyDescent="0.2">
      <c r="A795" s="1" t="s">
        <v>4994</v>
      </c>
      <c r="B795" s="1" t="s">
        <v>1026</v>
      </c>
      <c r="C795" s="1"/>
      <c r="D795" s="1"/>
      <c r="E795" s="1"/>
      <c r="F795" s="1"/>
      <c r="G795" s="1"/>
      <c r="H795" s="1" t="str">
        <f>"76022132583090"</f>
        <v>76022132583090</v>
      </c>
      <c r="I795" s="3">
        <v>1</v>
      </c>
      <c r="J795" s="3">
        <v>0</v>
      </c>
      <c r="K795" s="3">
        <v>7000</v>
      </c>
    </row>
    <row r="796" spans="1:11" x14ac:dyDescent="0.2">
      <c r="A796" s="1" t="s">
        <v>4994</v>
      </c>
      <c r="B796" s="1" t="s">
        <v>1027</v>
      </c>
      <c r="C796" s="1"/>
      <c r="D796" s="1"/>
      <c r="E796" s="1"/>
      <c r="F796" s="1"/>
      <c r="G796" s="1"/>
      <c r="H796" s="1" t="str">
        <f>"76005146944427"</f>
        <v>76005146944427</v>
      </c>
      <c r="I796" s="3">
        <v>0</v>
      </c>
      <c r="J796" s="3">
        <v>0</v>
      </c>
      <c r="K796" s="3">
        <v>7000</v>
      </c>
    </row>
    <row r="797" spans="1:11" x14ac:dyDescent="0.2">
      <c r="A797" s="1" t="s">
        <v>4994</v>
      </c>
      <c r="B797" s="1" t="s">
        <v>1028</v>
      </c>
      <c r="C797" s="1"/>
      <c r="D797" s="1"/>
      <c r="E797" s="1"/>
      <c r="F797" s="1"/>
      <c r="G797" s="1"/>
      <c r="H797" s="1" t="str">
        <f>"76022353270971"</f>
        <v>76022353270971</v>
      </c>
      <c r="I797" s="3">
        <v>3</v>
      </c>
      <c r="J797" s="3">
        <v>0</v>
      </c>
      <c r="K797" s="3">
        <v>6000</v>
      </c>
    </row>
    <row r="798" spans="1:11" x14ac:dyDescent="0.2">
      <c r="A798" s="1" t="s">
        <v>4994</v>
      </c>
      <c r="B798" s="1" t="s">
        <v>1029</v>
      </c>
      <c r="C798" s="1"/>
      <c r="D798" s="1"/>
      <c r="E798" s="1"/>
      <c r="F798" s="1"/>
      <c r="G798" s="1"/>
      <c r="H798" s="1" t="str">
        <f>"53453434"</f>
        <v>53453434</v>
      </c>
      <c r="I798" s="3">
        <v>11</v>
      </c>
      <c r="J798" s="3">
        <v>0</v>
      </c>
      <c r="K798" s="3">
        <v>1500</v>
      </c>
    </row>
    <row r="799" spans="1:11" x14ac:dyDescent="0.2">
      <c r="A799" s="1" t="s">
        <v>4994</v>
      </c>
      <c r="B799" s="1" t="s">
        <v>1030</v>
      </c>
      <c r="C799" s="1"/>
      <c r="D799" s="1"/>
      <c r="E799" s="1"/>
      <c r="F799" s="1"/>
      <c r="G799" s="1"/>
      <c r="H799" s="1" t="str">
        <f>"75874664050340"</f>
        <v>75874664050340</v>
      </c>
      <c r="I799" s="3">
        <v>18</v>
      </c>
      <c r="J799" s="3">
        <v>0</v>
      </c>
      <c r="K799" s="3">
        <v>1000</v>
      </c>
    </row>
    <row r="800" spans="1:11" x14ac:dyDescent="0.2">
      <c r="A800" s="1" t="s">
        <v>4994</v>
      </c>
      <c r="B800" s="1" t="s">
        <v>1031</v>
      </c>
      <c r="C800" s="1"/>
      <c r="D800" s="1"/>
      <c r="E800" s="1"/>
      <c r="F800" s="1"/>
      <c r="G800" s="1"/>
      <c r="H800" s="1" t="str">
        <f>"75613046966610"</f>
        <v>75613046966610</v>
      </c>
      <c r="I800" s="3">
        <v>0</v>
      </c>
      <c r="J800" s="3">
        <v>0</v>
      </c>
      <c r="K800" s="3">
        <v>1500</v>
      </c>
    </row>
    <row r="801" spans="1:11" x14ac:dyDescent="0.2">
      <c r="A801" s="1" t="s">
        <v>4994</v>
      </c>
      <c r="B801" s="1" t="s">
        <v>1032</v>
      </c>
      <c r="C801" s="1"/>
      <c r="D801" s="1"/>
      <c r="E801" s="1"/>
      <c r="F801" s="1"/>
      <c r="G801" s="1"/>
      <c r="H801" s="1" t="str">
        <f>"7805070400810"</f>
        <v>7805070400810</v>
      </c>
      <c r="I801" s="3">
        <v>3</v>
      </c>
      <c r="J801" s="3">
        <v>0</v>
      </c>
      <c r="K801" s="3">
        <v>5000</v>
      </c>
    </row>
    <row r="802" spans="1:11" x14ac:dyDescent="0.2">
      <c r="A802" s="1" t="s">
        <v>4994</v>
      </c>
      <c r="B802" s="1" t="s">
        <v>1033</v>
      </c>
      <c r="C802" s="1"/>
      <c r="D802" s="1"/>
      <c r="E802" s="1"/>
      <c r="F802" s="1"/>
      <c r="G802" s="1"/>
      <c r="H802" s="1" t="str">
        <f>"7800060118867"</f>
        <v>7800060118867</v>
      </c>
      <c r="I802" s="3">
        <v>2</v>
      </c>
      <c r="J802" s="3">
        <v>0</v>
      </c>
      <c r="K802" s="3">
        <v>24000</v>
      </c>
    </row>
    <row r="803" spans="1:11" x14ac:dyDescent="0.2">
      <c r="A803" s="1" t="s">
        <v>4994</v>
      </c>
      <c r="B803" s="1" t="s">
        <v>1034</v>
      </c>
      <c r="C803" s="1"/>
      <c r="D803" s="1"/>
      <c r="E803" s="1"/>
      <c r="F803" s="1"/>
      <c r="G803" s="1"/>
      <c r="H803" s="1" t="str">
        <f>"7800060030183"</f>
        <v>7800060030183</v>
      </c>
      <c r="I803" s="3">
        <v>0</v>
      </c>
      <c r="J803" s="3">
        <v>0</v>
      </c>
      <c r="K803" s="3">
        <v>23000</v>
      </c>
    </row>
    <row r="804" spans="1:11" x14ac:dyDescent="0.2">
      <c r="A804" s="1" t="s">
        <v>4994</v>
      </c>
      <c r="B804" s="1" t="s">
        <v>1035</v>
      </c>
      <c r="C804" s="1"/>
      <c r="D804" s="1"/>
      <c r="E804" s="1"/>
      <c r="F804" s="1"/>
      <c r="G804" s="1"/>
      <c r="H804" s="1" t="str">
        <f>"7800060037007"</f>
        <v>7800060037007</v>
      </c>
      <c r="I804" s="3">
        <v>0</v>
      </c>
      <c r="J804" s="3">
        <v>0</v>
      </c>
      <c r="K804" s="3">
        <v>23000</v>
      </c>
    </row>
    <row r="805" spans="1:11" x14ac:dyDescent="0.2">
      <c r="A805" s="1" t="s">
        <v>4994</v>
      </c>
      <c r="B805" s="1" t="s">
        <v>1036</v>
      </c>
      <c r="C805" s="1"/>
      <c r="D805" s="1"/>
      <c r="E805" s="1"/>
      <c r="F805" s="1"/>
      <c r="G805" s="1"/>
      <c r="H805" s="1" t="str">
        <f>"7800097002412"</f>
        <v>7800097002412</v>
      </c>
      <c r="I805" s="3">
        <v>26</v>
      </c>
      <c r="J805" s="3">
        <v>0</v>
      </c>
      <c r="K805" s="3">
        <v>9000</v>
      </c>
    </row>
    <row r="806" spans="1:11" x14ac:dyDescent="0.2">
      <c r="A806" s="1" t="s">
        <v>4994</v>
      </c>
      <c r="B806" s="1" t="s">
        <v>1040</v>
      </c>
      <c r="C806" s="1"/>
      <c r="D806" s="1"/>
      <c r="E806" s="1"/>
      <c r="F806" s="1"/>
      <c r="G806" s="1"/>
      <c r="H806" s="1" t="str">
        <f>"7800060110106"</f>
        <v>7800060110106</v>
      </c>
      <c r="I806" s="3">
        <v>2</v>
      </c>
      <c r="J806" s="3">
        <v>0</v>
      </c>
      <c r="K806" s="3">
        <v>22000</v>
      </c>
    </row>
    <row r="807" spans="1:11" x14ac:dyDescent="0.2">
      <c r="A807" s="1" t="s">
        <v>4994</v>
      </c>
      <c r="B807" s="1" t="s">
        <v>1041</v>
      </c>
      <c r="C807" s="1"/>
      <c r="D807" s="1"/>
      <c r="E807" s="1"/>
      <c r="F807" s="1"/>
      <c r="G807" s="1"/>
      <c r="H807" s="1" t="str">
        <f>"7800060001848"</f>
        <v>7800060001848</v>
      </c>
      <c r="I807" s="3">
        <v>0</v>
      </c>
      <c r="J807" s="3">
        <v>0</v>
      </c>
      <c r="K807" s="3">
        <v>21000</v>
      </c>
    </row>
    <row r="808" spans="1:11" x14ac:dyDescent="0.2">
      <c r="A808" s="1" t="s">
        <v>4994</v>
      </c>
      <c r="B808" s="1" t="s">
        <v>1042</v>
      </c>
      <c r="C808" s="1"/>
      <c r="D808" s="1"/>
      <c r="E808" s="1"/>
      <c r="F808" s="1"/>
      <c r="G808" s="1"/>
      <c r="H808" s="1" t="str">
        <f>"7800060111776"</f>
        <v>7800060111776</v>
      </c>
      <c r="I808" s="3">
        <v>1</v>
      </c>
      <c r="J808" s="3">
        <v>0</v>
      </c>
      <c r="K808" s="3">
        <v>22000</v>
      </c>
    </row>
    <row r="809" spans="1:11" x14ac:dyDescent="0.2">
      <c r="A809" s="1" t="s">
        <v>4994</v>
      </c>
      <c r="B809" s="1" t="s">
        <v>1044</v>
      </c>
      <c r="C809" s="1"/>
      <c r="D809" s="1"/>
      <c r="E809" s="1"/>
      <c r="F809" s="1"/>
      <c r="G809" s="1"/>
      <c r="H809" s="1" t="str">
        <f>"7803501004446"</f>
        <v>7803501004446</v>
      </c>
      <c r="I809" s="3">
        <v>12</v>
      </c>
      <c r="J809" s="3">
        <v>0</v>
      </c>
      <c r="K809" s="3">
        <v>1500</v>
      </c>
    </row>
    <row r="810" spans="1:11" x14ac:dyDescent="0.2">
      <c r="A810" s="1" t="s">
        <v>4994</v>
      </c>
      <c r="B810" s="1" t="s">
        <v>1046</v>
      </c>
      <c r="C810" s="1"/>
      <c r="D810" s="1"/>
      <c r="E810" s="1"/>
      <c r="F810" s="1"/>
      <c r="G810" s="1"/>
      <c r="H810" s="1" t="str">
        <f>"7803510773319"</f>
        <v>7803510773319</v>
      </c>
      <c r="I810" s="3">
        <v>3</v>
      </c>
      <c r="J810" s="3">
        <v>0</v>
      </c>
      <c r="K810" s="3">
        <v>4000</v>
      </c>
    </row>
    <row r="811" spans="1:11" x14ac:dyDescent="0.2">
      <c r="A811" s="1" t="s">
        <v>4994</v>
      </c>
      <c r="B811" s="1" t="s">
        <v>1047</v>
      </c>
      <c r="C811" s="1"/>
      <c r="D811" s="1"/>
      <c r="E811" s="1"/>
      <c r="F811" s="1"/>
      <c r="G811" s="1"/>
      <c r="H811" s="1" t="str">
        <f>"7803510300201"</f>
        <v>7803510300201</v>
      </c>
      <c r="I811" s="3">
        <v>1</v>
      </c>
      <c r="J811" s="3">
        <v>0</v>
      </c>
      <c r="K811" s="3">
        <v>6000</v>
      </c>
    </row>
    <row r="812" spans="1:11" x14ac:dyDescent="0.2">
      <c r="A812" s="1" t="s">
        <v>4994</v>
      </c>
      <c r="B812" s="1" t="s">
        <v>1048</v>
      </c>
      <c r="C812" s="1"/>
      <c r="D812" s="1"/>
      <c r="E812" s="1"/>
      <c r="F812" s="1"/>
      <c r="G812" s="1"/>
      <c r="H812" s="1" t="str">
        <f>"7803510773234"</f>
        <v>7803510773234</v>
      </c>
      <c r="I812" s="3">
        <v>0</v>
      </c>
      <c r="J812" s="3">
        <v>0</v>
      </c>
      <c r="K812" s="3">
        <v>5500</v>
      </c>
    </row>
    <row r="813" spans="1:11" x14ac:dyDescent="0.2">
      <c r="A813" s="1" t="s">
        <v>4994</v>
      </c>
      <c r="B813" s="1" t="s">
        <v>1049</v>
      </c>
      <c r="C813" s="1"/>
      <c r="D813" s="1"/>
      <c r="E813" s="1"/>
      <c r="F813" s="1"/>
      <c r="G813" s="1"/>
      <c r="H813" s="1" t="str">
        <f>"7803510002396"</f>
        <v>7803510002396</v>
      </c>
      <c r="I813" s="3">
        <v>4</v>
      </c>
      <c r="J813" s="3">
        <v>0</v>
      </c>
      <c r="K813" s="3">
        <v>8000</v>
      </c>
    </row>
    <row r="814" spans="1:11" x14ac:dyDescent="0.2">
      <c r="A814" s="1" t="s">
        <v>4994</v>
      </c>
      <c r="B814" s="1" t="s">
        <v>1050</v>
      </c>
      <c r="C814" s="1"/>
      <c r="D814" s="1"/>
      <c r="E814" s="1"/>
      <c r="F814" s="1"/>
      <c r="G814" s="1"/>
      <c r="H814" s="1" t="str">
        <f>"7803510002648"</f>
        <v>7803510002648</v>
      </c>
      <c r="I814" s="3">
        <v>10</v>
      </c>
      <c r="J814" s="3">
        <v>0</v>
      </c>
      <c r="K814" s="3">
        <v>3500</v>
      </c>
    </row>
    <row r="815" spans="1:11" x14ac:dyDescent="0.2">
      <c r="A815" s="1" t="s">
        <v>4994</v>
      </c>
      <c r="B815" s="1" t="s">
        <v>1051</v>
      </c>
      <c r="C815" s="1"/>
      <c r="D815" s="1"/>
      <c r="E815" s="1"/>
      <c r="F815" s="1"/>
      <c r="G815" s="1"/>
      <c r="H815" s="1" t="str">
        <f>"7803510002655"</f>
        <v>7803510002655</v>
      </c>
      <c r="I815" s="3">
        <v>6</v>
      </c>
      <c r="J815" s="3">
        <v>0</v>
      </c>
      <c r="K815" s="3">
        <v>6000</v>
      </c>
    </row>
    <row r="816" spans="1:11" x14ac:dyDescent="0.2">
      <c r="A816" s="1" t="s">
        <v>4994</v>
      </c>
      <c r="B816" s="1" t="s">
        <v>1052</v>
      </c>
      <c r="C816" s="1"/>
      <c r="D816" s="1"/>
      <c r="E816" s="1"/>
      <c r="F816" s="1"/>
      <c r="G816" s="1"/>
      <c r="H816" s="1" t="str">
        <f>"7803510001931"</f>
        <v>7803510001931</v>
      </c>
      <c r="I816" s="3">
        <v>3</v>
      </c>
      <c r="J816" s="3">
        <v>0</v>
      </c>
      <c r="K816" s="3">
        <v>3500</v>
      </c>
    </row>
    <row r="817" spans="1:11" x14ac:dyDescent="0.2">
      <c r="A817" s="1" t="s">
        <v>4994</v>
      </c>
      <c r="B817" s="1" t="s">
        <v>1053</v>
      </c>
      <c r="C817" s="1"/>
      <c r="D817" s="1"/>
      <c r="E817" s="1"/>
      <c r="F817" s="1"/>
      <c r="G817" s="1"/>
      <c r="H817" s="1" t="str">
        <f>"7803510441010"</f>
        <v>7803510441010</v>
      </c>
      <c r="I817" s="3">
        <v>3</v>
      </c>
      <c r="J817" s="3">
        <v>0</v>
      </c>
      <c r="K817" s="3">
        <v>4500</v>
      </c>
    </row>
    <row r="818" spans="1:11" x14ac:dyDescent="0.2">
      <c r="A818" s="1" t="s">
        <v>4994</v>
      </c>
      <c r="B818" s="1" t="s">
        <v>1054</v>
      </c>
      <c r="C818" s="1"/>
      <c r="D818" s="1"/>
      <c r="E818" s="1"/>
      <c r="F818" s="1"/>
      <c r="G818" s="1"/>
      <c r="H818" s="1" t="str">
        <f>"7803510002259"</f>
        <v>7803510002259</v>
      </c>
      <c r="I818" s="3">
        <v>5</v>
      </c>
      <c r="J818" s="3">
        <v>0</v>
      </c>
      <c r="K818" s="3">
        <v>5000</v>
      </c>
    </row>
    <row r="819" spans="1:11" x14ac:dyDescent="0.2">
      <c r="A819" s="1" t="s">
        <v>4994</v>
      </c>
      <c r="B819" s="1" t="s">
        <v>1057</v>
      </c>
      <c r="C819" s="1"/>
      <c r="D819" s="1"/>
      <c r="E819" s="1"/>
      <c r="F819" s="1"/>
      <c r="G819" s="1"/>
      <c r="H819" s="1" t="str">
        <f>"7804636590200"</f>
        <v>7804636590200</v>
      </c>
      <c r="I819" s="3">
        <v>0</v>
      </c>
      <c r="J819" s="3">
        <v>0</v>
      </c>
      <c r="K819" s="3">
        <v>20000</v>
      </c>
    </row>
    <row r="820" spans="1:11" x14ac:dyDescent="0.2">
      <c r="A820" s="1" t="s">
        <v>4994</v>
      </c>
      <c r="B820" s="1" t="s">
        <v>1059</v>
      </c>
      <c r="C820" s="1"/>
      <c r="D820" s="1"/>
      <c r="E820" s="1"/>
      <c r="F820" s="1"/>
      <c r="G820" s="1"/>
      <c r="H820" s="1" t="str">
        <f>"76045309443599"</f>
        <v>76045309443599</v>
      </c>
      <c r="I820" s="3">
        <v>12</v>
      </c>
      <c r="J820" s="3">
        <v>0</v>
      </c>
      <c r="K820" s="3">
        <v>3500</v>
      </c>
    </row>
    <row r="821" spans="1:11" x14ac:dyDescent="0.2">
      <c r="A821" s="1" t="s">
        <v>4994</v>
      </c>
      <c r="B821" s="1" t="s">
        <v>1066</v>
      </c>
      <c r="C821" s="1"/>
      <c r="D821" s="1"/>
      <c r="E821" s="1"/>
      <c r="F821" s="1"/>
      <c r="G821" s="1"/>
      <c r="H821" s="1" t="str">
        <f>"737186232993"</f>
        <v>737186232993</v>
      </c>
      <c r="I821" s="3">
        <v>0</v>
      </c>
      <c r="J821" s="3">
        <v>0</v>
      </c>
      <c r="K821" s="3">
        <v>8400</v>
      </c>
    </row>
    <row r="822" spans="1:11" x14ac:dyDescent="0.2">
      <c r="A822" s="1" t="s">
        <v>4994</v>
      </c>
      <c r="B822" s="1" t="s">
        <v>1068</v>
      </c>
      <c r="C822" s="1"/>
      <c r="D822" s="1"/>
      <c r="E822" s="1"/>
      <c r="F822" s="1"/>
      <c r="G822" s="1"/>
      <c r="H822" s="1" t="str">
        <f>"7804918402054"</f>
        <v>7804918402054</v>
      </c>
      <c r="I822" s="3">
        <v>77</v>
      </c>
      <c r="J822" s="3">
        <v>0</v>
      </c>
      <c r="K822" s="3">
        <v>1500</v>
      </c>
    </row>
    <row r="823" spans="1:11" x14ac:dyDescent="0.2">
      <c r="A823" s="1" t="s">
        <v>4994</v>
      </c>
      <c r="B823" s="1" t="s">
        <v>1069</v>
      </c>
      <c r="C823" s="1"/>
      <c r="D823" s="1"/>
      <c r="E823" s="1"/>
      <c r="F823" s="1"/>
      <c r="G823" s="1"/>
      <c r="H823" s="1" t="str">
        <f>"7800018000961"</f>
        <v>7800018000961</v>
      </c>
      <c r="I823" s="3">
        <v>3</v>
      </c>
      <c r="J823" s="3">
        <v>0</v>
      </c>
      <c r="K823" s="3">
        <v>8000</v>
      </c>
    </row>
    <row r="824" spans="1:11" x14ac:dyDescent="0.2">
      <c r="A824" s="1" t="s">
        <v>4994</v>
      </c>
      <c r="B824" s="1" t="s">
        <v>1070</v>
      </c>
      <c r="C824" s="1"/>
      <c r="D824" s="1"/>
      <c r="E824" s="1"/>
      <c r="F824" s="1"/>
      <c r="G824" s="1"/>
      <c r="H824" s="1" t="str">
        <f>"7800018000954"</f>
        <v>7800018000954</v>
      </c>
      <c r="I824" s="3">
        <v>73</v>
      </c>
      <c r="J824" s="3">
        <v>0</v>
      </c>
      <c r="K824" s="3">
        <v>3500</v>
      </c>
    </row>
    <row r="825" spans="1:11" x14ac:dyDescent="0.2">
      <c r="A825" s="1" t="s">
        <v>4994</v>
      </c>
      <c r="B825" s="1" t="s">
        <v>1072</v>
      </c>
      <c r="C825" s="1"/>
      <c r="D825" s="1"/>
      <c r="E825" s="1"/>
      <c r="F825" s="1"/>
      <c r="G825" s="1"/>
      <c r="H825" s="1" t="str">
        <f>"7800041040873"</f>
        <v>7800041040873</v>
      </c>
      <c r="I825" s="3">
        <v>0</v>
      </c>
      <c r="J825" s="3">
        <v>0</v>
      </c>
      <c r="K825" s="3">
        <v>3500</v>
      </c>
    </row>
    <row r="826" spans="1:11" x14ac:dyDescent="0.2">
      <c r="A826" s="1" t="s">
        <v>4994</v>
      </c>
      <c r="B826" s="1" t="s">
        <v>1074</v>
      </c>
      <c r="C826" s="1"/>
      <c r="D826" s="1"/>
      <c r="E826" s="1"/>
      <c r="F826" s="1"/>
      <c r="G826" s="1"/>
      <c r="H826" s="1" t="str">
        <f>"7800068011023"</f>
        <v>7800068011023</v>
      </c>
      <c r="I826" s="3">
        <v>0</v>
      </c>
      <c r="J826" s="3">
        <v>0</v>
      </c>
      <c r="K826" s="3">
        <v>17000</v>
      </c>
    </row>
    <row r="827" spans="1:11" x14ac:dyDescent="0.2">
      <c r="A827" s="1" t="s">
        <v>4994</v>
      </c>
      <c r="B827" s="1" t="s">
        <v>1075</v>
      </c>
      <c r="C827" s="1"/>
      <c r="D827" s="1"/>
      <c r="E827" s="1"/>
      <c r="F827" s="1"/>
      <c r="G827" s="1"/>
      <c r="H827" s="1" t="str">
        <f>"7891317129491"</f>
        <v>7891317129491</v>
      </c>
      <c r="I827" s="3">
        <v>0</v>
      </c>
      <c r="J827" s="3">
        <v>0</v>
      </c>
      <c r="K827" s="3">
        <v>10000</v>
      </c>
    </row>
    <row r="828" spans="1:11" x14ac:dyDescent="0.2">
      <c r="A828" s="1" t="s">
        <v>4994</v>
      </c>
      <c r="B828" s="1" t="s">
        <v>1076</v>
      </c>
      <c r="C828" s="1"/>
      <c r="D828" s="1"/>
      <c r="E828" s="1"/>
      <c r="F828" s="1"/>
      <c r="G828" s="1"/>
      <c r="H828" s="1" t="str">
        <f>"7891317120566"</f>
        <v>7891317120566</v>
      </c>
      <c r="I828" s="3">
        <v>0</v>
      </c>
      <c r="J828" s="3">
        <v>0</v>
      </c>
      <c r="K828" s="3">
        <v>8000</v>
      </c>
    </row>
    <row r="829" spans="1:11" x14ac:dyDescent="0.2">
      <c r="A829" s="1" t="s">
        <v>4994</v>
      </c>
      <c r="B829" s="1" t="s">
        <v>1079</v>
      </c>
      <c r="C829" s="1"/>
      <c r="D829" s="1"/>
      <c r="E829" s="1"/>
      <c r="F829" s="1"/>
      <c r="G829" s="1"/>
      <c r="H829" s="1" t="str">
        <f>"7800060111691"</f>
        <v>7800060111691</v>
      </c>
      <c r="I829" s="3">
        <v>0</v>
      </c>
      <c r="J829" s="3">
        <v>0</v>
      </c>
      <c r="K829" s="3">
        <v>24000</v>
      </c>
    </row>
    <row r="830" spans="1:11" x14ac:dyDescent="0.2">
      <c r="A830" s="1" t="s">
        <v>4994</v>
      </c>
      <c r="B830" s="1" t="s">
        <v>1080</v>
      </c>
      <c r="C830" s="1"/>
      <c r="D830" s="1"/>
      <c r="E830" s="1"/>
      <c r="F830" s="1"/>
      <c r="G830" s="1"/>
      <c r="H830" s="1" t="str">
        <f>"7800060116306"</f>
        <v>7800060116306</v>
      </c>
      <c r="I830" s="3">
        <v>0</v>
      </c>
      <c r="J830" s="3">
        <v>0</v>
      </c>
      <c r="K830" s="3">
        <v>23000</v>
      </c>
    </row>
    <row r="831" spans="1:11" x14ac:dyDescent="0.2">
      <c r="A831" s="1" t="s">
        <v>4994</v>
      </c>
      <c r="B831" s="1" t="s">
        <v>1082</v>
      </c>
      <c r="C831" s="1"/>
      <c r="D831" s="1"/>
      <c r="E831" s="1"/>
      <c r="F831" s="1"/>
      <c r="G831" s="1"/>
      <c r="H831" s="1" t="str">
        <f>"7806130011205"</f>
        <v>7806130011205</v>
      </c>
      <c r="I831" s="3">
        <v>12</v>
      </c>
      <c r="J831" s="3">
        <v>0</v>
      </c>
      <c r="K831" s="3">
        <v>30000</v>
      </c>
    </row>
    <row r="832" spans="1:11" x14ac:dyDescent="0.2">
      <c r="A832" s="1" t="s">
        <v>4994</v>
      </c>
      <c r="B832" s="1" t="s">
        <v>1083</v>
      </c>
      <c r="C832" s="1"/>
      <c r="D832" s="1"/>
      <c r="E832" s="1"/>
      <c r="F832" s="1"/>
      <c r="G832" s="1"/>
      <c r="H832" s="1" t="str">
        <f>"7804907001268"</f>
        <v>7804907001268</v>
      </c>
      <c r="I832" s="3">
        <v>6</v>
      </c>
      <c r="J832" s="3">
        <v>0</v>
      </c>
      <c r="K832" s="3">
        <v>3500</v>
      </c>
    </row>
    <row r="833" spans="1:11" x14ac:dyDescent="0.2">
      <c r="A833" s="1" t="s">
        <v>4994</v>
      </c>
      <c r="B833" s="1" t="s">
        <v>1084</v>
      </c>
      <c r="C833" s="1"/>
      <c r="D833" s="1"/>
      <c r="E833" s="1"/>
      <c r="F833" s="1"/>
      <c r="G833" s="1"/>
      <c r="H833" s="1" t="str">
        <f>"3499320003827"</f>
        <v>3499320003827</v>
      </c>
      <c r="I833" s="3">
        <v>2</v>
      </c>
      <c r="J833" s="3">
        <v>0</v>
      </c>
      <c r="K833" s="3">
        <v>45000</v>
      </c>
    </row>
    <row r="834" spans="1:11" x14ac:dyDescent="0.2">
      <c r="A834" s="1" t="s">
        <v>4994</v>
      </c>
      <c r="B834" s="1" t="s">
        <v>1087</v>
      </c>
      <c r="C834" s="1"/>
      <c r="D834" s="1"/>
      <c r="E834" s="1"/>
      <c r="F834" s="1"/>
      <c r="G834" s="1"/>
      <c r="H834" s="1" t="str">
        <f>"7800046005624"</f>
        <v>7800046005624</v>
      </c>
      <c r="I834" s="3">
        <v>0</v>
      </c>
      <c r="J834" s="3">
        <v>0</v>
      </c>
      <c r="K834" s="3">
        <v>5000</v>
      </c>
    </row>
    <row r="835" spans="1:11" x14ac:dyDescent="0.2">
      <c r="A835" s="1" t="s">
        <v>4994</v>
      </c>
      <c r="B835" s="1" t="s">
        <v>1088</v>
      </c>
      <c r="C835" s="1"/>
      <c r="D835" s="1"/>
      <c r="E835" s="1"/>
      <c r="F835" s="1"/>
      <c r="G835" s="1"/>
      <c r="H835" s="1" t="str">
        <f>"7804640560411"</f>
        <v>7804640560411</v>
      </c>
      <c r="I835" s="3">
        <v>0</v>
      </c>
      <c r="J835" s="3">
        <v>0</v>
      </c>
      <c r="K835" s="3">
        <v>1000</v>
      </c>
    </row>
    <row r="836" spans="1:11" x14ac:dyDescent="0.2">
      <c r="A836" s="1" t="s">
        <v>4994</v>
      </c>
      <c r="B836" s="1" t="s">
        <v>1090</v>
      </c>
      <c r="C836" s="1"/>
      <c r="D836" s="1"/>
      <c r="E836" s="1"/>
      <c r="F836" s="1"/>
      <c r="G836" s="1"/>
      <c r="H836" s="1" t="str">
        <f>"6934575711181"</f>
        <v>6934575711181</v>
      </c>
      <c r="I836" s="3">
        <v>6</v>
      </c>
      <c r="J836" s="3">
        <v>0</v>
      </c>
      <c r="K836" s="3">
        <v>1000</v>
      </c>
    </row>
    <row r="837" spans="1:11" x14ac:dyDescent="0.2">
      <c r="A837" s="1" t="s">
        <v>4994</v>
      </c>
      <c r="B837" s="1" t="s">
        <v>1091</v>
      </c>
      <c r="C837" s="1"/>
      <c r="D837" s="1"/>
      <c r="E837" s="1"/>
      <c r="F837" s="1"/>
      <c r="G837" s="1"/>
      <c r="H837" s="1" t="str">
        <f>"6934575711198"</f>
        <v>6934575711198</v>
      </c>
      <c r="I837" s="3">
        <v>1</v>
      </c>
      <c r="J837" s="3">
        <v>0</v>
      </c>
      <c r="K837" s="3">
        <v>1000</v>
      </c>
    </row>
    <row r="838" spans="1:11" x14ac:dyDescent="0.2">
      <c r="A838" s="1" t="s">
        <v>4994</v>
      </c>
      <c r="B838" s="1" t="s">
        <v>1092</v>
      </c>
      <c r="C838" s="1"/>
      <c r="D838" s="1"/>
      <c r="E838" s="1"/>
      <c r="F838" s="1"/>
      <c r="G838" s="1"/>
      <c r="H838" s="1" t="str">
        <f>"6934575711228"</f>
        <v>6934575711228</v>
      </c>
      <c r="I838" s="3">
        <v>3</v>
      </c>
      <c r="J838" s="3">
        <v>0</v>
      </c>
      <c r="K838" s="3">
        <v>1000</v>
      </c>
    </row>
    <row r="839" spans="1:11" x14ac:dyDescent="0.2">
      <c r="A839" s="1" t="s">
        <v>4994</v>
      </c>
      <c r="B839" s="1" t="s">
        <v>1093</v>
      </c>
      <c r="C839" s="1"/>
      <c r="D839" s="1"/>
      <c r="E839" s="1"/>
      <c r="F839" s="1"/>
      <c r="G839" s="1"/>
      <c r="H839" s="1" t="str">
        <f>"7800028112104"</f>
        <v>7800028112104</v>
      </c>
      <c r="I839" s="3">
        <v>5</v>
      </c>
      <c r="J839" s="3">
        <v>0</v>
      </c>
      <c r="K839" s="3">
        <v>14000</v>
      </c>
    </row>
    <row r="840" spans="1:11" x14ac:dyDescent="0.2">
      <c r="A840" s="1" t="s">
        <v>4994</v>
      </c>
      <c r="B840" s="1" t="s">
        <v>1095</v>
      </c>
      <c r="C840" s="1"/>
      <c r="D840" s="1"/>
      <c r="E840" s="1"/>
      <c r="F840" s="1"/>
      <c r="G840" s="1"/>
      <c r="H840" s="1" t="str">
        <f>"7800007702463"</f>
        <v>7800007702463</v>
      </c>
      <c r="I840" s="3">
        <v>0</v>
      </c>
      <c r="J840" s="3">
        <v>0</v>
      </c>
      <c r="K840" s="3">
        <v>1500</v>
      </c>
    </row>
    <row r="841" spans="1:11" x14ac:dyDescent="0.2">
      <c r="A841" s="1" t="s">
        <v>4994</v>
      </c>
      <c r="B841" s="1" t="s">
        <v>1096</v>
      </c>
      <c r="C841" s="1"/>
      <c r="D841" s="1"/>
      <c r="E841" s="1"/>
      <c r="F841" s="1"/>
      <c r="G841" s="1"/>
      <c r="H841" s="1" t="str">
        <f>"7800007702548"</f>
        <v>7800007702548</v>
      </c>
      <c r="I841" s="3">
        <v>0</v>
      </c>
      <c r="J841" s="3">
        <v>0</v>
      </c>
      <c r="K841" s="3">
        <v>3000</v>
      </c>
    </row>
    <row r="842" spans="1:11" x14ac:dyDescent="0.2">
      <c r="A842" s="1" t="s">
        <v>4994</v>
      </c>
      <c r="B842" s="1" t="s">
        <v>1097</v>
      </c>
      <c r="C842" s="1"/>
      <c r="D842" s="1"/>
      <c r="E842" s="1"/>
      <c r="F842" s="1"/>
      <c r="G842" s="1"/>
      <c r="H842" s="1" t="str">
        <f>"7800060412897"</f>
        <v>7800060412897</v>
      </c>
      <c r="I842" s="3">
        <v>3</v>
      </c>
      <c r="J842" s="3">
        <v>0</v>
      </c>
      <c r="K842" s="3">
        <v>6000</v>
      </c>
    </row>
    <row r="843" spans="1:11" x14ac:dyDescent="0.2">
      <c r="A843" s="1" t="s">
        <v>4994</v>
      </c>
      <c r="B843" s="1" t="s">
        <v>1098</v>
      </c>
      <c r="C843" s="1"/>
      <c r="D843" s="1"/>
      <c r="E843" s="1"/>
      <c r="F843" s="1"/>
      <c r="G843" s="1"/>
      <c r="H843" s="1" t="str">
        <f>"7800060412972"</f>
        <v>7800060412972</v>
      </c>
      <c r="I843" s="3">
        <v>0</v>
      </c>
      <c r="J843" s="3">
        <v>0</v>
      </c>
      <c r="K843" s="3">
        <v>11000</v>
      </c>
    </row>
    <row r="844" spans="1:11" x14ac:dyDescent="0.2">
      <c r="A844" s="1" t="s">
        <v>4994</v>
      </c>
      <c r="B844" s="1" t="s">
        <v>1100</v>
      </c>
      <c r="C844" s="1"/>
      <c r="D844" s="1"/>
      <c r="E844" s="1"/>
      <c r="F844" s="1"/>
      <c r="G844" s="1"/>
      <c r="H844" s="1" t="str">
        <f>"7730969300332"</f>
        <v>7730969300332</v>
      </c>
      <c r="I844" s="3">
        <v>0</v>
      </c>
      <c r="J844" s="3">
        <v>0</v>
      </c>
      <c r="K844" s="3">
        <v>1000</v>
      </c>
    </row>
    <row r="845" spans="1:11" x14ac:dyDescent="0.2">
      <c r="A845" s="1" t="s">
        <v>4994</v>
      </c>
      <c r="B845" s="1" t="s">
        <v>1102</v>
      </c>
      <c r="C845" s="1"/>
      <c r="D845" s="1"/>
      <c r="E845" s="1"/>
      <c r="F845" s="1"/>
      <c r="G845" s="1"/>
      <c r="H845" s="1" t="str">
        <f>"7804636190301"</f>
        <v>7804636190301</v>
      </c>
      <c r="I845" s="3">
        <v>0</v>
      </c>
      <c r="J845" s="3">
        <v>0</v>
      </c>
      <c r="K845" s="3">
        <v>1500</v>
      </c>
    </row>
    <row r="846" spans="1:11" x14ac:dyDescent="0.2">
      <c r="A846" s="1" t="s">
        <v>4994</v>
      </c>
      <c r="B846" s="1" t="s">
        <v>1104</v>
      </c>
      <c r="C846" s="1"/>
      <c r="D846" s="1"/>
      <c r="E846" s="1"/>
      <c r="F846" s="1"/>
      <c r="G846" s="1"/>
      <c r="H846" s="1" t="str">
        <f>"7804657990362"</f>
        <v>7804657990362</v>
      </c>
      <c r="I846" s="3">
        <v>0</v>
      </c>
      <c r="J846" s="3">
        <v>0</v>
      </c>
      <c r="K846" s="3">
        <v>1500</v>
      </c>
    </row>
    <row r="847" spans="1:11" x14ac:dyDescent="0.2">
      <c r="A847" s="1" t="s">
        <v>4994</v>
      </c>
      <c r="B847" s="1" t="s">
        <v>1105</v>
      </c>
      <c r="C847" s="1"/>
      <c r="D847" s="1"/>
      <c r="E847" s="1"/>
      <c r="F847" s="1"/>
      <c r="G847" s="1"/>
      <c r="H847" s="1" t="str">
        <f>"7800060003064"</f>
        <v>7800060003064</v>
      </c>
      <c r="I847" s="3">
        <v>0</v>
      </c>
      <c r="J847" s="3">
        <v>0</v>
      </c>
      <c r="K847" s="3">
        <v>2000</v>
      </c>
    </row>
    <row r="848" spans="1:11" x14ac:dyDescent="0.2">
      <c r="A848" s="1" t="s">
        <v>4994</v>
      </c>
      <c r="B848" s="1" t="s">
        <v>1106</v>
      </c>
      <c r="C848" s="1"/>
      <c r="D848" s="1"/>
      <c r="E848" s="1"/>
      <c r="F848" s="1"/>
      <c r="G848" s="1"/>
      <c r="H848" s="1" t="str">
        <f>"7804620834648"</f>
        <v>7804620834648</v>
      </c>
      <c r="I848" s="3">
        <v>0</v>
      </c>
      <c r="J848" s="3">
        <v>0</v>
      </c>
      <c r="K848" s="3">
        <v>2000</v>
      </c>
    </row>
    <row r="849" spans="1:11" x14ac:dyDescent="0.2">
      <c r="A849" s="1" t="s">
        <v>4994</v>
      </c>
      <c r="B849" s="1" t="s">
        <v>1111</v>
      </c>
      <c r="C849" s="1"/>
      <c r="D849" s="1"/>
      <c r="E849" s="1"/>
      <c r="F849" s="1"/>
      <c r="G849" s="1"/>
      <c r="H849" s="1" t="str">
        <f>"7804673040072"</f>
        <v>7804673040072</v>
      </c>
      <c r="I849" s="3">
        <v>2</v>
      </c>
      <c r="J849" s="3">
        <v>0</v>
      </c>
      <c r="K849" s="3">
        <v>3000</v>
      </c>
    </row>
    <row r="850" spans="1:11" x14ac:dyDescent="0.2">
      <c r="A850" s="1" t="s">
        <v>4994</v>
      </c>
      <c r="B850" s="1" t="s">
        <v>1113</v>
      </c>
      <c r="C850" s="1"/>
      <c r="D850" s="1"/>
      <c r="E850" s="1"/>
      <c r="F850" s="1"/>
      <c r="G850" s="1"/>
      <c r="H850" s="1" t="str">
        <f>"7805357005981"</f>
        <v>7805357005981</v>
      </c>
      <c r="I850" s="3">
        <v>0</v>
      </c>
      <c r="J850" s="3">
        <v>0</v>
      </c>
      <c r="K850" s="3">
        <v>7500</v>
      </c>
    </row>
    <row r="851" spans="1:11" x14ac:dyDescent="0.2">
      <c r="A851" s="1" t="s">
        <v>4994</v>
      </c>
      <c r="B851" s="1" t="s">
        <v>1114</v>
      </c>
      <c r="C851" s="1"/>
      <c r="D851" s="1"/>
      <c r="E851" s="1"/>
      <c r="F851" s="1"/>
      <c r="G851" s="1"/>
      <c r="H851" s="1" t="str">
        <f>"7800007153425"</f>
        <v>7800007153425</v>
      </c>
      <c r="I851" s="3">
        <v>0</v>
      </c>
      <c r="J851" s="3">
        <v>0</v>
      </c>
      <c r="K851" s="3">
        <v>5000</v>
      </c>
    </row>
    <row r="852" spans="1:11" x14ac:dyDescent="0.2">
      <c r="A852" s="1" t="s">
        <v>4994</v>
      </c>
      <c r="B852" s="1" t="s">
        <v>1115</v>
      </c>
      <c r="C852" s="1"/>
      <c r="D852" s="1"/>
      <c r="E852" s="1"/>
      <c r="F852" s="1"/>
      <c r="G852" s="1"/>
      <c r="H852" s="1" t="str">
        <f>"7805357001136"</f>
        <v>7805357001136</v>
      </c>
      <c r="I852" s="3">
        <v>0</v>
      </c>
      <c r="J852" s="3">
        <v>0</v>
      </c>
      <c r="K852" s="3">
        <v>1200</v>
      </c>
    </row>
    <row r="853" spans="1:11" x14ac:dyDescent="0.2">
      <c r="A853" s="1" t="s">
        <v>4994</v>
      </c>
      <c r="B853" s="1" t="s">
        <v>1118</v>
      </c>
      <c r="C853" s="1"/>
      <c r="D853" s="1"/>
      <c r="E853" s="1"/>
      <c r="F853" s="1"/>
      <c r="G853" s="1"/>
      <c r="H853" s="1" t="str">
        <f>"4800573052231"</f>
        <v>4800573052231</v>
      </c>
      <c r="I853" s="3">
        <v>0</v>
      </c>
      <c r="J853" s="3">
        <v>0</v>
      </c>
      <c r="K853" s="3">
        <v>500</v>
      </c>
    </row>
    <row r="854" spans="1:11" x14ac:dyDescent="0.2">
      <c r="A854" s="1" t="s">
        <v>4994</v>
      </c>
      <c r="B854" s="1" t="s">
        <v>1119</v>
      </c>
      <c r="C854" s="1"/>
      <c r="D854" s="1"/>
      <c r="E854" s="1"/>
      <c r="F854" s="1"/>
      <c r="G854" s="1"/>
      <c r="H854" s="1" t="str">
        <f>"7800062005066"</f>
        <v>7800062005066</v>
      </c>
      <c r="I854" s="3">
        <v>5</v>
      </c>
      <c r="J854" s="3">
        <v>0</v>
      </c>
      <c r="K854" s="3">
        <v>2000</v>
      </c>
    </row>
    <row r="855" spans="1:11" x14ac:dyDescent="0.2">
      <c r="A855" s="1" t="s">
        <v>4994</v>
      </c>
      <c r="B855" s="1" t="s">
        <v>1120</v>
      </c>
      <c r="C855" s="1"/>
      <c r="D855" s="1"/>
      <c r="E855" s="1"/>
      <c r="F855" s="1"/>
      <c r="G855" s="1"/>
      <c r="H855" s="1" t="str">
        <f>"7806130014701"</f>
        <v>7806130014701</v>
      </c>
      <c r="I855" s="3">
        <v>2</v>
      </c>
      <c r="J855" s="3">
        <v>0</v>
      </c>
      <c r="K855" s="3">
        <v>1500</v>
      </c>
    </row>
    <row r="856" spans="1:11" x14ac:dyDescent="0.2">
      <c r="A856" s="1" t="s">
        <v>4994</v>
      </c>
      <c r="B856" s="1" t="s">
        <v>1121</v>
      </c>
      <c r="C856" s="1"/>
      <c r="D856" s="1"/>
      <c r="E856" s="1"/>
      <c r="F856" s="1"/>
      <c r="G856" s="1"/>
      <c r="H856" s="1" t="str">
        <f>"7800062005035"</f>
        <v>7800062005035</v>
      </c>
      <c r="I856" s="3">
        <v>0</v>
      </c>
      <c r="J856" s="3">
        <v>0</v>
      </c>
      <c r="K856" s="3">
        <v>1500</v>
      </c>
    </row>
    <row r="857" spans="1:11" x14ac:dyDescent="0.2">
      <c r="A857" s="1" t="s">
        <v>4994</v>
      </c>
      <c r="B857" s="1" t="s">
        <v>1122</v>
      </c>
      <c r="C857" s="1"/>
      <c r="D857" s="1"/>
      <c r="E857" s="1"/>
      <c r="F857" s="1"/>
      <c r="G857" s="1"/>
      <c r="H857" s="1" t="str">
        <f>"7502268545215"</f>
        <v>7502268545215</v>
      </c>
      <c r="I857" s="3">
        <v>74</v>
      </c>
      <c r="J857" s="3">
        <v>0</v>
      </c>
      <c r="K857" s="3">
        <v>1500</v>
      </c>
    </row>
    <row r="858" spans="1:11" x14ac:dyDescent="0.2">
      <c r="A858" s="1" t="s">
        <v>4994</v>
      </c>
      <c r="B858" s="1" t="s">
        <v>1123</v>
      </c>
      <c r="C858" s="1"/>
      <c r="D858" s="1"/>
      <c r="E858" s="1"/>
      <c r="F858" s="1"/>
      <c r="G858" s="1"/>
      <c r="H858" s="1" t="str">
        <f>"7800062004816"</f>
        <v>7800062004816</v>
      </c>
      <c r="I858" s="3">
        <v>3</v>
      </c>
      <c r="J858" s="3">
        <v>0</v>
      </c>
      <c r="K858" s="3">
        <v>1500</v>
      </c>
    </row>
    <row r="859" spans="1:11" x14ac:dyDescent="0.2">
      <c r="A859" s="1" t="s">
        <v>4994</v>
      </c>
      <c r="B859" s="1" t="s">
        <v>1124</v>
      </c>
      <c r="C859" s="1"/>
      <c r="D859" s="1"/>
      <c r="E859" s="1"/>
      <c r="F859" s="1"/>
      <c r="G859" s="1"/>
      <c r="H859" s="1" t="str">
        <f>"7805357002126"</f>
        <v>7805357002126</v>
      </c>
      <c r="I859" s="3">
        <v>0</v>
      </c>
      <c r="J859" s="3">
        <v>0</v>
      </c>
      <c r="K859" s="3">
        <v>5000</v>
      </c>
    </row>
    <row r="860" spans="1:11" x14ac:dyDescent="0.2">
      <c r="A860" s="1" t="s">
        <v>4994</v>
      </c>
      <c r="B860" s="1" t="s">
        <v>1130</v>
      </c>
      <c r="C860" s="1"/>
      <c r="D860" s="1"/>
      <c r="E860" s="1"/>
      <c r="F860" s="1"/>
      <c r="G860" s="1"/>
      <c r="H860" s="1" t="str">
        <f>"7804640560480"</f>
        <v>7804640560480</v>
      </c>
      <c r="I860" s="3">
        <v>0</v>
      </c>
      <c r="J860" s="3">
        <v>0</v>
      </c>
      <c r="K860" s="3">
        <v>1000</v>
      </c>
    </row>
    <row r="861" spans="1:11" x14ac:dyDescent="0.2">
      <c r="A861" s="1" t="s">
        <v>4994</v>
      </c>
      <c r="B861" s="1" t="s">
        <v>1131</v>
      </c>
      <c r="C861" s="1"/>
      <c r="D861" s="1"/>
      <c r="E861" s="1"/>
      <c r="F861" s="1"/>
      <c r="G861" s="1"/>
      <c r="H861" s="1" t="str">
        <f>"7804620834570"</f>
        <v>7804620834570</v>
      </c>
      <c r="I861" s="3">
        <v>0</v>
      </c>
      <c r="J861" s="3">
        <v>0</v>
      </c>
      <c r="K861" s="3">
        <v>1000</v>
      </c>
    </row>
    <row r="862" spans="1:11" x14ac:dyDescent="0.2">
      <c r="A862" s="1" t="s">
        <v>4994</v>
      </c>
      <c r="B862" s="1" t="s">
        <v>1133</v>
      </c>
      <c r="C862" s="1"/>
      <c r="D862" s="1"/>
      <c r="E862" s="1"/>
      <c r="F862" s="1"/>
      <c r="G862" s="1"/>
      <c r="H862" s="1" t="str">
        <f>"781159466878"</f>
        <v>781159466878</v>
      </c>
      <c r="I862" s="3">
        <v>0</v>
      </c>
      <c r="J862" s="3">
        <v>0</v>
      </c>
      <c r="K862" s="3">
        <v>500</v>
      </c>
    </row>
    <row r="863" spans="1:11" x14ac:dyDescent="0.2">
      <c r="A863" s="1" t="s">
        <v>4994</v>
      </c>
      <c r="B863" s="1" t="s">
        <v>1134</v>
      </c>
      <c r="C863" s="1"/>
      <c r="D863" s="1"/>
      <c r="E863" s="1"/>
      <c r="F863" s="1"/>
      <c r="G863" s="1"/>
      <c r="H863" s="1" t="str">
        <f>"7800068030604"</f>
        <v>7800068030604</v>
      </c>
      <c r="I863" s="3">
        <v>0</v>
      </c>
      <c r="J863" s="3">
        <v>0</v>
      </c>
      <c r="K863" s="3">
        <v>2500</v>
      </c>
    </row>
    <row r="864" spans="1:11" x14ac:dyDescent="0.2">
      <c r="A864" s="1" t="s">
        <v>4994</v>
      </c>
      <c r="B864" s="1" t="s">
        <v>1135</v>
      </c>
      <c r="C864" s="1"/>
      <c r="D864" s="1"/>
      <c r="E864" s="1"/>
      <c r="F864" s="1"/>
      <c r="G864" s="1"/>
      <c r="H864" s="1" t="str">
        <f>"7804620835881"</f>
        <v>7804620835881</v>
      </c>
      <c r="I864" s="3">
        <v>87</v>
      </c>
      <c r="J864" s="3">
        <v>0</v>
      </c>
      <c r="K864" s="3">
        <v>2000</v>
      </c>
    </row>
    <row r="865" spans="1:11" x14ac:dyDescent="0.2">
      <c r="A865" s="1" t="s">
        <v>4994</v>
      </c>
      <c r="B865" s="1" t="s">
        <v>1136</v>
      </c>
      <c r="C865" s="1"/>
      <c r="D865" s="1"/>
      <c r="E865" s="1"/>
      <c r="F865" s="1"/>
      <c r="G865" s="1"/>
      <c r="H865" s="1" t="str">
        <f>"799192383250"</f>
        <v>799192383250</v>
      </c>
      <c r="I865" s="3">
        <v>5</v>
      </c>
      <c r="J865" s="3">
        <v>0</v>
      </c>
      <c r="K865" s="3">
        <v>0</v>
      </c>
    </row>
    <row r="866" spans="1:11" x14ac:dyDescent="0.2">
      <c r="A866" s="1" t="s">
        <v>4994</v>
      </c>
      <c r="B866" s="1" t="s">
        <v>1137</v>
      </c>
      <c r="C866" s="1"/>
      <c r="D866" s="1"/>
      <c r="E866" s="1"/>
      <c r="F866" s="1"/>
      <c r="G866" s="1"/>
      <c r="H866" s="1" t="str">
        <f>"7800038042187"</f>
        <v>7800038042187</v>
      </c>
      <c r="I866" s="3">
        <v>20</v>
      </c>
      <c r="J866" s="3">
        <v>0</v>
      </c>
      <c r="K866" s="3">
        <v>9000</v>
      </c>
    </row>
    <row r="867" spans="1:11" x14ac:dyDescent="0.2">
      <c r="A867" s="1" t="s">
        <v>4994</v>
      </c>
      <c r="B867" s="1" t="s">
        <v>1139</v>
      </c>
      <c r="C867" s="1"/>
      <c r="D867" s="1"/>
      <c r="E867" s="1"/>
      <c r="F867" s="1"/>
      <c r="G867" s="1"/>
      <c r="H867" s="1" t="str">
        <f>"7800007724007"</f>
        <v>7800007724007</v>
      </c>
      <c r="I867" s="3">
        <v>0</v>
      </c>
      <c r="J867" s="3">
        <v>0</v>
      </c>
      <c r="K867" s="3">
        <v>14000</v>
      </c>
    </row>
    <row r="868" spans="1:11" x14ac:dyDescent="0.2">
      <c r="A868" s="1" t="s">
        <v>4994</v>
      </c>
      <c r="B868" s="1" t="s">
        <v>1141</v>
      </c>
      <c r="C868" s="1"/>
      <c r="D868" s="1"/>
      <c r="E868" s="1"/>
      <c r="F868" s="1"/>
      <c r="G868" s="1"/>
      <c r="H868" s="1" t="str">
        <f>"7803319000166"</f>
        <v>7803319000166</v>
      </c>
      <c r="I868" s="3">
        <v>7</v>
      </c>
      <c r="J868" s="3">
        <v>0</v>
      </c>
      <c r="K868" s="3">
        <v>4500</v>
      </c>
    </row>
    <row r="869" spans="1:11" x14ac:dyDescent="0.2">
      <c r="A869" s="1" t="s">
        <v>4994</v>
      </c>
      <c r="B869" s="1" t="s">
        <v>1144</v>
      </c>
      <c r="C869" s="1"/>
      <c r="D869" s="1"/>
      <c r="E869" s="1"/>
      <c r="F869" s="1"/>
      <c r="G869" s="1"/>
      <c r="H869" s="1" t="str">
        <f>"7805633025016"</f>
        <v>7805633025016</v>
      </c>
      <c r="I869" s="3">
        <v>0</v>
      </c>
      <c r="J869" s="3">
        <v>0</v>
      </c>
      <c r="K869" s="3">
        <v>9500</v>
      </c>
    </row>
    <row r="870" spans="1:11" x14ac:dyDescent="0.2">
      <c r="A870" s="1" t="s">
        <v>4994</v>
      </c>
      <c r="B870" s="1" t="s">
        <v>1145</v>
      </c>
      <c r="C870" s="1"/>
      <c r="D870" s="1"/>
      <c r="E870" s="1"/>
      <c r="F870" s="1"/>
      <c r="G870" s="1"/>
      <c r="H870" s="1" t="str">
        <f>"7805633023203"</f>
        <v>7805633023203</v>
      </c>
      <c r="I870" s="3">
        <v>0</v>
      </c>
      <c r="J870" s="3">
        <v>0</v>
      </c>
      <c r="K870" s="3">
        <v>10000</v>
      </c>
    </row>
    <row r="871" spans="1:11" x14ac:dyDescent="0.2">
      <c r="A871" s="1" t="s">
        <v>4994</v>
      </c>
      <c r="B871" s="1" t="s">
        <v>1146</v>
      </c>
      <c r="C871" s="1"/>
      <c r="D871" s="1"/>
      <c r="E871" s="1"/>
      <c r="F871" s="1"/>
      <c r="G871" s="1"/>
      <c r="H871" s="1" t="str">
        <f>"7800018000251"</f>
        <v>7800018000251</v>
      </c>
      <c r="I871" s="3">
        <v>1</v>
      </c>
      <c r="J871" s="3">
        <v>0</v>
      </c>
      <c r="K871" s="3">
        <v>14000</v>
      </c>
    </row>
    <row r="872" spans="1:11" x14ac:dyDescent="0.2">
      <c r="A872" s="1" t="s">
        <v>4994</v>
      </c>
      <c r="B872" s="1" t="s">
        <v>1147</v>
      </c>
      <c r="C872" s="1"/>
      <c r="D872" s="1"/>
      <c r="E872" s="1"/>
      <c r="F872" s="1"/>
      <c r="G872" s="1"/>
      <c r="H872" s="1" t="str">
        <f>"7805633019312"</f>
        <v>7805633019312</v>
      </c>
      <c r="I872" s="3">
        <v>0</v>
      </c>
      <c r="J872" s="3">
        <v>0</v>
      </c>
      <c r="K872" s="3">
        <v>11000</v>
      </c>
    </row>
    <row r="873" spans="1:11" x14ac:dyDescent="0.2">
      <c r="A873" s="1" t="s">
        <v>4994</v>
      </c>
      <c r="B873" s="1" t="s">
        <v>1148</v>
      </c>
      <c r="C873" s="1"/>
      <c r="D873" s="1"/>
      <c r="E873" s="1"/>
      <c r="F873" s="1"/>
      <c r="G873" s="1"/>
      <c r="H873" s="1" t="str">
        <f>"7805633013730"</f>
        <v>7805633013730</v>
      </c>
      <c r="I873" s="3">
        <v>0</v>
      </c>
      <c r="J873" s="3">
        <v>0</v>
      </c>
      <c r="K873" s="3">
        <v>10000</v>
      </c>
    </row>
    <row r="874" spans="1:11" x14ac:dyDescent="0.2">
      <c r="A874" s="1" t="s">
        <v>4994</v>
      </c>
      <c r="B874" s="1" t="s">
        <v>1151</v>
      </c>
      <c r="C874" s="1"/>
      <c r="D874" s="1"/>
      <c r="E874" s="1"/>
      <c r="F874" s="1"/>
      <c r="G874" s="1"/>
      <c r="H874" s="1" t="str">
        <f>"8902281613592"</f>
        <v>8902281613592</v>
      </c>
      <c r="I874" s="3">
        <v>11</v>
      </c>
      <c r="J874" s="3">
        <v>0</v>
      </c>
      <c r="K874" s="3">
        <v>2500</v>
      </c>
    </row>
    <row r="875" spans="1:11" x14ac:dyDescent="0.2">
      <c r="A875" s="1" t="s">
        <v>4994</v>
      </c>
      <c r="B875" s="1" t="s">
        <v>1152</v>
      </c>
      <c r="C875" s="1"/>
      <c r="D875" s="1"/>
      <c r="E875" s="1"/>
      <c r="F875" s="1"/>
      <c r="G875" s="1"/>
      <c r="H875" s="1" t="str">
        <f>"7804995107200"</f>
        <v>7804995107200</v>
      </c>
      <c r="I875" s="3">
        <v>0</v>
      </c>
      <c r="J875" s="3">
        <v>0</v>
      </c>
      <c r="K875" s="3">
        <v>1000</v>
      </c>
    </row>
    <row r="876" spans="1:11" x14ac:dyDescent="0.2">
      <c r="A876" s="1" t="s">
        <v>4994</v>
      </c>
      <c r="B876" s="1" t="s">
        <v>1153</v>
      </c>
      <c r="C876" s="1"/>
      <c r="D876" s="1"/>
      <c r="E876" s="1"/>
      <c r="F876" s="1"/>
      <c r="G876" s="1"/>
      <c r="H876" s="1" t="str">
        <f>"7702010130243"</f>
        <v>7702010130243</v>
      </c>
      <c r="I876" s="3">
        <v>0</v>
      </c>
      <c r="J876" s="3">
        <v>0</v>
      </c>
      <c r="K876" s="3">
        <v>2500</v>
      </c>
    </row>
    <row r="877" spans="1:11" x14ac:dyDescent="0.2">
      <c r="A877" s="1" t="s">
        <v>4994</v>
      </c>
      <c r="B877" s="1" t="s">
        <v>1154</v>
      </c>
      <c r="C877" s="1"/>
      <c r="D877" s="1"/>
      <c r="E877" s="1"/>
      <c r="F877" s="1"/>
      <c r="G877" s="1"/>
      <c r="H877" s="1" t="str">
        <f>"7891024123027"</f>
        <v>7891024123027</v>
      </c>
      <c r="I877" s="3">
        <v>0</v>
      </c>
      <c r="J877" s="3">
        <v>0</v>
      </c>
      <c r="K877" s="3">
        <v>3000</v>
      </c>
    </row>
    <row r="878" spans="1:11" x14ac:dyDescent="0.2">
      <c r="A878" s="1" t="s">
        <v>4994</v>
      </c>
      <c r="B878" s="1" t="s">
        <v>1155</v>
      </c>
      <c r="C878" s="1"/>
      <c r="D878" s="1"/>
      <c r="E878" s="1"/>
      <c r="F878" s="1"/>
      <c r="G878" s="1"/>
      <c r="H878" s="1" t="str">
        <f>"7804925543801"</f>
        <v>7804925543801</v>
      </c>
      <c r="I878" s="3">
        <v>0</v>
      </c>
      <c r="J878" s="3">
        <v>0</v>
      </c>
      <c r="K878" s="3">
        <v>4500</v>
      </c>
    </row>
    <row r="879" spans="1:11" x14ac:dyDescent="0.2">
      <c r="A879" s="1" t="s">
        <v>4994</v>
      </c>
      <c r="B879" s="1" t="s">
        <v>1156</v>
      </c>
      <c r="C879" s="1"/>
      <c r="D879" s="1"/>
      <c r="E879" s="1"/>
      <c r="F879" s="1"/>
      <c r="G879" s="1"/>
      <c r="H879" s="1" t="str">
        <f>"7891024030806"</f>
        <v>7891024030806</v>
      </c>
      <c r="I879" s="3">
        <v>0</v>
      </c>
      <c r="J879" s="3">
        <v>0</v>
      </c>
      <c r="K879" s="3">
        <v>6000</v>
      </c>
    </row>
    <row r="880" spans="1:11" x14ac:dyDescent="0.2">
      <c r="A880" s="1" t="s">
        <v>4994</v>
      </c>
      <c r="B880" s="1" t="s">
        <v>1157</v>
      </c>
      <c r="C880" s="1"/>
      <c r="D880" s="1"/>
      <c r="E880" s="1"/>
      <c r="F880" s="1"/>
      <c r="G880" s="1"/>
      <c r="H880" s="1" t="str">
        <f>"7509546651057"</f>
        <v>7509546651057</v>
      </c>
      <c r="I880" s="3">
        <v>1</v>
      </c>
      <c r="J880" s="3">
        <v>0</v>
      </c>
      <c r="K880" s="3">
        <v>3000</v>
      </c>
    </row>
    <row r="881" spans="1:11" x14ac:dyDescent="0.2">
      <c r="A881" s="1" t="s">
        <v>4994</v>
      </c>
      <c r="B881" s="1" t="s">
        <v>1158</v>
      </c>
      <c r="C881" s="1"/>
      <c r="D881" s="1"/>
      <c r="E881" s="1"/>
      <c r="F881" s="1"/>
      <c r="G881" s="1"/>
      <c r="H881" s="1" t="str">
        <f>"7509546000985"</f>
        <v>7509546000985</v>
      </c>
      <c r="I881" s="3">
        <v>0</v>
      </c>
      <c r="J881" s="3">
        <v>0</v>
      </c>
      <c r="K881" s="3">
        <v>1500</v>
      </c>
    </row>
    <row r="882" spans="1:11" x14ac:dyDescent="0.2">
      <c r="A882" s="1" t="s">
        <v>4994</v>
      </c>
      <c r="B882" s="1" t="s">
        <v>1159</v>
      </c>
      <c r="C882" s="1"/>
      <c r="D882" s="1"/>
      <c r="E882" s="1"/>
      <c r="F882" s="1"/>
      <c r="G882" s="1"/>
      <c r="H882" s="1" t="str">
        <f>"7891024039625"</f>
        <v>7891024039625</v>
      </c>
      <c r="I882" s="3">
        <v>2</v>
      </c>
      <c r="J882" s="3">
        <v>0</v>
      </c>
      <c r="K882" s="3">
        <v>1500</v>
      </c>
    </row>
    <row r="883" spans="1:11" x14ac:dyDescent="0.2">
      <c r="A883" s="1" t="s">
        <v>4994</v>
      </c>
      <c r="B883" s="1" t="s">
        <v>1160</v>
      </c>
      <c r="C883" s="1"/>
      <c r="D883" s="1"/>
      <c r="E883" s="1"/>
      <c r="F883" s="1"/>
      <c r="G883" s="1"/>
      <c r="H883" s="1" t="str">
        <f>"7509546066776"</f>
        <v>7509546066776</v>
      </c>
      <c r="I883" s="3">
        <v>12</v>
      </c>
      <c r="J883" s="3">
        <v>0</v>
      </c>
      <c r="K883" s="3">
        <v>3000</v>
      </c>
    </row>
    <row r="884" spans="1:11" x14ac:dyDescent="0.2">
      <c r="A884" s="1" t="s">
        <v>4994</v>
      </c>
      <c r="B884" s="1" t="s">
        <v>1161</v>
      </c>
      <c r="C884" s="1"/>
      <c r="D884" s="1"/>
      <c r="E884" s="1"/>
      <c r="F884" s="1"/>
      <c r="G884" s="1"/>
      <c r="H884" s="1" t="str">
        <f>"7891024124628"</f>
        <v>7891024124628</v>
      </c>
      <c r="I884" s="3">
        <v>1</v>
      </c>
      <c r="J884" s="3">
        <v>0</v>
      </c>
      <c r="K884" s="3">
        <v>4500</v>
      </c>
    </row>
    <row r="885" spans="1:11" x14ac:dyDescent="0.2">
      <c r="A885" s="1" t="s">
        <v>4994</v>
      </c>
      <c r="B885" s="1" t="s">
        <v>1162</v>
      </c>
      <c r="C885" s="1"/>
      <c r="D885" s="1"/>
      <c r="E885" s="1"/>
      <c r="F885" s="1"/>
      <c r="G885" s="1"/>
      <c r="H885" s="1" t="str">
        <f>"7509546683799"</f>
        <v>7509546683799</v>
      </c>
      <c r="I885" s="3">
        <v>0</v>
      </c>
      <c r="J885" s="3">
        <v>0</v>
      </c>
      <c r="K885" s="3">
        <v>3000</v>
      </c>
    </row>
    <row r="886" spans="1:11" x14ac:dyDescent="0.2">
      <c r="A886" s="1" t="s">
        <v>4994</v>
      </c>
      <c r="B886" s="1" t="s">
        <v>1163</v>
      </c>
      <c r="C886" s="1"/>
      <c r="D886" s="1"/>
      <c r="E886" s="1"/>
      <c r="F886" s="1"/>
      <c r="G886" s="1"/>
      <c r="H886" s="1" t="str">
        <f>"7509546052861"</f>
        <v>7509546052861</v>
      </c>
      <c r="I886" s="3">
        <v>0</v>
      </c>
      <c r="J886" s="3">
        <v>0</v>
      </c>
      <c r="K886" s="3">
        <v>2000</v>
      </c>
    </row>
    <row r="887" spans="1:11" x14ac:dyDescent="0.2">
      <c r="A887" s="1" t="s">
        <v>4994</v>
      </c>
      <c r="B887" s="1" t="s">
        <v>1163</v>
      </c>
      <c r="C887" s="1"/>
      <c r="D887" s="1"/>
      <c r="E887" s="1"/>
      <c r="F887" s="1"/>
      <c r="G887" s="1"/>
      <c r="H887" s="1" t="str">
        <f>"7509546654034"</f>
        <v>7509546654034</v>
      </c>
      <c r="I887" s="3">
        <v>0</v>
      </c>
      <c r="J887" s="3">
        <v>0</v>
      </c>
      <c r="K887" s="3">
        <v>3000</v>
      </c>
    </row>
    <row r="888" spans="1:11" x14ac:dyDescent="0.2">
      <c r="A888" s="1" t="s">
        <v>4994</v>
      </c>
      <c r="B888" s="1" t="s">
        <v>1164</v>
      </c>
      <c r="C888" s="1"/>
      <c r="D888" s="1"/>
      <c r="E888" s="1"/>
      <c r="F888" s="1"/>
      <c r="G888" s="1"/>
      <c r="H888" s="1" t="str">
        <f>"7509546000343"</f>
        <v>7509546000343</v>
      </c>
      <c r="I888" s="3">
        <v>10</v>
      </c>
      <c r="J888" s="3">
        <v>0</v>
      </c>
      <c r="K888" s="3">
        <v>1500</v>
      </c>
    </row>
    <row r="889" spans="1:11" x14ac:dyDescent="0.2">
      <c r="A889" s="1" t="s">
        <v>4994</v>
      </c>
      <c r="B889" s="1" t="s">
        <v>1165</v>
      </c>
      <c r="C889" s="1"/>
      <c r="D889" s="1"/>
      <c r="E889" s="1"/>
      <c r="F889" s="1"/>
      <c r="G889" s="1"/>
      <c r="H889" s="1" t="str">
        <f>"7891024131909"</f>
        <v>7891024131909</v>
      </c>
      <c r="I889" s="3">
        <v>0</v>
      </c>
      <c r="J889" s="3">
        <v>0</v>
      </c>
      <c r="K889" s="3">
        <v>700</v>
      </c>
    </row>
    <row r="890" spans="1:11" x14ac:dyDescent="0.2">
      <c r="A890" s="1" t="s">
        <v>4994</v>
      </c>
      <c r="B890" s="1" t="s">
        <v>1166</v>
      </c>
      <c r="C890" s="1"/>
      <c r="D890" s="1"/>
      <c r="E890" s="1"/>
      <c r="F890" s="1"/>
      <c r="G890" s="1"/>
      <c r="H890" s="1" t="str">
        <f>"7804925856031"</f>
        <v>7804925856031</v>
      </c>
      <c r="I890" s="3">
        <v>21</v>
      </c>
      <c r="J890" s="3">
        <v>0</v>
      </c>
      <c r="K890" s="3">
        <v>3000</v>
      </c>
    </row>
    <row r="891" spans="1:11" x14ac:dyDescent="0.2">
      <c r="A891" s="1" t="s">
        <v>4994</v>
      </c>
      <c r="B891" s="1" t="s">
        <v>1167</v>
      </c>
      <c r="C891" s="1"/>
      <c r="D891" s="1"/>
      <c r="E891" s="1"/>
      <c r="F891" s="1"/>
      <c r="G891" s="1"/>
      <c r="H891" s="1" t="str">
        <f>"7805633023111"</f>
        <v>7805633023111</v>
      </c>
      <c r="I891" s="3">
        <v>0</v>
      </c>
      <c r="J891" s="3">
        <v>0</v>
      </c>
      <c r="K891" s="3">
        <v>13090</v>
      </c>
    </row>
    <row r="892" spans="1:11" x14ac:dyDescent="0.2">
      <c r="A892" s="1" t="s">
        <v>4994</v>
      </c>
      <c r="B892" s="1" t="s">
        <v>1168</v>
      </c>
      <c r="C892" s="1"/>
      <c r="D892" s="1"/>
      <c r="E892" s="1"/>
      <c r="F892" s="1"/>
      <c r="G892" s="1"/>
      <c r="H892" s="1" t="str">
        <f>"7804945076167"</f>
        <v>7804945076167</v>
      </c>
      <c r="I892" s="3">
        <v>0</v>
      </c>
      <c r="J892" s="3">
        <v>0</v>
      </c>
      <c r="K892" s="3">
        <v>2500</v>
      </c>
    </row>
    <row r="893" spans="1:11" x14ac:dyDescent="0.2">
      <c r="A893" s="1" t="s">
        <v>4994</v>
      </c>
      <c r="B893" s="1" t="s">
        <v>1170</v>
      </c>
      <c r="C893" s="1"/>
      <c r="D893" s="1"/>
      <c r="E893" s="1"/>
      <c r="F893" s="1"/>
      <c r="G893" s="1"/>
      <c r="H893" s="1" t="str">
        <f>"7800034510840"</f>
        <v>7800034510840</v>
      </c>
      <c r="I893" s="3">
        <v>0</v>
      </c>
      <c r="J893" s="3">
        <v>0</v>
      </c>
      <c r="K893" s="3">
        <v>1500</v>
      </c>
    </row>
    <row r="894" spans="1:11" x14ac:dyDescent="0.2">
      <c r="A894" s="1" t="s">
        <v>4994</v>
      </c>
      <c r="B894" s="1" t="s">
        <v>1174</v>
      </c>
      <c r="C894" s="1"/>
      <c r="D894" s="1"/>
      <c r="E894" s="1"/>
      <c r="F894" s="1"/>
      <c r="G894" s="1"/>
      <c r="H894" s="1" t="str">
        <f>"2000110415044"</f>
        <v>2000110415044</v>
      </c>
      <c r="I894" s="3">
        <v>2</v>
      </c>
      <c r="J894" s="3">
        <v>0</v>
      </c>
      <c r="K894" s="3">
        <v>4000</v>
      </c>
    </row>
    <row r="895" spans="1:11" x14ac:dyDescent="0.2">
      <c r="A895" s="1" t="s">
        <v>4994</v>
      </c>
      <c r="B895" s="1" t="s">
        <v>1174</v>
      </c>
      <c r="C895" s="1"/>
      <c r="D895" s="1"/>
      <c r="E895" s="1"/>
      <c r="F895" s="1"/>
      <c r="G895" s="1"/>
      <c r="H895" s="1" t="str">
        <f>"84150462"</f>
        <v>84150462</v>
      </c>
      <c r="I895" s="3">
        <v>0</v>
      </c>
      <c r="J895" s="3">
        <v>0</v>
      </c>
      <c r="K895" s="3">
        <v>5000</v>
      </c>
    </row>
    <row r="896" spans="1:11" x14ac:dyDescent="0.2">
      <c r="A896" s="1" t="s">
        <v>4994</v>
      </c>
      <c r="B896" s="1" t="s">
        <v>1175</v>
      </c>
      <c r="C896" s="1"/>
      <c r="D896" s="1"/>
      <c r="E896" s="1"/>
      <c r="F896" s="1"/>
      <c r="G896" s="1"/>
      <c r="H896" s="1" t="str">
        <f>"7804945076150"</f>
        <v>7804945076150</v>
      </c>
      <c r="I896" s="3">
        <v>0</v>
      </c>
      <c r="J896" s="3">
        <v>0</v>
      </c>
      <c r="K896" s="3">
        <v>2500</v>
      </c>
    </row>
    <row r="897" spans="1:11" x14ac:dyDescent="0.2">
      <c r="A897" s="1" t="s">
        <v>4994</v>
      </c>
      <c r="B897" s="1" t="s">
        <v>1176</v>
      </c>
      <c r="C897" s="1"/>
      <c r="D897" s="1"/>
      <c r="E897" s="1"/>
      <c r="F897" s="1"/>
      <c r="G897" s="1"/>
      <c r="H897" s="1" t="str">
        <f>"7804945005242"</f>
        <v>7804945005242</v>
      </c>
      <c r="I897" s="3">
        <v>1</v>
      </c>
      <c r="J897" s="3">
        <v>0</v>
      </c>
      <c r="K897" s="3">
        <v>6800</v>
      </c>
    </row>
    <row r="898" spans="1:11" x14ac:dyDescent="0.2">
      <c r="A898" s="1" t="s">
        <v>4994</v>
      </c>
      <c r="B898" s="1" t="s">
        <v>1177</v>
      </c>
      <c r="C898" s="1"/>
      <c r="D898" s="1"/>
      <c r="E898" s="1"/>
      <c r="F898" s="1"/>
      <c r="G898" s="1"/>
      <c r="H898" s="1" t="str">
        <f>"7502221181252"</f>
        <v>7502221181252</v>
      </c>
      <c r="I898" s="3">
        <v>0</v>
      </c>
      <c r="J898" s="3">
        <v>0</v>
      </c>
      <c r="K898" s="3">
        <v>12000</v>
      </c>
    </row>
    <row r="899" spans="1:11" x14ac:dyDescent="0.2">
      <c r="A899" s="1" t="s">
        <v>4994</v>
      </c>
      <c r="B899" s="1" t="s">
        <v>1178</v>
      </c>
      <c r="C899" s="1"/>
      <c r="D899" s="1"/>
      <c r="E899" s="1"/>
      <c r="F899" s="1"/>
      <c r="G899" s="1"/>
      <c r="H899" s="1" t="str">
        <f>"7809622000732"</f>
        <v>7809622000732</v>
      </c>
      <c r="I899" s="3">
        <v>0</v>
      </c>
      <c r="J899" s="3">
        <v>0</v>
      </c>
      <c r="K899" s="3">
        <v>2000</v>
      </c>
    </row>
    <row r="900" spans="1:11" x14ac:dyDescent="0.2">
      <c r="A900" s="1" t="s">
        <v>4994</v>
      </c>
      <c r="B900" s="1" t="s">
        <v>1179</v>
      </c>
      <c r="C900" s="1"/>
      <c r="D900" s="1"/>
      <c r="E900" s="1"/>
      <c r="F900" s="1"/>
      <c r="G900" s="1"/>
      <c r="H900" s="1" t="str">
        <f>"10030806"</f>
        <v>10030806</v>
      </c>
      <c r="I900" s="3">
        <v>0</v>
      </c>
      <c r="J900" s="3">
        <v>0</v>
      </c>
      <c r="K900" s="3">
        <v>4500</v>
      </c>
    </row>
    <row r="901" spans="1:11" x14ac:dyDescent="0.2">
      <c r="A901" s="1" t="s">
        <v>4994</v>
      </c>
      <c r="B901" s="1" t="s">
        <v>1180</v>
      </c>
      <c r="C901" s="1"/>
      <c r="D901" s="1"/>
      <c r="E901" s="1"/>
      <c r="F901" s="1"/>
      <c r="G901" s="1"/>
      <c r="H901" s="1" t="str">
        <f>"7804947004908"</f>
        <v>7804947004908</v>
      </c>
      <c r="I901" s="3">
        <v>0</v>
      </c>
      <c r="J901" s="3">
        <v>0</v>
      </c>
      <c r="K901" s="3">
        <v>3500</v>
      </c>
    </row>
    <row r="902" spans="1:11" x14ac:dyDescent="0.2">
      <c r="A902" s="1" t="s">
        <v>4994</v>
      </c>
      <c r="B902" s="1" t="s">
        <v>1181</v>
      </c>
      <c r="C902" s="1"/>
      <c r="D902" s="1"/>
      <c r="E902" s="1"/>
      <c r="F902" s="1"/>
      <c r="G902" s="1"/>
      <c r="H902" s="1" t="str">
        <f>"7809622000428"</f>
        <v>7809622000428</v>
      </c>
      <c r="I902" s="3">
        <v>0</v>
      </c>
      <c r="J902" s="3">
        <v>0</v>
      </c>
      <c r="K902" s="3">
        <v>1400</v>
      </c>
    </row>
    <row r="903" spans="1:11" x14ac:dyDescent="0.2">
      <c r="A903" s="1" t="s">
        <v>4994</v>
      </c>
      <c r="B903" s="1" t="s">
        <v>1183</v>
      </c>
      <c r="C903" s="1"/>
      <c r="D903" s="1"/>
      <c r="E903" s="1"/>
      <c r="F903" s="1"/>
      <c r="G903" s="1"/>
      <c r="H903" s="1" t="str">
        <f>"7804947004892"</f>
        <v>7804947004892</v>
      </c>
      <c r="I903" s="3">
        <v>0</v>
      </c>
      <c r="J903" s="3">
        <v>0</v>
      </c>
      <c r="K903" s="3">
        <v>3500</v>
      </c>
    </row>
    <row r="904" spans="1:11" x14ac:dyDescent="0.2">
      <c r="A904" s="1" t="s">
        <v>4994</v>
      </c>
      <c r="B904" s="1" t="s">
        <v>1184</v>
      </c>
      <c r="C904" s="1"/>
      <c r="D904" s="1"/>
      <c r="E904" s="1"/>
      <c r="F904" s="1"/>
      <c r="G904" s="1"/>
      <c r="H904" s="1" t="str">
        <f>"10030783"</f>
        <v>10030783</v>
      </c>
      <c r="I904" s="3">
        <v>0</v>
      </c>
      <c r="J904" s="3">
        <v>0</v>
      </c>
      <c r="K904" s="3">
        <v>5000</v>
      </c>
    </row>
    <row r="905" spans="1:11" x14ac:dyDescent="0.2">
      <c r="A905" s="1" t="s">
        <v>4994</v>
      </c>
      <c r="B905" s="1" t="s">
        <v>1185</v>
      </c>
      <c r="C905" s="1"/>
      <c r="D905" s="1"/>
      <c r="E905" s="1"/>
      <c r="F905" s="1"/>
      <c r="G905" s="1"/>
      <c r="H905" s="1" t="str">
        <f>"7804945056312"</f>
        <v>7804945056312</v>
      </c>
      <c r="I905" s="3">
        <v>0</v>
      </c>
      <c r="J905" s="3">
        <v>0</v>
      </c>
      <c r="K905" s="3">
        <v>5000</v>
      </c>
    </row>
    <row r="906" spans="1:11" x14ac:dyDescent="0.2">
      <c r="A906" s="1" t="s">
        <v>4994</v>
      </c>
      <c r="B906" s="1" t="s">
        <v>1186</v>
      </c>
      <c r="C906" s="1"/>
      <c r="D906" s="1"/>
      <c r="E906" s="1"/>
      <c r="F906" s="1"/>
      <c r="G906" s="1"/>
      <c r="H906" s="1" t="str">
        <f>"7804603800004"</f>
        <v>7804603800004</v>
      </c>
      <c r="I906" s="3">
        <v>0</v>
      </c>
      <c r="J906" s="3">
        <v>0</v>
      </c>
      <c r="K906" s="3">
        <v>3500</v>
      </c>
    </row>
    <row r="907" spans="1:11" x14ac:dyDescent="0.2">
      <c r="A907" s="1" t="s">
        <v>4994</v>
      </c>
      <c r="B907" s="1" t="s">
        <v>1187</v>
      </c>
      <c r="C907" s="1"/>
      <c r="D907" s="1"/>
      <c r="E907" s="1"/>
      <c r="F907" s="1"/>
      <c r="G907" s="1"/>
      <c r="H907" s="1" t="str">
        <f>"7804902045991"</f>
        <v>7804902045991</v>
      </c>
      <c r="I907" s="3">
        <v>0</v>
      </c>
      <c r="J907" s="3">
        <v>0</v>
      </c>
      <c r="K907" s="3">
        <v>4500</v>
      </c>
    </row>
    <row r="908" spans="1:11" x14ac:dyDescent="0.2">
      <c r="A908" s="1" t="s">
        <v>4994</v>
      </c>
      <c r="B908" s="1" t="s">
        <v>1188</v>
      </c>
      <c r="C908" s="1"/>
      <c r="D908" s="1"/>
      <c r="E908" s="1"/>
      <c r="F908" s="1"/>
      <c r="G908" s="1"/>
      <c r="H908" s="1" t="str">
        <f>"7805000045692"</f>
        <v>7805000045692</v>
      </c>
      <c r="I908" s="3">
        <v>2</v>
      </c>
      <c r="J908" s="3">
        <v>0</v>
      </c>
      <c r="K908" s="3">
        <v>7850</v>
      </c>
    </row>
    <row r="909" spans="1:11" x14ac:dyDescent="0.2">
      <c r="A909" s="1" t="s">
        <v>4994</v>
      </c>
      <c r="B909" s="1" t="s">
        <v>1189</v>
      </c>
      <c r="C909" s="1"/>
      <c r="D909" s="1"/>
      <c r="E909" s="1"/>
      <c r="F909" s="1"/>
      <c r="G909" s="1"/>
      <c r="H909" s="1" t="str">
        <f>"7804603800097"</f>
        <v>7804603800097</v>
      </c>
      <c r="I909" s="3">
        <v>0</v>
      </c>
      <c r="J909" s="3">
        <v>0</v>
      </c>
      <c r="K909" s="3">
        <v>2500</v>
      </c>
    </row>
    <row r="910" spans="1:11" x14ac:dyDescent="0.2">
      <c r="A910" s="1" t="s">
        <v>4994</v>
      </c>
      <c r="B910" s="1" t="s">
        <v>1190</v>
      </c>
      <c r="C910" s="1"/>
      <c r="D910" s="1"/>
      <c r="E910" s="1"/>
      <c r="F910" s="1"/>
      <c r="G910" s="1"/>
      <c r="H910" s="1" t="str">
        <f>"7804986004556"</f>
        <v>7804986004556</v>
      </c>
      <c r="I910" s="3">
        <v>0</v>
      </c>
      <c r="J910" s="3">
        <v>0</v>
      </c>
      <c r="K910" s="3">
        <v>8500</v>
      </c>
    </row>
    <row r="911" spans="1:11" x14ac:dyDescent="0.2">
      <c r="A911" s="1" t="s">
        <v>4994</v>
      </c>
      <c r="B911" s="1" t="s">
        <v>1191</v>
      </c>
      <c r="C911" s="1"/>
      <c r="D911" s="1"/>
      <c r="E911" s="1"/>
      <c r="F911" s="1"/>
      <c r="G911" s="1"/>
      <c r="H911" s="1" t="str">
        <f>"7804915009232"</f>
        <v>7804915009232</v>
      </c>
      <c r="I911" s="3">
        <v>0</v>
      </c>
      <c r="J911" s="3">
        <v>0</v>
      </c>
      <c r="K911" s="3">
        <v>4500</v>
      </c>
    </row>
    <row r="912" spans="1:11" x14ac:dyDescent="0.2">
      <c r="A912" s="1" t="s">
        <v>4994</v>
      </c>
      <c r="B912" s="1" t="s">
        <v>1192</v>
      </c>
      <c r="C912" s="1"/>
      <c r="D912" s="1"/>
      <c r="E912" s="1"/>
      <c r="F912" s="1"/>
      <c r="G912" s="1"/>
      <c r="H912" s="1" t="str">
        <f>"7804915010771"</f>
        <v>7804915010771</v>
      </c>
      <c r="I912" s="3">
        <v>0</v>
      </c>
      <c r="J912" s="3">
        <v>0</v>
      </c>
      <c r="K912" s="3">
        <v>11000</v>
      </c>
    </row>
    <row r="913" spans="1:11" x14ac:dyDescent="0.2">
      <c r="A913" s="1" t="s">
        <v>4994</v>
      </c>
      <c r="B913" s="1" t="s">
        <v>1193</v>
      </c>
      <c r="C913" s="1"/>
      <c r="D913" s="1"/>
      <c r="E913" s="1"/>
      <c r="F913" s="1"/>
      <c r="G913" s="1"/>
      <c r="H913" s="1" t="str">
        <f>"7804915010757"</f>
        <v>7804915010757</v>
      </c>
      <c r="I913" s="3">
        <v>0</v>
      </c>
      <c r="J913" s="3">
        <v>0</v>
      </c>
      <c r="K913" s="3">
        <v>4500</v>
      </c>
    </row>
    <row r="914" spans="1:11" x14ac:dyDescent="0.2">
      <c r="A914" s="1" t="s">
        <v>4994</v>
      </c>
      <c r="B914" s="1" t="s">
        <v>1194</v>
      </c>
      <c r="C914" s="1"/>
      <c r="D914" s="1"/>
      <c r="E914" s="1"/>
      <c r="F914" s="1"/>
      <c r="G914" s="1"/>
      <c r="H914" s="1" t="str">
        <f>"7804915009768"</f>
        <v>7804915009768</v>
      </c>
      <c r="I914" s="3">
        <v>0</v>
      </c>
      <c r="J914" s="3">
        <v>0</v>
      </c>
      <c r="K914" s="3">
        <v>4500</v>
      </c>
    </row>
    <row r="915" spans="1:11" x14ac:dyDescent="0.2">
      <c r="A915" s="1" t="s">
        <v>4994</v>
      </c>
      <c r="B915" s="1" t="s">
        <v>1195</v>
      </c>
      <c r="C915" s="1"/>
      <c r="D915" s="1"/>
      <c r="E915" s="1"/>
      <c r="F915" s="1"/>
      <c r="G915" s="1"/>
      <c r="H915" s="1" t="str">
        <f>"7804945076129"</f>
        <v>7804945076129</v>
      </c>
      <c r="I915" s="3">
        <v>0</v>
      </c>
      <c r="J915" s="3">
        <v>0</v>
      </c>
      <c r="K915" s="3">
        <v>2200</v>
      </c>
    </row>
    <row r="916" spans="1:11" x14ac:dyDescent="0.2">
      <c r="A916" s="1" t="s">
        <v>4994</v>
      </c>
      <c r="B916" s="1" t="s">
        <v>1196</v>
      </c>
      <c r="C916" s="1"/>
      <c r="D916" s="1"/>
      <c r="E916" s="1"/>
      <c r="F916" s="1"/>
      <c r="G916" s="1"/>
      <c r="H916" s="1" t="str">
        <f>"9668786763659"</f>
        <v>9668786763659</v>
      </c>
      <c r="I916" s="3">
        <v>0</v>
      </c>
      <c r="J916" s="3">
        <v>0</v>
      </c>
      <c r="K916" s="3">
        <v>500</v>
      </c>
    </row>
    <row r="917" spans="1:11" x14ac:dyDescent="0.2">
      <c r="A917" s="1" t="s">
        <v>4994</v>
      </c>
      <c r="B917" s="1" t="s">
        <v>1197</v>
      </c>
      <c r="C917" s="1"/>
      <c r="D917" s="1"/>
      <c r="E917" s="1"/>
      <c r="F917" s="1"/>
      <c r="G917" s="1"/>
      <c r="H917" s="1" t="str">
        <f>"7800007801920"</f>
        <v>7800007801920</v>
      </c>
      <c r="I917" s="3">
        <v>0</v>
      </c>
      <c r="J917" s="3">
        <v>0</v>
      </c>
      <c r="K917" s="3">
        <v>29000</v>
      </c>
    </row>
    <row r="918" spans="1:11" x14ac:dyDescent="0.2">
      <c r="A918" s="1" t="s">
        <v>4994</v>
      </c>
      <c r="B918" s="1" t="s">
        <v>1198</v>
      </c>
      <c r="C918" s="1"/>
      <c r="D918" s="1"/>
      <c r="E918" s="1"/>
      <c r="F918" s="1"/>
      <c r="G918" s="1"/>
      <c r="H918" s="1" t="str">
        <f>"71603041257"</f>
        <v>71603041257</v>
      </c>
      <c r="I918" s="3">
        <v>0</v>
      </c>
      <c r="J918" s="3">
        <v>0</v>
      </c>
      <c r="K918" s="3">
        <v>6500</v>
      </c>
    </row>
    <row r="919" spans="1:11" x14ac:dyDescent="0.2">
      <c r="A919" s="1" t="s">
        <v>4994</v>
      </c>
      <c r="B919" s="1" t="s">
        <v>1199</v>
      </c>
      <c r="C919" s="1"/>
      <c r="D919" s="1"/>
      <c r="E919" s="1"/>
      <c r="F919" s="1"/>
      <c r="G919" s="1"/>
      <c r="H919" s="1" t="str">
        <f>"7800049900209"</f>
        <v>7800049900209</v>
      </c>
      <c r="I919" s="3">
        <v>14</v>
      </c>
      <c r="J919" s="3">
        <v>0</v>
      </c>
      <c r="K919" s="3">
        <v>17000</v>
      </c>
    </row>
    <row r="920" spans="1:11" x14ac:dyDescent="0.2">
      <c r="A920" s="1" t="s">
        <v>4994</v>
      </c>
      <c r="B920" s="1" t="s">
        <v>1202</v>
      </c>
      <c r="C920" s="1"/>
      <c r="D920" s="1"/>
      <c r="E920" s="1"/>
      <c r="F920" s="1"/>
      <c r="G920" s="1"/>
      <c r="H920" s="1" t="str">
        <f>"6920210726023"</f>
        <v>6920210726023</v>
      </c>
      <c r="I920" s="3">
        <v>29</v>
      </c>
      <c r="J920" s="3">
        <v>0</v>
      </c>
      <c r="K920" s="3">
        <v>2500</v>
      </c>
    </row>
    <row r="921" spans="1:11" x14ac:dyDescent="0.2">
      <c r="A921" s="1" t="s">
        <v>4994</v>
      </c>
      <c r="B921" s="1" t="s">
        <v>1203</v>
      </c>
      <c r="C921" s="1"/>
      <c r="D921" s="1"/>
      <c r="E921" s="1"/>
      <c r="F921" s="1"/>
      <c r="G921" s="1"/>
      <c r="H921" s="1" t="str">
        <f>"6920210726009"</f>
        <v>6920210726009</v>
      </c>
      <c r="I921" s="3">
        <v>8</v>
      </c>
      <c r="J921" s="3">
        <v>0</v>
      </c>
      <c r="K921" s="3">
        <v>3000</v>
      </c>
    </row>
    <row r="922" spans="1:11" x14ac:dyDescent="0.2">
      <c r="A922" s="1" t="s">
        <v>4994</v>
      </c>
      <c r="B922" s="1" t="s">
        <v>1204</v>
      </c>
      <c r="C922" s="1"/>
      <c r="D922" s="1"/>
      <c r="E922" s="1"/>
      <c r="F922" s="1"/>
      <c r="G922" s="1"/>
      <c r="H922" s="1" t="str">
        <f>"7800028003563"</f>
        <v>7800028003563</v>
      </c>
      <c r="I922" s="3">
        <v>11</v>
      </c>
      <c r="J922" s="3">
        <v>0</v>
      </c>
      <c r="K922" s="3">
        <v>13500</v>
      </c>
    </row>
    <row r="923" spans="1:11" x14ac:dyDescent="0.2">
      <c r="A923" s="1" t="s">
        <v>4994</v>
      </c>
      <c r="B923" s="1" t="s">
        <v>1205</v>
      </c>
      <c r="C923" s="1"/>
      <c r="D923" s="1"/>
      <c r="E923" s="1"/>
      <c r="F923" s="1"/>
      <c r="G923" s="1"/>
      <c r="H923" s="1" t="str">
        <f>"901000100021"</f>
        <v>901000100021</v>
      </c>
      <c r="I923" s="3">
        <v>0</v>
      </c>
      <c r="J923" s="3">
        <v>0</v>
      </c>
      <c r="K923" s="3">
        <v>5000</v>
      </c>
    </row>
    <row r="924" spans="1:11" x14ac:dyDescent="0.2">
      <c r="A924" s="1" t="s">
        <v>4994</v>
      </c>
      <c r="B924" s="1" t="s">
        <v>1207</v>
      </c>
      <c r="C924" s="1"/>
      <c r="D924" s="1"/>
      <c r="E924" s="1"/>
      <c r="F924" s="1"/>
      <c r="G924" s="1"/>
      <c r="H924" s="1" t="str">
        <f>"2910202012528"</f>
        <v>2910202012528</v>
      </c>
      <c r="I924" s="3">
        <v>0</v>
      </c>
      <c r="J924" s="3">
        <v>0</v>
      </c>
      <c r="K924" s="3">
        <v>1000</v>
      </c>
    </row>
    <row r="925" spans="1:11" x14ac:dyDescent="0.2">
      <c r="A925" s="1" t="s">
        <v>4994</v>
      </c>
      <c r="B925" s="1" t="s">
        <v>1208</v>
      </c>
      <c r="C925" s="1"/>
      <c r="D925" s="1"/>
      <c r="E925" s="1"/>
      <c r="F925" s="1"/>
      <c r="G925" s="1"/>
      <c r="H925" s="1" t="str">
        <f>"7756050000516"</f>
        <v>7756050000516</v>
      </c>
      <c r="I925" s="3">
        <v>0</v>
      </c>
      <c r="J925" s="3">
        <v>0</v>
      </c>
      <c r="K925" s="3">
        <v>2500</v>
      </c>
    </row>
    <row r="926" spans="1:11" x14ac:dyDescent="0.2">
      <c r="A926" s="1" t="s">
        <v>4994</v>
      </c>
      <c r="B926" s="1" t="s">
        <v>1211</v>
      </c>
      <c r="C926" s="1"/>
      <c r="D926" s="1"/>
      <c r="E926" s="1"/>
      <c r="F926" s="1"/>
      <c r="G926" s="1"/>
      <c r="H926" s="1" t="str">
        <f>"5031413938326"</f>
        <v>5031413938326</v>
      </c>
      <c r="I926" s="3">
        <v>3</v>
      </c>
      <c r="J926" s="3">
        <v>0</v>
      </c>
      <c r="K926" s="3">
        <v>10000</v>
      </c>
    </row>
    <row r="927" spans="1:11" x14ac:dyDescent="0.2">
      <c r="A927" s="1" t="s">
        <v>4994</v>
      </c>
      <c r="B927" s="1" t="s">
        <v>1212</v>
      </c>
      <c r="C927" s="1"/>
      <c r="D927" s="1"/>
      <c r="E927" s="1"/>
      <c r="F927" s="1"/>
      <c r="G927" s="1"/>
      <c r="H927" s="1" t="str">
        <f>"7800007110459"</f>
        <v>7800007110459</v>
      </c>
      <c r="I927" s="3">
        <v>0</v>
      </c>
      <c r="J927" s="3">
        <v>0</v>
      </c>
      <c r="K927" s="3">
        <v>16500</v>
      </c>
    </row>
    <row r="928" spans="1:11" x14ac:dyDescent="0.2">
      <c r="A928" s="1" t="s">
        <v>4994</v>
      </c>
      <c r="B928" s="1" t="s">
        <v>1213</v>
      </c>
      <c r="C928" s="1"/>
      <c r="D928" s="1"/>
      <c r="E928" s="1"/>
      <c r="F928" s="1"/>
      <c r="G928" s="1"/>
      <c r="H928" s="1" t="str">
        <f>"7730766002644"</f>
        <v>7730766002644</v>
      </c>
      <c r="I928" s="3">
        <v>0</v>
      </c>
      <c r="J928" s="3">
        <v>0</v>
      </c>
      <c r="K928" s="3">
        <v>18000</v>
      </c>
    </row>
    <row r="929" spans="1:11" x14ac:dyDescent="0.2">
      <c r="A929" s="1" t="s">
        <v>4994</v>
      </c>
      <c r="B929" s="1" t="s">
        <v>1214</v>
      </c>
      <c r="C929" s="1"/>
      <c r="D929" s="1"/>
      <c r="E929" s="1"/>
      <c r="F929" s="1"/>
      <c r="G929" s="1"/>
      <c r="H929" s="1" t="str">
        <f>"7800063310534"</f>
        <v>7800063310534</v>
      </c>
      <c r="I929" s="3">
        <v>0</v>
      </c>
      <c r="J929" s="3">
        <v>0</v>
      </c>
      <c r="K929" s="3">
        <v>3000</v>
      </c>
    </row>
    <row r="930" spans="1:11" x14ac:dyDescent="0.2">
      <c r="A930" s="1" t="s">
        <v>4994</v>
      </c>
      <c r="B930" s="1" t="s">
        <v>1215</v>
      </c>
      <c r="C930" s="1"/>
      <c r="D930" s="1"/>
      <c r="E930" s="1"/>
      <c r="F930" s="1"/>
      <c r="G930" s="1"/>
      <c r="H930" s="1" t="str">
        <f>"7804969401136"</f>
        <v>7804969401136</v>
      </c>
      <c r="I930" s="3">
        <v>0</v>
      </c>
      <c r="J930" s="3">
        <v>0</v>
      </c>
      <c r="K930" s="3">
        <v>3500</v>
      </c>
    </row>
    <row r="931" spans="1:11" x14ac:dyDescent="0.2">
      <c r="A931" s="1" t="s">
        <v>4994</v>
      </c>
      <c r="B931" s="1" t="s">
        <v>1216</v>
      </c>
      <c r="C931" s="1"/>
      <c r="D931" s="1"/>
      <c r="E931" s="1"/>
      <c r="F931" s="1"/>
      <c r="G931" s="1"/>
      <c r="H931" s="1" t="str">
        <f>"7804969401129"</f>
        <v>7804969401129</v>
      </c>
      <c r="I931" s="3">
        <v>0</v>
      </c>
      <c r="J931" s="3">
        <v>0</v>
      </c>
      <c r="K931" s="3">
        <v>3500</v>
      </c>
    </row>
    <row r="932" spans="1:11" x14ac:dyDescent="0.2">
      <c r="A932" s="1" t="s">
        <v>4994</v>
      </c>
      <c r="B932" s="1" t="s">
        <v>1217</v>
      </c>
      <c r="C932" s="1"/>
      <c r="D932" s="1"/>
      <c r="E932" s="1"/>
      <c r="F932" s="1"/>
      <c r="G932" s="1"/>
      <c r="H932" s="1" t="str">
        <f>"7806545030389"</f>
        <v>7806545030389</v>
      </c>
      <c r="I932" s="3">
        <v>0</v>
      </c>
      <c r="J932" s="3">
        <v>0</v>
      </c>
      <c r="K932" s="3">
        <v>1000</v>
      </c>
    </row>
    <row r="933" spans="1:11" x14ac:dyDescent="0.2">
      <c r="A933" s="1" t="s">
        <v>4994</v>
      </c>
      <c r="B933" s="1" t="s">
        <v>1218</v>
      </c>
      <c r="C933" s="1"/>
      <c r="D933" s="1"/>
      <c r="E933" s="1"/>
      <c r="F933" s="1"/>
      <c r="G933" s="1"/>
      <c r="H933" s="1" t="str">
        <f>"7800038001122"</f>
        <v>7800038001122</v>
      </c>
      <c r="I933" s="3">
        <v>1</v>
      </c>
      <c r="J933" s="3">
        <v>0</v>
      </c>
      <c r="K933" s="3">
        <v>13500</v>
      </c>
    </row>
    <row r="934" spans="1:11" x14ac:dyDescent="0.2">
      <c r="A934" s="1" t="s">
        <v>4994</v>
      </c>
      <c r="B934" s="1" t="s">
        <v>1221</v>
      </c>
      <c r="C934" s="1"/>
      <c r="D934" s="1"/>
      <c r="E934" s="1"/>
      <c r="F934" s="1"/>
      <c r="G934" s="1"/>
      <c r="H934" s="1" t="str">
        <f>"7794640171703"</f>
        <v>7794640171703</v>
      </c>
      <c r="I934" s="3">
        <v>83</v>
      </c>
      <c r="J934" s="3">
        <v>0</v>
      </c>
      <c r="K934" s="3">
        <v>9500</v>
      </c>
    </row>
    <row r="935" spans="1:11" x14ac:dyDescent="0.2">
      <c r="A935" s="1" t="s">
        <v>4994</v>
      </c>
      <c r="B935" s="1" t="s">
        <v>1222</v>
      </c>
      <c r="C935" s="1"/>
      <c r="D935" s="1"/>
      <c r="E935" s="1"/>
      <c r="F935" s="1"/>
      <c r="G935" s="1"/>
      <c r="H935" s="1" t="str">
        <f>"7794640171758"</f>
        <v>7794640171758</v>
      </c>
      <c r="I935" s="3">
        <v>0</v>
      </c>
      <c r="J935" s="3">
        <v>0</v>
      </c>
      <c r="K935" s="3">
        <v>14500</v>
      </c>
    </row>
    <row r="936" spans="1:11" x14ac:dyDescent="0.2">
      <c r="A936" s="1" t="s">
        <v>4994</v>
      </c>
      <c r="B936" s="1" t="s">
        <v>1223</v>
      </c>
      <c r="C936" s="1"/>
      <c r="D936" s="1"/>
      <c r="E936" s="1"/>
      <c r="F936" s="1"/>
      <c r="G936" s="1"/>
      <c r="H936" s="1" t="str">
        <f>"7794640171710"</f>
        <v>7794640171710</v>
      </c>
      <c r="I936" s="3">
        <v>38</v>
      </c>
      <c r="J936" s="3">
        <v>0</v>
      </c>
      <c r="K936" s="3">
        <v>6500</v>
      </c>
    </row>
    <row r="937" spans="1:11" x14ac:dyDescent="0.2">
      <c r="A937" s="1" t="s">
        <v>4994</v>
      </c>
      <c r="B937" s="1" t="s">
        <v>1224</v>
      </c>
      <c r="C937" s="1"/>
      <c r="D937" s="1"/>
      <c r="E937" s="1"/>
      <c r="F937" s="1"/>
      <c r="G937" s="1"/>
      <c r="H937" s="1" t="str">
        <f>"7794640171741"</f>
        <v>7794640171741</v>
      </c>
      <c r="I937" s="3">
        <v>0</v>
      </c>
      <c r="J937" s="3">
        <v>0</v>
      </c>
      <c r="K937" s="3">
        <v>9500</v>
      </c>
    </row>
    <row r="938" spans="1:11" x14ac:dyDescent="0.2">
      <c r="A938" s="1" t="s">
        <v>4994</v>
      </c>
      <c r="B938" s="1" t="s">
        <v>1225</v>
      </c>
      <c r="C938" s="1"/>
      <c r="D938" s="1"/>
      <c r="E938" s="1"/>
      <c r="F938" s="1"/>
      <c r="G938" s="1"/>
      <c r="H938" s="1" t="str">
        <f>"7794640171420"</f>
        <v>7794640171420</v>
      </c>
      <c r="I938" s="3">
        <v>0</v>
      </c>
      <c r="J938" s="3">
        <v>0</v>
      </c>
      <c r="K938" s="3">
        <v>6000</v>
      </c>
    </row>
    <row r="939" spans="1:11" x14ac:dyDescent="0.2">
      <c r="A939" s="1" t="s">
        <v>4994</v>
      </c>
      <c r="B939" s="1" t="s">
        <v>1226</v>
      </c>
      <c r="C939" s="1"/>
      <c r="D939" s="1"/>
      <c r="E939" s="1"/>
      <c r="F939" s="1"/>
      <c r="G939" s="1"/>
      <c r="H939" s="1" t="str">
        <f>"7896009490682"</f>
        <v>7896009490682</v>
      </c>
      <c r="I939" s="3">
        <v>0</v>
      </c>
      <c r="J939" s="3">
        <v>0</v>
      </c>
      <c r="K939" s="3">
        <v>11000</v>
      </c>
    </row>
    <row r="940" spans="1:11" x14ac:dyDescent="0.2">
      <c r="A940" s="1" t="s">
        <v>4994</v>
      </c>
      <c r="B940" s="1" t="s">
        <v>1227</v>
      </c>
      <c r="C940" s="1"/>
      <c r="D940" s="1"/>
      <c r="E940" s="1"/>
      <c r="F940" s="1"/>
      <c r="G940" s="1"/>
      <c r="H940" s="1" t="str">
        <f>"7501065025791"</f>
        <v>7501065025791</v>
      </c>
      <c r="I940" s="3">
        <v>0</v>
      </c>
      <c r="J940" s="3">
        <v>0</v>
      </c>
      <c r="K940" s="3">
        <v>10000</v>
      </c>
    </row>
    <row r="941" spans="1:11" x14ac:dyDescent="0.2">
      <c r="A941" s="1" t="s">
        <v>4994</v>
      </c>
      <c r="B941" s="1" t="s">
        <v>1228</v>
      </c>
      <c r="C941" s="1"/>
      <c r="D941" s="1"/>
      <c r="E941" s="1"/>
      <c r="F941" s="1"/>
      <c r="G941" s="1"/>
      <c r="H941" s="1" t="str">
        <f>"7730969300943"</f>
        <v>7730969300943</v>
      </c>
      <c r="I941" s="3">
        <v>9</v>
      </c>
      <c r="J941" s="3">
        <v>0</v>
      </c>
      <c r="K941" s="3">
        <v>8000</v>
      </c>
    </row>
    <row r="942" spans="1:11" x14ac:dyDescent="0.2">
      <c r="A942" s="1" t="s">
        <v>4994</v>
      </c>
      <c r="B942" s="1" t="s">
        <v>1229</v>
      </c>
      <c r="C942" s="1"/>
      <c r="D942" s="1"/>
      <c r="E942" s="1"/>
      <c r="F942" s="1"/>
      <c r="G942" s="1"/>
      <c r="H942" s="1" t="str">
        <f>"7730969302312"</f>
        <v>7730969302312</v>
      </c>
      <c r="I942" s="3">
        <v>0</v>
      </c>
      <c r="J942" s="3">
        <v>0</v>
      </c>
      <c r="K942" s="3">
        <v>5500</v>
      </c>
    </row>
    <row r="943" spans="1:11" x14ac:dyDescent="0.2">
      <c r="A943" s="1" t="s">
        <v>4994</v>
      </c>
      <c r="B943" s="1" t="s">
        <v>1230</v>
      </c>
      <c r="C943" s="1"/>
      <c r="D943" s="1"/>
      <c r="E943" s="1"/>
      <c r="F943" s="1"/>
      <c r="G943" s="1"/>
      <c r="H943" s="1" t="str">
        <f>"7800028005604"</f>
        <v>7800028005604</v>
      </c>
      <c r="I943" s="3">
        <v>0</v>
      </c>
      <c r="J943" s="3">
        <v>0</v>
      </c>
      <c r="K943" s="3">
        <v>20000</v>
      </c>
    </row>
    <row r="944" spans="1:11" x14ac:dyDescent="0.2">
      <c r="A944" s="1" t="s">
        <v>4994</v>
      </c>
      <c r="B944" s="1" t="s">
        <v>1231</v>
      </c>
      <c r="C944" s="1"/>
      <c r="D944" s="1"/>
      <c r="E944" s="1"/>
      <c r="F944" s="1"/>
      <c r="G944" s="1"/>
      <c r="H944" s="1" t="str">
        <f>"7800028005574"</f>
        <v>7800028005574</v>
      </c>
      <c r="I944" s="3">
        <v>0</v>
      </c>
      <c r="J944" s="3">
        <v>0</v>
      </c>
      <c r="K944" s="3">
        <v>21000</v>
      </c>
    </row>
    <row r="945" spans="1:11" x14ac:dyDescent="0.2">
      <c r="A945" s="1" t="s">
        <v>4994</v>
      </c>
      <c r="B945" s="1" t="s">
        <v>1232</v>
      </c>
      <c r="C945" s="1"/>
      <c r="D945" s="1"/>
      <c r="E945" s="1"/>
      <c r="F945" s="1"/>
      <c r="G945" s="1"/>
      <c r="H945" s="1" t="str">
        <f>"7708951146794"</f>
        <v>7708951146794</v>
      </c>
      <c r="I945" s="3">
        <v>0</v>
      </c>
      <c r="J945" s="3">
        <v>0</v>
      </c>
      <c r="K945" s="3">
        <v>2000</v>
      </c>
    </row>
    <row r="946" spans="1:11" x14ac:dyDescent="0.2">
      <c r="A946" s="1" t="s">
        <v>4994</v>
      </c>
      <c r="B946" s="1" t="s">
        <v>1233</v>
      </c>
      <c r="C946" s="1"/>
      <c r="D946" s="1"/>
      <c r="E946" s="1"/>
      <c r="F946" s="1"/>
      <c r="G946" s="1"/>
      <c r="H946" s="1" t="str">
        <f>"FVCLT"</f>
        <v>FVCLT</v>
      </c>
      <c r="I946" s="3">
        <v>0</v>
      </c>
      <c r="J946" s="3">
        <v>0</v>
      </c>
      <c r="K946" s="3">
        <v>2000</v>
      </c>
    </row>
    <row r="947" spans="1:11" x14ac:dyDescent="0.2">
      <c r="A947" s="1" t="s">
        <v>4994</v>
      </c>
      <c r="B947" s="1" t="s">
        <v>1234</v>
      </c>
      <c r="C947" s="1"/>
      <c r="D947" s="1"/>
      <c r="E947" s="1"/>
      <c r="F947" s="1"/>
      <c r="G947" s="1"/>
      <c r="H947" s="1" t="str">
        <f>"CORTACALLOS"</f>
        <v>CORTACALLOS</v>
      </c>
      <c r="I947" s="3">
        <v>0</v>
      </c>
      <c r="J947" s="3">
        <v>0</v>
      </c>
      <c r="K947" s="3">
        <v>1500</v>
      </c>
    </row>
    <row r="948" spans="1:11" x14ac:dyDescent="0.2">
      <c r="A948" s="1" t="s">
        <v>4994</v>
      </c>
      <c r="B948" s="1" t="s">
        <v>1235</v>
      </c>
      <c r="C948" s="1"/>
      <c r="D948" s="1"/>
      <c r="E948" s="1"/>
      <c r="F948" s="1"/>
      <c r="G948" s="1"/>
      <c r="H948" s="1" t="str">
        <f>"4026449370043"</f>
        <v>4026449370043</v>
      </c>
      <c r="I948" s="3">
        <v>0</v>
      </c>
      <c r="J948" s="3">
        <v>0</v>
      </c>
      <c r="K948" s="3">
        <v>3000</v>
      </c>
    </row>
    <row r="949" spans="1:11" x14ac:dyDescent="0.2">
      <c r="A949" s="1" t="s">
        <v>4994</v>
      </c>
      <c r="B949" s="1" t="s">
        <v>1236</v>
      </c>
      <c r="C949" s="1"/>
      <c r="D949" s="1"/>
      <c r="E949" s="1"/>
      <c r="F949" s="1"/>
      <c r="G949" s="1"/>
      <c r="H949" s="1" t="str">
        <f>"7709845461672"</f>
        <v>7709845461672</v>
      </c>
      <c r="I949" s="3">
        <v>0</v>
      </c>
      <c r="J949" s="3">
        <v>0</v>
      </c>
      <c r="K949" s="3">
        <v>6500</v>
      </c>
    </row>
    <row r="950" spans="1:11" x14ac:dyDescent="0.2">
      <c r="A950" s="1" t="s">
        <v>4994</v>
      </c>
      <c r="B950" s="1" t="s">
        <v>1237</v>
      </c>
      <c r="C950" s="1"/>
      <c r="D950" s="1"/>
      <c r="E950" s="1"/>
      <c r="F950" s="1"/>
      <c r="G950" s="1"/>
      <c r="H950" s="1" t="str">
        <f>"6921199335534"</f>
        <v>6921199335534</v>
      </c>
      <c r="I950" s="3">
        <v>6</v>
      </c>
      <c r="J950" s="3">
        <v>0</v>
      </c>
      <c r="K950" s="3">
        <v>2000</v>
      </c>
    </row>
    <row r="951" spans="1:11" x14ac:dyDescent="0.2">
      <c r="A951" s="1" t="s">
        <v>4994</v>
      </c>
      <c r="B951" s="1" t="s">
        <v>1238</v>
      </c>
      <c r="C951" s="1"/>
      <c r="D951" s="1"/>
      <c r="E951" s="1"/>
      <c r="F951" s="1"/>
      <c r="G951" s="1"/>
      <c r="H951" s="1" t="str">
        <f>"071603002098"</f>
        <v>071603002098</v>
      </c>
      <c r="I951" s="3">
        <v>2</v>
      </c>
      <c r="J951" s="3">
        <v>0</v>
      </c>
      <c r="K951" s="3">
        <v>1500</v>
      </c>
    </row>
    <row r="952" spans="1:11" x14ac:dyDescent="0.2">
      <c r="A952" s="1" t="s">
        <v>4994</v>
      </c>
      <c r="B952" s="1" t="s">
        <v>1239</v>
      </c>
      <c r="C952" s="1"/>
      <c r="D952" s="1"/>
      <c r="E952" s="1"/>
      <c r="F952" s="1"/>
      <c r="G952" s="1"/>
      <c r="H952" s="1" t="str">
        <f>"71603002128"</f>
        <v>71603002128</v>
      </c>
      <c r="I952" s="3">
        <v>0</v>
      </c>
      <c r="J952" s="3">
        <v>0</v>
      </c>
      <c r="K952" s="3">
        <v>3500</v>
      </c>
    </row>
    <row r="953" spans="1:11" x14ac:dyDescent="0.2">
      <c r="A953" s="1" t="s">
        <v>4994</v>
      </c>
      <c r="B953" s="1" t="s">
        <v>1240</v>
      </c>
      <c r="C953" s="1"/>
      <c r="D953" s="1"/>
      <c r="E953" s="1"/>
      <c r="F953" s="1"/>
      <c r="G953" s="1"/>
      <c r="H953" s="1" t="str">
        <f>"7805633020462"</f>
        <v>7805633020462</v>
      </c>
      <c r="I953" s="3">
        <v>8</v>
      </c>
      <c r="J953" s="3">
        <v>0</v>
      </c>
      <c r="K953" s="3">
        <v>1500</v>
      </c>
    </row>
    <row r="954" spans="1:11" x14ac:dyDescent="0.2">
      <c r="A954" s="1" t="s">
        <v>4994</v>
      </c>
      <c r="B954" s="1" t="s">
        <v>1241</v>
      </c>
      <c r="C954" s="1"/>
      <c r="D954" s="1"/>
      <c r="E954" s="1"/>
      <c r="F954" s="1"/>
      <c r="G954" s="1"/>
      <c r="H954" s="1" t="str">
        <f>"8424559090145"</f>
        <v>8424559090145</v>
      </c>
      <c r="I954" s="3">
        <v>0</v>
      </c>
      <c r="J954" s="3">
        <v>0</v>
      </c>
      <c r="K954" s="3">
        <v>1500</v>
      </c>
    </row>
    <row r="955" spans="1:11" x14ac:dyDescent="0.2">
      <c r="A955" s="1" t="s">
        <v>4994</v>
      </c>
      <c r="B955" s="1" t="s">
        <v>1242</v>
      </c>
      <c r="C955" s="1"/>
      <c r="D955" s="1"/>
      <c r="E955" s="1"/>
      <c r="F955" s="1"/>
      <c r="G955" s="1"/>
      <c r="H955" s="1" t="str">
        <f>"7892065359888"</f>
        <v>7892065359888</v>
      </c>
      <c r="I955" s="3">
        <v>0</v>
      </c>
      <c r="J955" s="3">
        <v>0</v>
      </c>
      <c r="K955" s="3">
        <v>1500</v>
      </c>
    </row>
    <row r="956" spans="1:11" x14ac:dyDescent="0.2">
      <c r="A956" s="1" t="s">
        <v>4994</v>
      </c>
      <c r="B956" s="1" t="s">
        <v>1243</v>
      </c>
      <c r="C956" s="1"/>
      <c r="D956" s="1"/>
      <c r="E956" s="1"/>
      <c r="F956" s="1"/>
      <c r="G956" s="1"/>
      <c r="H956" s="1" t="str">
        <f>"7805633019275"</f>
        <v>7805633019275</v>
      </c>
      <c r="I956" s="3">
        <v>0</v>
      </c>
      <c r="J956" s="3">
        <v>0</v>
      </c>
      <c r="K956" s="3">
        <v>1000</v>
      </c>
    </row>
    <row r="957" spans="1:11" x14ac:dyDescent="0.2">
      <c r="A957" s="1" t="s">
        <v>4994</v>
      </c>
      <c r="B957" s="1" t="s">
        <v>1244</v>
      </c>
      <c r="C957" s="1"/>
      <c r="D957" s="1"/>
      <c r="E957" s="1"/>
      <c r="F957" s="1"/>
      <c r="G957" s="1"/>
      <c r="H957" s="1" t="str">
        <f>"7800007313645"</f>
        <v>7800007313645</v>
      </c>
      <c r="I957" s="3">
        <v>5</v>
      </c>
      <c r="J957" s="3">
        <v>0</v>
      </c>
      <c r="K957" s="3">
        <v>6000</v>
      </c>
    </row>
    <row r="958" spans="1:11" x14ac:dyDescent="0.2">
      <c r="A958" s="1" t="s">
        <v>4994</v>
      </c>
      <c r="B958" s="1" t="s">
        <v>1247</v>
      </c>
      <c r="C958" s="1"/>
      <c r="D958" s="1"/>
      <c r="E958" s="1"/>
      <c r="F958" s="1"/>
      <c r="G958" s="1"/>
      <c r="H958" s="1" t="str">
        <f>"8839210140"</f>
        <v>8839210140</v>
      </c>
      <c r="I958" s="3">
        <v>0</v>
      </c>
      <c r="J958" s="3">
        <v>0</v>
      </c>
      <c r="K958" s="3">
        <v>500</v>
      </c>
    </row>
    <row r="959" spans="1:11" x14ac:dyDescent="0.2">
      <c r="A959" s="1" t="s">
        <v>4994</v>
      </c>
      <c r="B959" s="1" t="s">
        <v>1248</v>
      </c>
      <c r="C959" s="1"/>
      <c r="D959" s="1"/>
      <c r="E959" s="1"/>
      <c r="F959" s="1"/>
      <c r="G959" s="1"/>
      <c r="H959" s="1" t="str">
        <f>"7806500775867"</f>
        <v>7806500775867</v>
      </c>
      <c r="I959" s="3">
        <v>4</v>
      </c>
      <c r="J959" s="3">
        <v>0</v>
      </c>
      <c r="K959" s="3">
        <v>17000</v>
      </c>
    </row>
    <row r="960" spans="1:11" x14ac:dyDescent="0.2">
      <c r="A960" s="1" t="s">
        <v>4994</v>
      </c>
      <c r="B960" s="1" t="s">
        <v>1249</v>
      </c>
      <c r="C960" s="1"/>
      <c r="D960" s="1"/>
      <c r="E960" s="1"/>
      <c r="F960" s="1"/>
      <c r="G960" s="1"/>
      <c r="H960" s="1" t="str">
        <f>"7806500771050"</f>
        <v>7806500771050</v>
      </c>
      <c r="I960" s="3">
        <v>21</v>
      </c>
      <c r="J960" s="3">
        <v>0</v>
      </c>
      <c r="K960" s="3">
        <v>8500</v>
      </c>
    </row>
    <row r="961" spans="1:11" x14ac:dyDescent="0.2">
      <c r="A961" s="1" t="s">
        <v>4994</v>
      </c>
      <c r="B961" s="1" t="s">
        <v>1250</v>
      </c>
      <c r="C961" s="1"/>
      <c r="D961" s="1"/>
      <c r="E961" s="1"/>
      <c r="F961" s="1"/>
      <c r="G961" s="1"/>
      <c r="H961" s="1" t="str">
        <f>"8424559081150"</f>
        <v>8424559081150</v>
      </c>
      <c r="I961" s="3">
        <v>0</v>
      </c>
      <c r="J961" s="3">
        <v>0</v>
      </c>
      <c r="K961" s="3">
        <v>1000</v>
      </c>
    </row>
    <row r="962" spans="1:11" x14ac:dyDescent="0.2">
      <c r="A962" s="1" t="s">
        <v>4994</v>
      </c>
      <c r="B962" s="1" t="s">
        <v>1251</v>
      </c>
      <c r="C962" s="1"/>
      <c r="D962" s="1"/>
      <c r="E962" s="1"/>
      <c r="F962" s="1"/>
      <c r="G962" s="1"/>
      <c r="H962" s="1" t="str">
        <f>"7806545030174"</f>
        <v>7806545030174</v>
      </c>
      <c r="I962" s="3">
        <v>0</v>
      </c>
      <c r="J962" s="3">
        <v>0</v>
      </c>
      <c r="K962" s="3">
        <v>1500</v>
      </c>
    </row>
    <row r="963" spans="1:11" x14ac:dyDescent="0.2">
      <c r="A963" s="1" t="s">
        <v>4994</v>
      </c>
      <c r="B963" s="1" t="s">
        <v>1252</v>
      </c>
      <c r="C963" s="1"/>
      <c r="D963" s="1"/>
      <c r="E963" s="1"/>
      <c r="F963" s="1"/>
      <c r="G963" s="1"/>
      <c r="H963" s="1" t="str">
        <f>"7806545030372"</f>
        <v>7806545030372</v>
      </c>
      <c r="I963" s="3">
        <v>0</v>
      </c>
      <c r="J963" s="3">
        <v>0</v>
      </c>
      <c r="K963" s="3">
        <v>1000</v>
      </c>
    </row>
    <row r="964" spans="1:11" x14ac:dyDescent="0.2">
      <c r="A964" s="1" t="s">
        <v>4994</v>
      </c>
      <c r="B964" s="1" t="s">
        <v>1253</v>
      </c>
      <c r="C964" s="1"/>
      <c r="D964" s="1"/>
      <c r="E964" s="1"/>
      <c r="F964" s="1"/>
      <c r="G964" s="1"/>
      <c r="H964" s="1" t="str">
        <f>"7804945002197"</f>
        <v>7804945002197</v>
      </c>
      <c r="I964" s="3">
        <v>0</v>
      </c>
      <c r="J964" s="3">
        <v>0</v>
      </c>
      <c r="K964" s="3">
        <v>2000</v>
      </c>
    </row>
    <row r="965" spans="1:11" x14ac:dyDescent="0.2">
      <c r="A965" s="1" t="s">
        <v>4994</v>
      </c>
      <c r="B965" s="1" t="s">
        <v>1254</v>
      </c>
      <c r="C965" s="1"/>
      <c r="D965" s="1"/>
      <c r="E965" s="1"/>
      <c r="F965" s="1"/>
      <c r="G965" s="1"/>
      <c r="H965" s="1" t="str">
        <f>"7800063110134"</f>
        <v>7800063110134</v>
      </c>
      <c r="I965" s="3">
        <v>0</v>
      </c>
      <c r="J965" s="3">
        <v>0</v>
      </c>
      <c r="K965" s="3">
        <v>2000</v>
      </c>
    </row>
    <row r="966" spans="1:11" x14ac:dyDescent="0.2">
      <c r="A966" s="1" t="s">
        <v>4994</v>
      </c>
      <c r="B966" s="1" t="s">
        <v>1256</v>
      </c>
      <c r="C966" s="1"/>
      <c r="D966" s="1"/>
      <c r="E966" s="1"/>
      <c r="F966" s="1"/>
      <c r="G966" s="1"/>
      <c r="H966" s="1" t="str">
        <f>"7804650885757"</f>
        <v>7804650885757</v>
      </c>
      <c r="I966" s="3">
        <v>0</v>
      </c>
      <c r="J966" s="3">
        <v>0</v>
      </c>
      <c r="K966" s="3">
        <v>2500</v>
      </c>
    </row>
    <row r="967" spans="1:11" x14ac:dyDescent="0.2">
      <c r="A967" s="1" t="s">
        <v>4994</v>
      </c>
      <c r="B967" s="1" t="s">
        <v>1264</v>
      </c>
      <c r="C967" s="1"/>
      <c r="D967" s="1"/>
      <c r="E967" s="1"/>
      <c r="F967" s="1"/>
      <c r="G967" s="1"/>
      <c r="H967" s="1" t="str">
        <f>"44A6ASCANBT0AY"</f>
        <v>44A6ASCANBT0AY</v>
      </c>
      <c r="I967" s="3">
        <v>0</v>
      </c>
      <c r="J967" s="3">
        <v>0</v>
      </c>
      <c r="K967" s="3">
        <v>500</v>
      </c>
    </row>
    <row r="968" spans="1:11" x14ac:dyDescent="0.2">
      <c r="A968" s="1" t="s">
        <v>4994</v>
      </c>
      <c r="B968" s="1" t="s">
        <v>1265</v>
      </c>
      <c r="C968" s="1"/>
      <c r="D968" s="1"/>
      <c r="E968" s="1"/>
      <c r="F968" s="1"/>
      <c r="G968" s="1"/>
      <c r="H968" s="1" t="str">
        <f>"7806130008236"</f>
        <v>7806130008236</v>
      </c>
      <c r="I968" s="3">
        <v>0</v>
      </c>
      <c r="J968" s="3">
        <v>0</v>
      </c>
      <c r="K968" s="3">
        <v>2000</v>
      </c>
    </row>
    <row r="969" spans="1:11" x14ac:dyDescent="0.2">
      <c r="A969" s="1" t="s">
        <v>4994</v>
      </c>
      <c r="B969" s="1" t="s">
        <v>1266</v>
      </c>
      <c r="C969" s="1"/>
      <c r="D969" s="1"/>
      <c r="E969" s="1"/>
      <c r="F969" s="1"/>
      <c r="G969" s="1"/>
      <c r="H969" s="1" t="str">
        <f>"7806130017023"</f>
        <v>7806130017023</v>
      </c>
      <c r="I969" s="3">
        <v>0</v>
      </c>
      <c r="J969" s="3">
        <v>0</v>
      </c>
      <c r="K969" s="3">
        <v>1000</v>
      </c>
    </row>
    <row r="970" spans="1:11" x14ac:dyDescent="0.2">
      <c r="A970" s="1" t="s">
        <v>4994</v>
      </c>
      <c r="B970" s="1" t="s">
        <v>1269</v>
      </c>
      <c r="C970" s="1"/>
      <c r="D970" s="1"/>
      <c r="E970" s="1"/>
      <c r="F970" s="1"/>
      <c r="G970" s="1"/>
      <c r="H970" s="1" t="str">
        <f>"7806130007949"</f>
        <v>7806130007949</v>
      </c>
      <c r="I970" s="3">
        <v>0</v>
      </c>
      <c r="J970" s="3">
        <v>0</v>
      </c>
      <c r="K970" s="3">
        <v>500</v>
      </c>
    </row>
    <row r="971" spans="1:11" x14ac:dyDescent="0.2">
      <c r="A971" s="1" t="s">
        <v>4994</v>
      </c>
      <c r="B971" s="1" t="s">
        <v>1270</v>
      </c>
      <c r="C971" s="1"/>
      <c r="D971" s="1"/>
      <c r="E971" s="1"/>
      <c r="F971" s="1"/>
      <c r="G971" s="1"/>
      <c r="H971" s="1" t="str">
        <f>"7806130014497"</f>
        <v>7806130014497</v>
      </c>
      <c r="I971" s="3">
        <v>6</v>
      </c>
      <c r="J971" s="3">
        <v>0</v>
      </c>
      <c r="K971" s="3">
        <v>3000</v>
      </c>
    </row>
    <row r="972" spans="1:11" x14ac:dyDescent="0.2">
      <c r="A972" s="1" t="s">
        <v>4994</v>
      </c>
      <c r="B972" s="1" t="s">
        <v>1271</v>
      </c>
      <c r="C972" s="1"/>
      <c r="D972" s="1"/>
      <c r="E972" s="1"/>
      <c r="F972" s="1"/>
      <c r="G972" s="1"/>
      <c r="H972" s="1" t="str">
        <f>"7806130013742"</f>
        <v>7806130013742</v>
      </c>
      <c r="I972" s="3">
        <v>0</v>
      </c>
      <c r="J972" s="3">
        <v>0</v>
      </c>
      <c r="K972" s="3">
        <v>500</v>
      </c>
    </row>
    <row r="973" spans="1:11" x14ac:dyDescent="0.2">
      <c r="A973" s="1" t="s">
        <v>4994</v>
      </c>
      <c r="B973" s="1" t="s">
        <v>1272</v>
      </c>
      <c r="C973" s="1"/>
      <c r="D973" s="1"/>
      <c r="E973" s="1"/>
      <c r="F973" s="1"/>
      <c r="G973" s="1"/>
      <c r="H973" s="1" t="str">
        <f>"95z51631114625"</f>
        <v>95z51631114625</v>
      </c>
      <c r="I973" s="3">
        <v>0</v>
      </c>
      <c r="J973" s="3">
        <v>0</v>
      </c>
      <c r="K973" s="3">
        <v>1500</v>
      </c>
    </row>
    <row r="974" spans="1:11" x14ac:dyDescent="0.2">
      <c r="A974" s="1" t="s">
        <v>4994</v>
      </c>
      <c r="B974" s="1" t="s">
        <v>1273</v>
      </c>
      <c r="C974" s="1"/>
      <c r="D974" s="1"/>
      <c r="E974" s="1"/>
      <c r="F974" s="1"/>
      <c r="G974" s="1"/>
      <c r="H974" s="1" t="str">
        <f>"7806130010963"</f>
        <v>7806130010963</v>
      </c>
      <c r="I974" s="3">
        <v>0</v>
      </c>
      <c r="J974" s="3">
        <v>0</v>
      </c>
      <c r="K974" s="3">
        <v>1500</v>
      </c>
    </row>
    <row r="975" spans="1:11" x14ac:dyDescent="0.2">
      <c r="A975" s="1" t="s">
        <v>4994</v>
      </c>
      <c r="B975" s="1" t="s">
        <v>1274</v>
      </c>
      <c r="C975" s="1"/>
      <c r="D975" s="1"/>
      <c r="E975" s="1"/>
      <c r="F975" s="1"/>
      <c r="G975" s="1"/>
      <c r="H975" s="1" t="str">
        <f>"7806130200128"</f>
        <v>7806130200128</v>
      </c>
      <c r="I975" s="3">
        <v>0</v>
      </c>
      <c r="J975" s="3">
        <v>0</v>
      </c>
      <c r="K975" s="3">
        <v>1800</v>
      </c>
    </row>
    <row r="976" spans="1:11" x14ac:dyDescent="0.2">
      <c r="A976" s="1" t="s">
        <v>4994</v>
      </c>
      <c r="B976" s="1" t="s">
        <v>1275</v>
      </c>
      <c r="C976" s="1"/>
      <c r="D976" s="1"/>
      <c r="E976" s="1"/>
      <c r="F976" s="1"/>
      <c r="G976" s="1"/>
      <c r="H976" s="1" t="str">
        <f>"7806130010345"</f>
        <v>7806130010345</v>
      </c>
      <c r="I976" s="3">
        <v>0</v>
      </c>
      <c r="J976" s="3">
        <v>0</v>
      </c>
      <c r="K976" s="3">
        <v>1000</v>
      </c>
    </row>
    <row r="977" spans="1:11" x14ac:dyDescent="0.2">
      <c r="A977" s="1" t="s">
        <v>4994</v>
      </c>
      <c r="B977" s="1" t="s">
        <v>1276</v>
      </c>
      <c r="C977" s="1"/>
      <c r="D977" s="1"/>
      <c r="E977" s="1"/>
      <c r="F977" s="1"/>
      <c r="G977" s="1"/>
      <c r="H977" s="1" t="str">
        <f>"7806130012189"</f>
        <v>7806130012189</v>
      </c>
      <c r="I977" s="3">
        <v>2</v>
      </c>
      <c r="J977" s="3">
        <v>0</v>
      </c>
      <c r="K977" s="3">
        <v>5500</v>
      </c>
    </row>
    <row r="978" spans="1:11" x14ac:dyDescent="0.2">
      <c r="A978" s="1" t="s">
        <v>4994</v>
      </c>
      <c r="B978" s="1" t="s">
        <v>1277</v>
      </c>
      <c r="C978" s="1"/>
      <c r="D978" s="1"/>
      <c r="E978" s="1"/>
      <c r="F978" s="1"/>
      <c r="G978" s="1"/>
      <c r="H978" s="1" t="str">
        <f>"7806130013506"</f>
        <v>7806130013506</v>
      </c>
      <c r="I978" s="3">
        <v>42</v>
      </c>
      <c r="J978" s="3">
        <v>0</v>
      </c>
      <c r="K978" s="3">
        <v>1500</v>
      </c>
    </row>
    <row r="979" spans="1:11" x14ac:dyDescent="0.2">
      <c r="A979" s="1" t="s">
        <v>4994</v>
      </c>
      <c r="B979" s="1" t="s">
        <v>1278</v>
      </c>
      <c r="C979" s="1"/>
      <c r="D979" s="1"/>
      <c r="E979" s="1"/>
      <c r="F979" s="1"/>
      <c r="G979" s="1"/>
      <c r="H979" s="1" t="str">
        <f>"7806130006980"</f>
        <v>7806130006980</v>
      </c>
      <c r="I979" s="3">
        <v>0</v>
      </c>
      <c r="J979" s="3">
        <v>0</v>
      </c>
      <c r="K979" s="3">
        <v>2500</v>
      </c>
    </row>
    <row r="980" spans="1:11" x14ac:dyDescent="0.2">
      <c r="A980" s="1" t="s">
        <v>4994</v>
      </c>
      <c r="B980" s="1" t="s">
        <v>1279</v>
      </c>
      <c r="C980" s="1"/>
      <c r="D980" s="1"/>
      <c r="E980" s="1"/>
      <c r="F980" s="1"/>
      <c r="G980" s="1"/>
      <c r="H980" s="1" t="str">
        <f>"7806130011748"</f>
        <v>7806130011748</v>
      </c>
      <c r="I980" s="3">
        <v>0</v>
      </c>
      <c r="J980" s="3">
        <v>0</v>
      </c>
      <c r="K980" s="3">
        <v>2500</v>
      </c>
    </row>
    <row r="981" spans="1:11" x14ac:dyDescent="0.2">
      <c r="A981" s="1" t="s">
        <v>4994</v>
      </c>
      <c r="B981" s="1" t="s">
        <v>1280</v>
      </c>
      <c r="C981" s="1"/>
      <c r="D981" s="1"/>
      <c r="E981" s="1"/>
      <c r="F981" s="1"/>
      <c r="G981" s="1"/>
      <c r="H981" s="1" t="str">
        <f>"737186551544"</f>
        <v>737186551544</v>
      </c>
      <c r="I981" s="3">
        <v>0</v>
      </c>
      <c r="J981" s="3">
        <v>0</v>
      </c>
      <c r="K981" s="3">
        <v>4500</v>
      </c>
    </row>
    <row r="982" spans="1:11" x14ac:dyDescent="0.2">
      <c r="A982" s="1" t="s">
        <v>4994</v>
      </c>
      <c r="B982" s="1" t="s">
        <v>1282</v>
      </c>
      <c r="C982" s="1"/>
      <c r="D982" s="1"/>
      <c r="E982" s="1"/>
      <c r="F982" s="1"/>
      <c r="G982" s="1"/>
      <c r="H982" s="1" t="str">
        <f>"2000341103253"</f>
        <v>2000341103253</v>
      </c>
      <c r="I982" s="3">
        <v>0</v>
      </c>
      <c r="J982" s="3">
        <v>0</v>
      </c>
      <c r="K982" s="3">
        <v>6000</v>
      </c>
    </row>
    <row r="983" spans="1:11" x14ac:dyDescent="0.2">
      <c r="A983" s="1" t="s">
        <v>4994</v>
      </c>
      <c r="B983" s="1" t="s">
        <v>1283</v>
      </c>
      <c r="C983" s="1"/>
      <c r="D983" s="1"/>
      <c r="E983" s="1"/>
      <c r="F983" s="1"/>
      <c r="G983" s="1"/>
      <c r="H983" s="1" t="str">
        <f>"2010120015332"</f>
        <v>2010120015332</v>
      </c>
      <c r="I983" s="3">
        <v>0</v>
      </c>
      <c r="J983" s="3">
        <v>0</v>
      </c>
      <c r="K983" s="3">
        <v>4000</v>
      </c>
    </row>
    <row r="984" spans="1:11" x14ac:dyDescent="0.2">
      <c r="A984" s="1" t="s">
        <v>4994</v>
      </c>
      <c r="B984" s="1" t="s">
        <v>1285</v>
      </c>
      <c r="C984" s="1"/>
      <c r="D984" s="1"/>
      <c r="E984" s="1"/>
      <c r="F984" s="1"/>
      <c r="G984" s="1"/>
      <c r="H984" s="1" t="str">
        <f>"659525184353"</f>
        <v>659525184353</v>
      </c>
      <c r="I984" s="3">
        <v>8</v>
      </c>
      <c r="J984" s="3">
        <v>0</v>
      </c>
      <c r="K984" s="3">
        <v>11000</v>
      </c>
    </row>
    <row r="985" spans="1:11" x14ac:dyDescent="0.2">
      <c r="A985" s="1" t="s">
        <v>4994</v>
      </c>
      <c r="B985" s="1" t="s">
        <v>1286</v>
      </c>
      <c r="C985" s="1"/>
      <c r="D985" s="1"/>
      <c r="E985" s="1"/>
      <c r="F985" s="1"/>
      <c r="G985" s="1"/>
      <c r="H985" s="1" t="str">
        <f>"5545648913213"</f>
        <v>5545648913213</v>
      </c>
      <c r="I985" s="3">
        <v>0</v>
      </c>
      <c r="J985" s="3">
        <v>0</v>
      </c>
      <c r="K985" s="3">
        <v>11000</v>
      </c>
    </row>
    <row r="986" spans="1:11" x14ac:dyDescent="0.2">
      <c r="A986" s="1" t="s">
        <v>4994</v>
      </c>
      <c r="B986" s="1" t="s">
        <v>1289</v>
      </c>
      <c r="C986" s="1"/>
      <c r="D986" s="1"/>
      <c r="E986" s="1"/>
      <c r="F986" s="1"/>
      <c r="G986" s="1"/>
      <c r="H986" s="1" t="str">
        <f>"7809576419390"</f>
        <v>7809576419390</v>
      </c>
      <c r="I986" s="3">
        <v>0</v>
      </c>
      <c r="J986" s="3">
        <v>0</v>
      </c>
      <c r="K986" s="3">
        <v>14000</v>
      </c>
    </row>
    <row r="987" spans="1:11" x14ac:dyDescent="0.2">
      <c r="A987" s="1" t="s">
        <v>4994</v>
      </c>
      <c r="B987" s="1" t="s">
        <v>1293</v>
      </c>
      <c r="C987" s="1"/>
      <c r="D987" s="1"/>
      <c r="E987" s="1"/>
      <c r="F987" s="1"/>
      <c r="G987" s="1"/>
      <c r="H987" s="1" t="str">
        <f>"8002990292092"</f>
        <v>8002990292092</v>
      </c>
      <c r="I987" s="3">
        <v>12</v>
      </c>
      <c r="J987" s="3">
        <v>0</v>
      </c>
      <c r="K987" s="3">
        <v>6000</v>
      </c>
    </row>
    <row r="988" spans="1:11" x14ac:dyDescent="0.2">
      <c r="A988" s="1" t="s">
        <v>4994</v>
      </c>
      <c r="B988" s="1" t="s">
        <v>1294</v>
      </c>
      <c r="C988" s="1"/>
      <c r="D988" s="1"/>
      <c r="E988" s="1"/>
      <c r="F988" s="1"/>
      <c r="G988" s="1"/>
      <c r="H988" s="1" t="str">
        <f>"7501058769541"</f>
        <v>7501058769541</v>
      </c>
      <c r="I988" s="3">
        <v>2</v>
      </c>
      <c r="J988" s="3">
        <v>0</v>
      </c>
      <c r="K988" s="3">
        <v>7500</v>
      </c>
    </row>
    <row r="989" spans="1:11" x14ac:dyDescent="0.2">
      <c r="A989" s="1" t="s">
        <v>4994</v>
      </c>
      <c r="B989" s="1" t="s">
        <v>1295</v>
      </c>
      <c r="C989" s="1"/>
      <c r="D989" s="1"/>
      <c r="E989" s="1"/>
      <c r="F989" s="1"/>
      <c r="G989" s="1"/>
      <c r="H989" s="1" t="str">
        <f>"8002990292139"</f>
        <v>8002990292139</v>
      </c>
      <c r="I989" s="3">
        <v>11</v>
      </c>
      <c r="J989" s="3">
        <v>0</v>
      </c>
      <c r="K989" s="3">
        <v>6000</v>
      </c>
    </row>
    <row r="990" spans="1:11" x14ac:dyDescent="0.2">
      <c r="A990" s="1" t="s">
        <v>4994</v>
      </c>
      <c r="B990" s="1" t="s">
        <v>1296</v>
      </c>
      <c r="C990" s="1"/>
      <c r="D990" s="1"/>
      <c r="E990" s="1"/>
      <c r="F990" s="1"/>
      <c r="G990" s="1"/>
      <c r="H990" s="1" t="str">
        <f>"7798140258285"</f>
        <v>7798140258285</v>
      </c>
      <c r="I990" s="3">
        <v>4</v>
      </c>
      <c r="J990" s="3">
        <v>0</v>
      </c>
      <c r="K990" s="3">
        <v>13000</v>
      </c>
    </row>
    <row r="991" spans="1:11" x14ac:dyDescent="0.2">
      <c r="A991" s="1" t="s">
        <v>4994</v>
      </c>
      <c r="B991" s="1" t="s">
        <v>1297</v>
      </c>
      <c r="C991" s="1"/>
      <c r="D991" s="1"/>
      <c r="E991" s="1"/>
      <c r="F991" s="1"/>
      <c r="G991" s="1"/>
      <c r="H991" s="1" t="str">
        <f>"7794640171734"</f>
        <v>7794640171734</v>
      </c>
      <c r="I991" s="3">
        <v>0</v>
      </c>
      <c r="J991" s="3">
        <v>0</v>
      </c>
      <c r="K991" s="3">
        <v>6500</v>
      </c>
    </row>
    <row r="992" spans="1:11" x14ac:dyDescent="0.2">
      <c r="A992" s="1" t="s">
        <v>4994</v>
      </c>
      <c r="B992" s="1" t="s">
        <v>1298</v>
      </c>
      <c r="C992" s="1"/>
      <c r="D992" s="1"/>
      <c r="E992" s="1"/>
      <c r="F992" s="1"/>
      <c r="G992" s="1"/>
      <c r="H992" s="1" t="str">
        <f>"7804972000227"</f>
        <v>7804972000227</v>
      </c>
      <c r="I992" s="3">
        <v>0</v>
      </c>
      <c r="J992" s="3">
        <v>0</v>
      </c>
      <c r="K992" s="3">
        <v>5800</v>
      </c>
    </row>
    <row r="993" spans="1:11" x14ac:dyDescent="0.2">
      <c r="A993" s="1" t="s">
        <v>4994</v>
      </c>
      <c r="B993" s="1" t="s">
        <v>1299</v>
      </c>
      <c r="C993" s="1"/>
      <c r="D993" s="1"/>
      <c r="E993" s="1"/>
      <c r="F993" s="1"/>
      <c r="G993" s="1"/>
      <c r="H993" s="1" t="str">
        <f>"3337875684101"</f>
        <v>3337875684101</v>
      </c>
      <c r="I993" s="3">
        <v>6</v>
      </c>
      <c r="J993" s="3">
        <v>0</v>
      </c>
      <c r="K993" s="3">
        <v>19000</v>
      </c>
    </row>
    <row r="994" spans="1:11" x14ac:dyDescent="0.2">
      <c r="A994" s="1" t="s">
        <v>4994</v>
      </c>
      <c r="B994" s="1" t="s">
        <v>1300</v>
      </c>
      <c r="C994" s="1"/>
      <c r="D994" s="1"/>
      <c r="E994" s="1"/>
      <c r="F994" s="1"/>
      <c r="G994" s="1"/>
      <c r="H994" s="1" t="str">
        <f>"650240032738"</f>
        <v>650240032738</v>
      </c>
      <c r="I994" s="3">
        <v>7</v>
      </c>
      <c r="J994" s="3">
        <v>0</v>
      </c>
      <c r="K994" s="3">
        <v>7600</v>
      </c>
    </row>
    <row r="995" spans="1:11" x14ac:dyDescent="0.2">
      <c r="A995" s="1" t="s">
        <v>4994</v>
      </c>
      <c r="B995" s="1" t="s">
        <v>1301</v>
      </c>
      <c r="C995" s="1"/>
      <c r="D995" s="1"/>
      <c r="E995" s="1"/>
      <c r="F995" s="1"/>
      <c r="G995" s="1"/>
      <c r="H995" s="1" t="str">
        <f>"650240027857"</f>
        <v>650240027857</v>
      </c>
      <c r="I995" s="3">
        <v>0</v>
      </c>
      <c r="J995" s="3">
        <v>0</v>
      </c>
      <c r="K995" s="3">
        <v>17000</v>
      </c>
    </row>
    <row r="996" spans="1:11" x14ac:dyDescent="0.2">
      <c r="A996" s="1" t="s">
        <v>4994</v>
      </c>
      <c r="B996" s="1" t="s">
        <v>1302</v>
      </c>
      <c r="C996" s="1"/>
      <c r="D996" s="1"/>
      <c r="E996" s="1"/>
      <c r="F996" s="1"/>
      <c r="G996" s="1"/>
      <c r="H996" s="1" t="str">
        <f>"7804900667539"</f>
        <v>7804900667539</v>
      </c>
      <c r="I996" s="3">
        <v>0</v>
      </c>
      <c r="J996" s="3">
        <v>0</v>
      </c>
      <c r="K996" s="3">
        <v>4200</v>
      </c>
    </row>
    <row r="997" spans="1:11" x14ac:dyDescent="0.2">
      <c r="A997" s="1" t="s">
        <v>4994</v>
      </c>
      <c r="B997" s="1" t="s">
        <v>1303</v>
      </c>
      <c r="C997" s="1"/>
      <c r="D997" s="1"/>
      <c r="E997" s="1"/>
      <c r="F997" s="1"/>
      <c r="G997" s="1"/>
      <c r="H997" s="1" t="str">
        <f>"7800044000096"</f>
        <v>7800044000096</v>
      </c>
      <c r="I997" s="3">
        <v>0</v>
      </c>
      <c r="J997" s="3">
        <v>0</v>
      </c>
      <c r="K997" s="3">
        <v>2000</v>
      </c>
    </row>
    <row r="998" spans="1:11" x14ac:dyDescent="0.2">
      <c r="A998" s="1" t="s">
        <v>4994</v>
      </c>
      <c r="B998" s="1" t="s">
        <v>1304</v>
      </c>
      <c r="C998" s="1"/>
      <c r="D998" s="1"/>
      <c r="E998" s="1"/>
      <c r="F998" s="1"/>
      <c r="G998" s="1"/>
      <c r="H998" s="1" t="str">
        <f>"7800007143709"</f>
        <v>7800007143709</v>
      </c>
      <c r="I998" s="3">
        <v>0</v>
      </c>
      <c r="J998" s="3">
        <v>0</v>
      </c>
      <c r="K998" s="3">
        <v>1000</v>
      </c>
    </row>
    <row r="999" spans="1:11" x14ac:dyDescent="0.2">
      <c r="A999" s="1" t="s">
        <v>4994</v>
      </c>
      <c r="B999" s="1" t="s">
        <v>1305</v>
      </c>
      <c r="C999" s="1"/>
      <c r="D999" s="1"/>
      <c r="E999" s="1"/>
      <c r="F999" s="1"/>
      <c r="G999" s="1"/>
      <c r="H999" s="1" t="str">
        <f>"7794640171765"</f>
        <v>7794640171765</v>
      </c>
      <c r="I999" s="3">
        <v>0</v>
      </c>
      <c r="J999" s="3">
        <v>0</v>
      </c>
      <c r="K999" s="3">
        <v>14000</v>
      </c>
    </row>
    <row r="1000" spans="1:11" x14ac:dyDescent="0.2">
      <c r="A1000" s="1" t="s">
        <v>4994</v>
      </c>
      <c r="B1000" s="1" t="s">
        <v>1306</v>
      </c>
      <c r="C1000" s="1"/>
      <c r="D1000" s="1"/>
      <c r="E1000" s="1"/>
      <c r="F1000" s="1"/>
      <c r="G1000" s="1"/>
      <c r="H1000" s="1" t="str">
        <f>"7804907980570"</f>
        <v>7804907980570</v>
      </c>
      <c r="I1000" s="3">
        <v>0</v>
      </c>
      <c r="J1000" s="3">
        <v>0</v>
      </c>
      <c r="K1000" s="3">
        <v>7000</v>
      </c>
    </row>
    <row r="1001" spans="1:11" x14ac:dyDescent="0.2">
      <c r="A1001" s="1" t="s">
        <v>4994</v>
      </c>
      <c r="B1001" s="1" t="s">
        <v>1307</v>
      </c>
      <c r="C1001" s="1"/>
      <c r="D1001" s="1"/>
      <c r="E1001" s="1"/>
      <c r="F1001" s="1"/>
      <c r="G1001" s="1"/>
      <c r="H1001" s="1" t="str">
        <f>"4005900259639"</f>
        <v>4005900259639</v>
      </c>
      <c r="I1001" s="3">
        <v>8</v>
      </c>
      <c r="J1001" s="3">
        <v>0</v>
      </c>
      <c r="K1001" s="3">
        <v>15000</v>
      </c>
    </row>
    <row r="1002" spans="1:11" x14ac:dyDescent="0.2">
      <c r="A1002" s="1" t="s">
        <v>4994</v>
      </c>
      <c r="B1002" s="1" t="s">
        <v>1308</v>
      </c>
      <c r="C1002" s="1"/>
      <c r="D1002" s="1"/>
      <c r="E1002" s="1"/>
      <c r="F1002" s="1"/>
      <c r="G1002" s="1"/>
      <c r="H1002" s="1" t="str">
        <f>"7804945015494"</f>
        <v>7804945015494</v>
      </c>
      <c r="I1002" s="3">
        <v>13</v>
      </c>
      <c r="J1002" s="3">
        <v>0</v>
      </c>
      <c r="K1002" s="3">
        <v>7500</v>
      </c>
    </row>
    <row r="1003" spans="1:11" x14ac:dyDescent="0.2">
      <c r="A1003" s="1" t="s">
        <v>4994</v>
      </c>
      <c r="B1003" s="1" t="s">
        <v>1309</v>
      </c>
      <c r="C1003" s="1"/>
      <c r="D1003" s="1"/>
      <c r="E1003" s="1"/>
      <c r="F1003" s="1"/>
      <c r="G1003" s="1"/>
      <c r="H1003" s="1" t="str">
        <f>"4005808736072"</f>
        <v>4005808736072</v>
      </c>
      <c r="I1003" s="3">
        <v>0</v>
      </c>
      <c r="J1003" s="3">
        <v>0</v>
      </c>
      <c r="K1003" s="3">
        <v>8500</v>
      </c>
    </row>
    <row r="1004" spans="1:11" x14ac:dyDescent="0.2">
      <c r="A1004" s="1" t="s">
        <v>4994</v>
      </c>
      <c r="B1004" s="1" t="s">
        <v>1310</v>
      </c>
      <c r="C1004" s="1"/>
      <c r="D1004" s="1"/>
      <c r="E1004" s="1"/>
      <c r="F1004" s="1"/>
      <c r="G1004" s="1"/>
      <c r="H1004" s="1" t="str">
        <f>"4005900685971"</f>
        <v>4005900685971</v>
      </c>
      <c r="I1004" s="3">
        <v>6</v>
      </c>
      <c r="J1004" s="3">
        <v>0</v>
      </c>
      <c r="K1004" s="3">
        <v>11500</v>
      </c>
    </row>
    <row r="1005" spans="1:11" x14ac:dyDescent="0.2">
      <c r="A1005" s="1" t="s">
        <v>4994</v>
      </c>
      <c r="B1005" s="1" t="s">
        <v>1311</v>
      </c>
      <c r="C1005" s="1"/>
      <c r="D1005" s="1"/>
      <c r="E1005" s="1"/>
      <c r="F1005" s="1"/>
      <c r="G1005" s="1"/>
      <c r="H1005" s="1" t="str">
        <f>"7809634802904"</f>
        <v>7809634802904</v>
      </c>
      <c r="I1005" s="3">
        <v>0</v>
      </c>
      <c r="J1005" s="3">
        <v>0</v>
      </c>
      <c r="K1005" s="3">
        <v>5000</v>
      </c>
    </row>
    <row r="1006" spans="1:11" x14ac:dyDescent="0.2">
      <c r="A1006" s="1" t="s">
        <v>4994</v>
      </c>
      <c r="B1006" s="1" t="s">
        <v>1312</v>
      </c>
      <c r="C1006" s="1"/>
      <c r="D1006" s="1"/>
      <c r="E1006" s="1"/>
      <c r="F1006" s="1"/>
      <c r="G1006" s="1"/>
      <c r="H1006" s="1" t="str">
        <f>"4005900491053"</f>
        <v>4005900491053</v>
      </c>
      <c r="I1006" s="3">
        <v>8</v>
      </c>
      <c r="J1006" s="3">
        <v>0</v>
      </c>
      <c r="K1006" s="3">
        <v>9000</v>
      </c>
    </row>
    <row r="1007" spans="1:11" x14ac:dyDescent="0.2">
      <c r="A1007" s="1" t="s">
        <v>4994</v>
      </c>
      <c r="B1007" s="1" t="s">
        <v>1313</v>
      </c>
      <c r="C1007" s="1"/>
      <c r="D1007" s="1"/>
      <c r="E1007" s="1"/>
      <c r="F1007" s="1"/>
      <c r="G1007" s="1"/>
      <c r="H1007" s="1" t="str">
        <f>"4005900392602"</f>
        <v>4005900392602</v>
      </c>
      <c r="I1007" s="3">
        <v>0</v>
      </c>
      <c r="J1007" s="3">
        <v>0</v>
      </c>
      <c r="K1007" s="3">
        <v>4000</v>
      </c>
    </row>
    <row r="1008" spans="1:11" x14ac:dyDescent="0.2">
      <c r="A1008" s="1" t="s">
        <v>4994</v>
      </c>
      <c r="B1008" s="1" t="s">
        <v>1314</v>
      </c>
      <c r="C1008" s="1"/>
      <c r="D1008" s="1"/>
      <c r="E1008" s="1"/>
      <c r="F1008" s="1"/>
      <c r="G1008" s="1"/>
      <c r="H1008" s="1" t="str">
        <f>"4005808588961"</f>
        <v>4005808588961</v>
      </c>
      <c r="I1008" s="3">
        <v>0</v>
      </c>
      <c r="J1008" s="3">
        <v>0</v>
      </c>
      <c r="K1008" s="3">
        <v>5000</v>
      </c>
    </row>
    <row r="1009" spans="1:11" x14ac:dyDescent="0.2">
      <c r="A1009" s="1" t="s">
        <v>4994</v>
      </c>
      <c r="B1009" s="1" t="s">
        <v>1315</v>
      </c>
      <c r="C1009" s="1"/>
      <c r="D1009" s="1"/>
      <c r="E1009" s="1"/>
      <c r="F1009" s="1"/>
      <c r="G1009" s="1"/>
      <c r="H1009" s="1" t="str">
        <f>"7804902001140"</f>
        <v>7804902001140</v>
      </c>
      <c r="I1009" s="3">
        <v>0</v>
      </c>
      <c r="J1009" s="3">
        <v>0</v>
      </c>
      <c r="K1009" s="3">
        <v>5200</v>
      </c>
    </row>
    <row r="1010" spans="1:11" x14ac:dyDescent="0.2">
      <c r="A1010" s="1" t="s">
        <v>4994</v>
      </c>
      <c r="B1010" s="1" t="s">
        <v>1316</v>
      </c>
      <c r="C1010" s="1"/>
      <c r="D1010" s="1"/>
      <c r="E1010" s="1"/>
      <c r="F1010" s="1"/>
      <c r="G1010" s="1"/>
      <c r="H1010" s="1" t="str">
        <f>"7804902030102"</f>
        <v>7804902030102</v>
      </c>
      <c r="I1010" s="3">
        <v>0</v>
      </c>
      <c r="J1010" s="3">
        <v>0</v>
      </c>
      <c r="K1010" s="3">
        <v>3500</v>
      </c>
    </row>
    <row r="1011" spans="1:11" x14ac:dyDescent="0.2">
      <c r="A1011" s="1" t="s">
        <v>4994</v>
      </c>
      <c r="B1011" s="1" t="s">
        <v>1317</v>
      </c>
      <c r="C1011" s="1"/>
      <c r="D1011" s="1"/>
      <c r="E1011" s="1"/>
      <c r="F1011" s="1"/>
      <c r="G1011" s="1"/>
      <c r="H1011" s="1" t="str">
        <f>"7804902001133"</f>
        <v>7804902001133</v>
      </c>
      <c r="I1011" s="3">
        <v>0</v>
      </c>
      <c r="J1011" s="3">
        <v>0</v>
      </c>
      <c r="K1011" s="3">
        <v>4500</v>
      </c>
    </row>
    <row r="1012" spans="1:11" x14ac:dyDescent="0.2">
      <c r="A1012" s="1" t="s">
        <v>4994</v>
      </c>
      <c r="B1012" s="1" t="s">
        <v>1318</v>
      </c>
      <c r="C1012" s="1"/>
      <c r="D1012" s="1"/>
      <c r="E1012" s="1"/>
      <c r="F1012" s="1"/>
      <c r="G1012" s="1"/>
      <c r="H1012" s="1" t="str">
        <f>"7708089795178"</f>
        <v>7708089795178</v>
      </c>
      <c r="I1012" s="3">
        <v>0</v>
      </c>
      <c r="J1012" s="3">
        <v>0</v>
      </c>
      <c r="K1012" s="3">
        <v>6500</v>
      </c>
    </row>
    <row r="1013" spans="1:11" x14ac:dyDescent="0.2">
      <c r="A1013" s="1" t="s">
        <v>4994</v>
      </c>
      <c r="B1013" s="1" t="s">
        <v>1319</v>
      </c>
      <c r="C1013" s="1"/>
      <c r="D1013" s="1"/>
      <c r="E1013" s="1"/>
      <c r="F1013" s="1"/>
      <c r="G1013" s="1"/>
      <c r="H1013" s="1" t="str">
        <f>"75613047669244"</f>
        <v>75613047669244</v>
      </c>
      <c r="I1013" s="3">
        <v>0</v>
      </c>
      <c r="J1013" s="3">
        <v>0</v>
      </c>
      <c r="K1013" s="3">
        <v>10000</v>
      </c>
    </row>
    <row r="1014" spans="1:11" x14ac:dyDescent="0.2">
      <c r="A1014" s="1" t="s">
        <v>4994</v>
      </c>
      <c r="B1014" s="1" t="s">
        <v>1320</v>
      </c>
      <c r="C1014" s="1"/>
      <c r="D1014" s="1"/>
      <c r="E1014" s="1"/>
      <c r="F1014" s="1"/>
      <c r="G1014" s="1"/>
      <c r="H1014" s="1" t="str">
        <f>"7800004000951"</f>
        <v>7800004000951</v>
      </c>
      <c r="I1014" s="3">
        <v>0</v>
      </c>
      <c r="J1014" s="3">
        <v>0</v>
      </c>
      <c r="K1014" s="3">
        <v>4500</v>
      </c>
    </row>
    <row r="1015" spans="1:11" x14ac:dyDescent="0.2">
      <c r="A1015" s="1" t="s">
        <v>4994</v>
      </c>
      <c r="B1015" s="1" t="s">
        <v>1321</v>
      </c>
      <c r="C1015" s="1"/>
      <c r="D1015" s="1"/>
      <c r="E1015" s="1"/>
      <c r="F1015" s="1"/>
      <c r="G1015" s="1"/>
      <c r="H1015" s="1" t="str">
        <f>"7804907988965"</f>
        <v>7804907988965</v>
      </c>
      <c r="I1015" s="3">
        <v>0</v>
      </c>
      <c r="J1015" s="3">
        <v>0</v>
      </c>
      <c r="K1015" s="3">
        <v>1500</v>
      </c>
    </row>
    <row r="1016" spans="1:11" x14ac:dyDescent="0.2">
      <c r="A1016" s="1" t="s">
        <v>4994</v>
      </c>
      <c r="B1016" s="1" t="s">
        <v>1322</v>
      </c>
      <c r="C1016" s="1"/>
      <c r="D1016" s="1"/>
      <c r="E1016" s="1"/>
      <c r="F1016" s="1"/>
      <c r="G1016" s="1"/>
      <c r="H1016" s="1" t="str">
        <f>"7804907981522"</f>
        <v>7804907981522</v>
      </c>
      <c r="I1016" s="3">
        <v>0</v>
      </c>
      <c r="J1016" s="3">
        <v>0</v>
      </c>
      <c r="K1016" s="3">
        <v>1500</v>
      </c>
    </row>
    <row r="1017" spans="1:11" x14ac:dyDescent="0.2">
      <c r="A1017" s="1" t="s">
        <v>4994</v>
      </c>
      <c r="B1017" s="1" t="s">
        <v>1323</v>
      </c>
      <c r="C1017" s="1"/>
      <c r="D1017" s="1"/>
      <c r="E1017" s="1"/>
      <c r="F1017" s="1"/>
      <c r="G1017" s="1"/>
      <c r="H1017" s="1" t="str">
        <f>"7804945015203"</f>
        <v>7804945015203</v>
      </c>
      <c r="I1017" s="3">
        <v>0</v>
      </c>
      <c r="J1017" s="3">
        <v>0</v>
      </c>
      <c r="K1017" s="3">
        <v>2500</v>
      </c>
    </row>
    <row r="1018" spans="1:11" x14ac:dyDescent="0.2">
      <c r="A1018" s="1" t="s">
        <v>4994</v>
      </c>
      <c r="B1018" s="1" t="s">
        <v>1324</v>
      </c>
      <c r="C1018" s="1"/>
      <c r="D1018" s="1"/>
      <c r="E1018" s="1"/>
      <c r="F1018" s="1"/>
      <c r="G1018" s="1"/>
      <c r="H1018" s="1" t="str">
        <f>"7804907988934"</f>
        <v>7804907988934</v>
      </c>
      <c r="I1018" s="3">
        <v>0</v>
      </c>
      <c r="J1018" s="3">
        <v>0</v>
      </c>
      <c r="K1018" s="3">
        <v>1500</v>
      </c>
    </row>
    <row r="1019" spans="1:11" x14ac:dyDescent="0.2">
      <c r="A1019" s="1" t="s">
        <v>4994</v>
      </c>
      <c r="B1019" s="1" t="s">
        <v>1325</v>
      </c>
      <c r="C1019" s="1"/>
      <c r="D1019" s="1"/>
      <c r="E1019" s="1"/>
      <c r="F1019" s="1"/>
      <c r="G1019" s="1"/>
      <c r="H1019" s="1" t="str">
        <f>"7805633021360"</f>
        <v>7805633021360</v>
      </c>
      <c r="I1019" s="3">
        <v>0</v>
      </c>
      <c r="J1019" s="3">
        <v>0</v>
      </c>
      <c r="K1019" s="3">
        <v>1500</v>
      </c>
    </row>
    <row r="1020" spans="1:11" x14ac:dyDescent="0.2">
      <c r="A1020" s="1" t="s">
        <v>4994</v>
      </c>
      <c r="B1020" s="1" t="s">
        <v>1326</v>
      </c>
      <c r="C1020" s="1"/>
      <c r="D1020" s="1"/>
      <c r="E1020" s="1"/>
      <c r="F1020" s="1"/>
      <c r="G1020" s="1"/>
      <c r="H1020" s="1" t="str">
        <f>"7805633021711"</f>
        <v>7805633021711</v>
      </c>
      <c r="I1020" s="3">
        <v>0</v>
      </c>
      <c r="J1020" s="3">
        <v>0</v>
      </c>
      <c r="K1020" s="3">
        <v>1000</v>
      </c>
    </row>
    <row r="1021" spans="1:11" x14ac:dyDescent="0.2">
      <c r="A1021" s="1" t="s">
        <v>4994</v>
      </c>
      <c r="B1021" s="1" t="s">
        <v>1327</v>
      </c>
      <c r="C1021" s="1"/>
      <c r="D1021" s="1"/>
      <c r="E1021" s="1"/>
      <c r="F1021" s="1"/>
      <c r="G1021" s="1"/>
      <c r="H1021" s="1" t="str">
        <f>"7804907988927"</f>
        <v>7804907988927</v>
      </c>
      <c r="I1021" s="3">
        <v>0</v>
      </c>
      <c r="J1021" s="3">
        <v>0</v>
      </c>
      <c r="K1021" s="3">
        <v>1500</v>
      </c>
    </row>
    <row r="1022" spans="1:11" x14ac:dyDescent="0.2">
      <c r="A1022" s="1" t="s">
        <v>4994</v>
      </c>
      <c r="B1022" s="1" t="s">
        <v>1328</v>
      </c>
      <c r="C1022" s="1"/>
      <c r="D1022" s="1"/>
      <c r="E1022" s="1"/>
      <c r="F1022" s="1"/>
      <c r="G1022" s="1"/>
      <c r="H1022" s="1" t="str">
        <f>"4005808547777"</f>
        <v>4005808547777</v>
      </c>
      <c r="I1022" s="3">
        <v>0</v>
      </c>
      <c r="J1022" s="3">
        <v>0</v>
      </c>
      <c r="K1022" s="3">
        <v>6000</v>
      </c>
    </row>
    <row r="1023" spans="1:11" x14ac:dyDescent="0.2">
      <c r="A1023" s="1" t="s">
        <v>4994</v>
      </c>
      <c r="B1023" s="1" t="s">
        <v>1329</v>
      </c>
      <c r="C1023" s="1"/>
      <c r="D1023" s="1"/>
      <c r="E1023" s="1"/>
      <c r="F1023" s="1"/>
      <c r="G1023" s="1"/>
      <c r="H1023" s="1" t="str">
        <f>"7702006301565"</f>
        <v>7702006301565</v>
      </c>
      <c r="I1023" s="3">
        <v>0</v>
      </c>
      <c r="J1023" s="3">
        <v>0</v>
      </c>
      <c r="K1023" s="3">
        <v>3000</v>
      </c>
    </row>
    <row r="1024" spans="1:11" x14ac:dyDescent="0.2">
      <c r="A1024" s="1" t="s">
        <v>4994</v>
      </c>
      <c r="B1024" s="1" t="s">
        <v>1330</v>
      </c>
      <c r="C1024" s="1"/>
      <c r="D1024" s="1"/>
      <c r="E1024" s="1"/>
      <c r="F1024" s="1"/>
      <c r="G1024" s="1"/>
      <c r="H1024" s="1" t="str">
        <f>"7804945001435"</f>
        <v>7804945001435</v>
      </c>
      <c r="I1024" s="3">
        <v>8</v>
      </c>
      <c r="J1024" s="3">
        <v>0</v>
      </c>
      <c r="K1024" s="3">
        <v>5000</v>
      </c>
    </row>
    <row r="1025" spans="1:11" x14ac:dyDescent="0.2">
      <c r="A1025" s="1" t="s">
        <v>4994</v>
      </c>
      <c r="B1025" s="1" t="s">
        <v>1331</v>
      </c>
      <c r="C1025" s="1"/>
      <c r="D1025" s="1"/>
      <c r="E1025" s="1"/>
      <c r="F1025" s="1"/>
      <c r="G1025" s="1"/>
      <c r="H1025" s="1" t="str">
        <f>"7804945001404"</f>
        <v>7804945001404</v>
      </c>
      <c r="I1025" s="3">
        <v>0</v>
      </c>
      <c r="J1025" s="3">
        <v>0</v>
      </c>
      <c r="K1025" s="3">
        <v>3000</v>
      </c>
    </row>
    <row r="1026" spans="1:11" x14ac:dyDescent="0.2">
      <c r="A1026" s="1" t="s">
        <v>4994</v>
      </c>
      <c r="B1026" s="1" t="s">
        <v>1332</v>
      </c>
      <c r="C1026" s="1"/>
      <c r="D1026" s="1"/>
      <c r="E1026" s="1"/>
      <c r="F1026" s="1"/>
      <c r="G1026" s="1"/>
      <c r="H1026" s="1" t="str">
        <f>"7804945001428"</f>
        <v>7804945001428</v>
      </c>
      <c r="I1026" s="3">
        <v>4</v>
      </c>
      <c r="J1026" s="3">
        <v>0</v>
      </c>
      <c r="K1026" s="3">
        <v>3500</v>
      </c>
    </row>
    <row r="1027" spans="1:11" x14ac:dyDescent="0.2">
      <c r="A1027" s="1" t="s">
        <v>4994</v>
      </c>
      <c r="B1027" s="1" t="s">
        <v>1333</v>
      </c>
      <c r="C1027" s="1"/>
      <c r="D1027" s="1"/>
      <c r="E1027" s="1"/>
      <c r="F1027" s="1"/>
      <c r="G1027" s="1"/>
      <c r="H1027" s="1" t="str">
        <f>"650240032684"</f>
        <v>650240032684</v>
      </c>
      <c r="I1027" s="3">
        <v>6</v>
      </c>
      <c r="J1027" s="3">
        <v>0</v>
      </c>
      <c r="K1027" s="3">
        <v>5700</v>
      </c>
    </row>
    <row r="1028" spans="1:11" x14ac:dyDescent="0.2">
      <c r="A1028" s="1" t="s">
        <v>4994</v>
      </c>
      <c r="B1028" s="1" t="s">
        <v>1334</v>
      </c>
      <c r="C1028" s="1"/>
      <c r="D1028" s="1"/>
      <c r="E1028" s="1"/>
      <c r="F1028" s="1"/>
      <c r="G1028" s="1"/>
      <c r="H1028" s="1" t="str">
        <f>"4005900963727"</f>
        <v>4005900963727</v>
      </c>
      <c r="I1028" s="3">
        <v>0</v>
      </c>
      <c r="J1028" s="3">
        <v>0</v>
      </c>
      <c r="K1028" s="3">
        <v>6000</v>
      </c>
    </row>
    <row r="1029" spans="1:11" x14ac:dyDescent="0.2">
      <c r="A1029" s="1" t="s">
        <v>4994</v>
      </c>
      <c r="B1029" s="1" t="s">
        <v>1335</v>
      </c>
      <c r="C1029" s="1"/>
      <c r="D1029" s="1"/>
      <c r="E1029" s="1"/>
      <c r="F1029" s="1"/>
      <c r="G1029" s="1"/>
      <c r="H1029" s="1" t="str">
        <f>"4005808553006"</f>
        <v>4005808553006</v>
      </c>
      <c r="I1029" s="3">
        <v>0</v>
      </c>
      <c r="J1029" s="3">
        <v>0</v>
      </c>
      <c r="K1029" s="3">
        <v>6000</v>
      </c>
    </row>
    <row r="1030" spans="1:11" x14ac:dyDescent="0.2">
      <c r="A1030" s="1" t="s">
        <v>4994</v>
      </c>
      <c r="B1030" s="1" t="s">
        <v>1336</v>
      </c>
      <c r="C1030" s="1"/>
      <c r="D1030" s="1"/>
      <c r="E1030" s="1"/>
      <c r="F1030" s="1"/>
      <c r="G1030" s="1"/>
      <c r="H1030" s="1" t="str">
        <f>"4005808547760"</f>
        <v>4005808547760</v>
      </c>
      <c r="I1030" s="3">
        <v>0</v>
      </c>
      <c r="J1030" s="3">
        <v>0</v>
      </c>
      <c r="K1030" s="3">
        <v>6000</v>
      </c>
    </row>
    <row r="1031" spans="1:11" x14ac:dyDescent="0.2">
      <c r="A1031" s="1" t="s">
        <v>4994</v>
      </c>
      <c r="B1031" s="1" t="s">
        <v>1337</v>
      </c>
      <c r="C1031" s="1"/>
      <c r="D1031" s="1"/>
      <c r="E1031" s="1"/>
      <c r="F1031" s="1"/>
      <c r="G1031" s="1"/>
      <c r="H1031" s="1" t="str">
        <f>"5031413938319"</f>
        <v>5031413938319</v>
      </c>
      <c r="I1031" s="3">
        <v>0</v>
      </c>
      <c r="J1031" s="3">
        <v>0</v>
      </c>
      <c r="K1031" s="3">
        <v>6500</v>
      </c>
    </row>
    <row r="1032" spans="1:11" x14ac:dyDescent="0.2">
      <c r="A1032" s="1" t="s">
        <v>4994</v>
      </c>
      <c r="B1032" s="1" t="s">
        <v>1338</v>
      </c>
      <c r="C1032" s="1"/>
      <c r="D1032" s="1"/>
      <c r="E1032" s="1"/>
      <c r="F1032" s="1"/>
      <c r="G1032" s="1"/>
      <c r="H1032" s="1" t="str">
        <f>"4005800137686"</f>
        <v>4005800137686</v>
      </c>
      <c r="I1032" s="3">
        <v>0</v>
      </c>
      <c r="J1032" s="3">
        <v>0</v>
      </c>
      <c r="K1032" s="3">
        <v>6500</v>
      </c>
    </row>
    <row r="1033" spans="1:11" x14ac:dyDescent="0.2">
      <c r="A1033" s="1" t="s">
        <v>4994</v>
      </c>
      <c r="B1033" s="1" t="s">
        <v>1339</v>
      </c>
      <c r="C1033" s="1"/>
      <c r="D1033" s="1"/>
      <c r="E1033" s="1"/>
      <c r="F1033" s="1"/>
      <c r="G1033" s="1"/>
      <c r="H1033" s="1" t="str">
        <f>"7509552912012"</f>
        <v>7509552912012</v>
      </c>
      <c r="I1033" s="3">
        <v>0</v>
      </c>
      <c r="J1033" s="3">
        <v>0</v>
      </c>
      <c r="K1033" s="3">
        <v>7500</v>
      </c>
    </row>
    <row r="1034" spans="1:11" x14ac:dyDescent="0.2">
      <c r="A1034" s="1" t="s">
        <v>4994</v>
      </c>
      <c r="B1034" s="1" t="s">
        <v>1340</v>
      </c>
      <c r="C1034" s="1"/>
      <c r="D1034" s="1"/>
      <c r="E1034" s="1"/>
      <c r="F1034" s="1"/>
      <c r="G1034" s="1"/>
      <c r="H1034" s="1" t="str">
        <f>"7506078984172"</f>
        <v>7506078984172</v>
      </c>
      <c r="I1034" s="3">
        <v>0</v>
      </c>
      <c r="J1034" s="3">
        <v>0</v>
      </c>
      <c r="K1034" s="3">
        <v>6000</v>
      </c>
    </row>
    <row r="1035" spans="1:11" x14ac:dyDescent="0.2">
      <c r="A1035" s="1" t="s">
        <v>4994</v>
      </c>
      <c r="B1035" s="1" t="s">
        <v>1341</v>
      </c>
      <c r="C1035" s="1"/>
      <c r="D1035" s="1"/>
      <c r="E1035" s="1"/>
      <c r="F1035" s="1"/>
      <c r="G1035" s="1"/>
      <c r="H1035" s="1" t="str">
        <f>"7509552907964"</f>
        <v>7509552907964</v>
      </c>
      <c r="I1035" s="3">
        <v>0</v>
      </c>
      <c r="J1035" s="3">
        <v>0</v>
      </c>
      <c r="K1035" s="3">
        <v>6500</v>
      </c>
    </row>
    <row r="1036" spans="1:11" x14ac:dyDescent="0.2">
      <c r="A1036" s="1" t="s">
        <v>4994</v>
      </c>
      <c r="B1036" s="1" t="s">
        <v>1342</v>
      </c>
      <c r="C1036" s="1"/>
      <c r="D1036" s="1"/>
      <c r="E1036" s="1"/>
      <c r="F1036" s="1"/>
      <c r="G1036" s="1"/>
      <c r="H1036" s="1" t="str">
        <f>"7804969155756"</f>
        <v>7804969155756</v>
      </c>
      <c r="I1036" s="3">
        <v>0</v>
      </c>
      <c r="J1036" s="3">
        <v>0</v>
      </c>
      <c r="K1036" s="3">
        <v>5500</v>
      </c>
    </row>
    <row r="1037" spans="1:11" x14ac:dyDescent="0.2">
      <c r="A1037" s="1" t="s">
        <v>4994</v>
      </c>
      <c r="B1037" s="1" t="s">
        <v>1343</v>
      </c>
      <c r="C1037" s="1"/>
      <c r="D1037" s="1"/>
      <c r="E1037" s="1"/>
      <c r="F1037" s="1"/>
      <c r="G1037" s="1"/>
      <c r="H1037" s="1" t="str">
        <f>"5031413938357"</f>
        <v>5031413938357</v>
      </c>
      <c r="I1037" s="3">
        <v>7</v>
      </c>
      <c r="J1037" s="3">
        <v>0</v>
      </c>
      <c r="K1037" s="3">
        <v>9000</v>
      </c>
    </row>
    <row r="1038" spans="1:11" x14ac:dyDescent="0.2">
      <c r="A1038" s="1" t="s">
        <v>4994</v>
      </c>
      <c r="B1038" s="1" t="s">
        <v>1344</v>
      </c>
      <c r="C1038" s="1"/>
      <c r="D1038" s="1"/>
      <c r="E1038" s="1"/>
      <c r="F1038" s="1"/>
      <c r="G1038" s="1"/>
      <c r="H1038" s="1" t="str">
        <f>"7798140253259"</f>
        <v>7798140253259</v>
      </c>
      <c r="I1038" s="3">
        <v>0</v>
      </c>
      <c r="J1038" s="3">
        <v>0</v>
      </c>
      <c r="K1038" s="3">
        <v>6000</v>
      </c>
    </row>
    <row r="1039" spans="1:11" x14ac:dyDescent="0.2">
      <c r="A1039" s="1" t="s">
        <v>4994</v>
      </c>
      <c r="B1039" s="1" t="s">
        <v>1345</v>
      </c>
      <c r="C1039" s="1"/>
      <c r="D1039" s="1"/>
      <c r="E1039" s="1"/>
      <c r="F1039" s="1"/>
      <c r="G1039" s="1"/>
      <c r="H1039" s="1" t="str">
        <f>"7804902045946"</f>
        <v>7804902045946</v>
      </c>
      <c r="I1039" s="3">
        <v>0</v>
      </c>
      <c r="J1039" s="3">
        <v>0</v>
      </c>
      <c r="K1039" s="3">
        <v>5000</v>
      </c>
    </row>
    <row r="1040" spans="1:11" x14ac:dyDescent="0.2">
      <c r="A1040" s="1" t="s">
        <v>4994</v>
      </c>
      <c r="B1040" s="1" t="s">
        <v>1346</v>
      </c>
      <c r="C1040" s="1"/>
      <c r="D1040" s="1"/>
      <c r="E1040" s="1"/>
      <c r="F1040" s="1"/>
      <c r="G1040" s="1"/>
      <c r="H1040" s="1" t="str">
        <f>"7808718200742"</f>
        <v>7808718200742</v>
      </c>
      <c r="I1040" s="3">
        <v>0</v>
      </c>
      <c r="J1040" s="3">
        <v>0</v>
      </c>
      <c r="K1040" s="3">
        <v>7140</v>
      </c>
    </row>
    <row r="1041" spans="1:11" x14ac:dyDescent="0.2">
      <c r="A1041" s="1" t="s">
        <v>4994</v>
      </c>
      <c r="B1041" s="1" t="s">
        <v>1347</v>
      </c>
      <c r="C1041" s="1"/>
      <c r="D1041" s="1"/>
      <c r="E1041" s="1"/>
      <c r="F1041" s="1"/>
      <c r="G1041" s="1"/>
      <c r="H1041" s="1" t="str">
        <f>"7790010003056"</f>
        <v>7790010003056</v>
      </c>
      <c r="I1041" s="3">
        <v>0</v>
      </c>
      <c r="J1041" s="3">
        <v>0</v>
      </c>
      <c r="K1041" s="3">
        <v>7000</v>
      </c>
    </row>
    <row r="1042" spans="1:11" x14ac:dyDescent="0.2">
      <c r="A1042" s="1" t="s">
        <v>4994</v>
      </c>
      <c r="B1042" s="1" t="s">
        <v>1348</v>
      </c>
      <c r="C1042" s="1"/>
      <c r="D1042" s="1"/>
      <c r="E1042" s="1"/>
      <c r="F1042" s="1"/>
      <c r="G1042" s="1"/>
      <c r="H1042" s="1" t="str">
        <f>"7702031244493"</f>
        <v>7702031244493</v>
      </c>
      <c r="I1042" s="3">
        <v>0</v>
      </c>
      <c r="J1042" s="3">
        <v>0</v>
      </c>
      <c r="K1042" s="3">
        <v>4000</v>
      </c>
    </row>
    <row r="1043" spans="1:11" x14ac:dyDescent="0.2">
      <c r="A1043" s="1" t="s">
        <v>4994</v>
      </c>
      <c r="B1043" s="1" t="s">
        <v>1349</v>
      </c>
      <c r="C1043" s="1"/>
      <c r="D1043" s="1"/>
      <c r="E1043" s="1"/>
      <c r="F1043" s="1"/>
      <c r="G1043" s="1"/>
      <c r="H1043" s="1" t="str">
        <f>"650240027581"</f>
        <v>650240027581</v>
      </c>
      <c r="I1043" s="3">
        <v>0</v>
      </c>
      <c r="J1043" s="3">
        <v>0</v>
      </c>
      <c r="K1043" s="3">
        <v>6000</v>
      </c>
    </row>
    <row r="1044" spans="1:11" x14ac:dyDescent="0.2">
      <c r="A1044" s="1" t="s">
        <v>4994</v>
      </c>
      <c r="B1044" s="1" t="s">
        <v>1350</v>
      </c>
      <c r="C1044" s="1"/>
      <c r="D1044" s="1"/>
      <c r="E1044" s="1"/>
      <c r="F1044" s="1"/>
      <c r="G1044" s="1"/>
      <c r="H1044" s="1" t="str">
        <f>"4005800021930"</f>
        <v>4005800021930</v>
      </c>
      <c r="I1044" s="3">
        <v>0</v>
      </c>
      <c r="J1044" s="3">
        <v>0</v>
      </c>
      <c r="K1044" s="3">
        <v>30000</v>
      </c>
    </row>
    <row r="1045" spans="1:11" x14ac:dyDescent="0.2">
      <c r="A1045" s="1" t="s">
        <v>4994</v>
      </c>
      <c r="B1045" s="1" t="s">
        <v>1351</v>
      </c>
      <c r="C1045" s="1"/>
      <c r="D1045" s="1"/>
      <c r="E1045" s="1"/>
      <c r="F1045" s="1"/>
      <c r="G1045" s="1"/>
      <c r="H1045" s="1" t="str">
        <f>"8429420184527"</f>
        <v>8429420184527</v>
      </c>
      <c r="I1045" s="3">
        <v>0</v>
      </c>
      <c r="J1045" s="3">
        <v>0</v>
      </c>
      <c r="K1045" s="3">
        <v>21000</v>
      </c>
    </row>
    <row r="1046" spans="1:11" x14ac:dyDescent="0.2">
      <c r="A1046" s="1" t="s">
        <v>4994</v>
      </c>
      <c r="B1046" s="1" t="s">
        <v>1352</v>
      </c>
      <c r="C1046" s="1"/>
      <c r="D1046" s="1"/>
      <c r="E1046" s="1"/>
      <c r="F1046" s="1"/>
      <c r="G1046" s="1"/>
      <c r="H1046" s="1" t="str">
        <f>"7800004029020"</f>
        <v>7800004029020</v>
      </c>
      <c r="I1046" s="3">
        <v>5</v>
      </c>
      <c r="J1046" s="3">
        <v>0</v>
      </c>
      <c r="K1046" s="3">
        <v>3000</v>
      </c>
    </row>
    <row r="1047" spans="1:11" x14ac:dyDescent="0.2">
      <c r="A1047" s="1" t="s">
        <v>4994</v>
      </c>
      <c r="B1047" s="1" t="s">
        <v>1353</v>
      </c>
      <c r="C1047" s="1"/>
      <c r="D1047" s="1"/>
      <c r="E1047" s="1"/>
      <c r="F1047" s="1"/>
      <c r="G1047" s="1"/>
      <c r="H1047" s="1" t="str">
        <f>"7800004029037"</f>
        <v>7800004029037</v>
      </c>
      <c r="I1047" s="3">
        <v>0</v>
      </c>
      <c r="J1047" s="3">
        <v>0</v>
      </c>
      <c r="K1047" s="3">
        <v>2500</v>
      </c>
    </row>
    <row r="1048" spans="1:11" x14ac:dyDescent="0.2">
      <c r="A1048" s="1" t="s">
        <v>4994</v>
      </c>
      <c r="B1048" s="1" t="s">
        <v>1354</v>
      </c>
      <c r="C1048" s="1"/>
      <c r="D1048" s="1"/>
      <c r="E1048" s="1"/>
      <c r="F1048" s="1"/>
      <c r="G1048" s="1"/>
      <c r="H1048" s="1" t="str">
        <f>"7804623850348"</f>
        <v>7804623850348</v>
      </c>
      <c r="I1048" s="3">
        <v>0</v>
      </c>
      <c r="J1048" s="3">
        <v>0</v>
      </c>
      <c r="K1048" s="3">
        <v>5500</v>
      </c>
    </row>
    <row r="1049" spans="1:11" x14ac:dyDescent="0.2">
      <c r="A1049" s="1" t="s">
        <v>4994</v>
      </c>
      <c r="B1049" s="1" t="s">
        <v>1355</v>
      </c>
      <c r="C1049" s="1"/>
      <c r="D1049" s="1"/>
      <c r="E1049" s="1"/>
      <c r="F1049" s="1"/>
      <c r="G1049" s="1"/>
      <c r="H1049" s="1" t="str">
        <f>"7702031244547"</f>
        <v>7702031244547</v>
      </c>
      <c r="I1049" s="3">
        <v>0</v>
      </c>
      <c r="J1049" s="3">
        <v>0</v>
      </c>
      <c r="K1049" s="3">
        <v>4500</v>
      </c>
    </row>
    <row r="1050" spans="1:11" x14ac:dyDescent="0.2">
      <c r="A1050" s="1" t="s">
        <v>4994</v>
      </c>
      <c r="B1050" s="1" t="s">
        <v>1356</v>
      </c>
      <c r="C1050" s="1"/>
      <c r="D1050" s="1"/>
      <c r="E1050" s="1"/>
      <c r="F1050" s="1"/>
      <c r="G1050" s="1"/>
      <c r="H1050" s="1" t="str">
        <f>"7702031927310"</f>
        <v>7702031927310</v>
      </c>
      <c r="I1050" s="3">
        <v>0</v>
      </c>
      <c r="J1050" s="3">
        <v>0</v>
      </c>
      <c r="K1050" s="3">
        <v>8500</v>
      </c>
    </row>
    <row r="1051" spans="1:11" x14ac:dyDescent="0.2">
      <c r="A1051" s="1" t="s">
        <v>4994</v>
      </c>
      <c r="B1051" s="1" t="s">
        <v>1357</v>
      </c>
      <c r="C1051" s="1"/>
      <c r="D1051" s="1"/>
      <c r="E1051" s="1"/>
      <c r="F1051" s="1"/>
      <c r="G1051" s="1"/>
      <c r="H1051" s="1" t="str">
        <f>"7804969214521"</f>
        <v>7804969214521</v>
      </c>
      <c r="I1051" s="3">
        <v>0</v>
      </c>
      <c r="J1051" s="3">
        <v>0</v>
      </c>
      <c r="K1051" s="3">
        <v>7500</v>
      </c>
    </row>
    <row r="1052" spans="1:11" x14ac:dyDescent="0.2">
      <c r="A1052" s="1" t="s">
        <v>4994</v>
      </c>
      <c r="B1052" s="1" t="s">
        <v>1358</v>
      </c>
      <c r="C1052" s="1"/>
      <c r="D1052" s="1"/>
      <c r="E1052" s="1"/>
      <c r="F1052" s="1"/>
      <c r="G1052" s="1"/>
      <c r="H1052" s="1" t="str">
        <f>"FVCPS"</f>
        <v>FVCPS</v>
      </c>
      <c r="I1052" s="3">
        <v>0</v>
      </c>
      <c r="J1052" s="3">
        <v>0</v>
      </c>
      <c r="K1052" s="3">
        <v>4500</v>
      </c>
    </row>
    <row r="1053" spans="1:11" x14ac:dyDescent="0.2">
      <c r="A1053" s="1" t="s">
        <v>4994</v>
      </c>
      <c r="B1053" s="1" t="s">
        <v>1359</v>
      </c>
      <c r="C1053" s="1"/>
      <c r="D1053" s="1"/>
      <c r="E1053" s="1"/>
      <c r="F1053" s="1"/>
      <c r="G1053" s="1"/>
      <c r="H1053" s="1" t="str">
        <f>"4005800137679"</f>
        <v>4005800137679</v>
      </c>
      <c r="I1053" s="3">
        <v>10</v>
      </c>
      <c r="J1053" s="3">
        <v>0</v>
      </c>
      <c r="K1053" s="3">
        <v>2800</v>
      </c>
    </row>
    <row r="1054" spans="1:11" x14ac:dyDescent="0.2">
      <c r="A1054" s="1" t="s">
        <v>4994</v>
      </c>
      <c r="B1054" s="1" t="s">
        <v>1360</v>
      </c>
      <c r="C1054" s="1"/>
      <c r="D1054" s="1"/>
      <c r="E1054" s="1"/>
      <c r="F1054" s="1"/>
      <c r="G1054" s="1"/>
      <c r="H1054" s="1" t="str">
        <f>"7800028002580"</f>
        <v>7800028002580</v>
      </c>
      <c r="I1054" s="3">
        <v>1</v>
      </c>
      <c r="J1054" s="3">
        <v>0</v>
      </c>
      <c r="K1054" s="3">
        <v>13000</v>
      </c>
    </row>
    <row r="1055" spans="1:11" x14ac:dyDescent="0.2">
      <c r="A1055" s="1" t="s">
        <v>4994</v>
      </c>
      <c r="B1055" s="1" t="s">
        <v>1361</v>
      </c>
      <c r="C1055" s="1"/>
      <c r="D1055" s="1"/>
      <c r="E1055" s="1"/>
      <c r="F1055" s="1"/>
      <c r="G1055" s="1"/>
      <c r="H1055" s="1" t="str">
        <f>"7709261888527"</f>
        <v>7709261888527</v>
      </c>
      <c r="I1055" s="3">
        <v>0</v>
      </c>
      <c r="J1055" s="3">
        <v>0</v>
      </c>
      <c r="K1055" s="3">
        <v>3500</v>
      </c>
    </row>
    <row r="1056" spans="1:11" x14ac:dyDescent="0.2">
      <c r="A1056" s="1" t="s">
        <v>4994</v>
      </c>
      <c r="B1056" s="1" t="s">
        <v>1362</v>
      </c>
      <c r="C1056" s="1"/>
      <c r="D1056" s="1"/>
      <c r="E1056" s="1"/>
      <c r="F1056" s="1"/>
      <c r="G1056" s="1"/>
      <c r="H1056" s="1" t="str">
        <f>"7509552843729"</f>
        <v>7509552843729</v>
      </c>
      <c r="I1056" s="3">
        <v>0</v>
      </c>
      <c r="J1056" s="3">
        <v>0</v>
      </c>
      <c r="K1056" s="3">
        <v>4620</v>
      </c>
    </row>
    <row r="1057" spans="1:11" x14ac:dyDescent="0.2">
      <c r="A1057" s="1" t="s">
        <v>4994</v>
      </c>
      <c r="B1057" s="1" t="s">
        <v>1363</v>
      </c>
      <c r="C1057" s="1"/>
      <c r="D1057" s="1"/>
      <c r="E1057" s="1"/>
      <c r="F1057" s="1"/>
      <c r="G1057" s="1"/>
      <c r="H1057" s="1" t="str">
        <f>"4005800164330"</f>
        <v>4005800164330</v>
      </c>
      <c r="I1057" s="3">
        <v>0</v>
      </c>
      <c r="J1057" s="3">
        <v>0</v>
      </c>
      <c r="K1057" s="3">
        <v>17000</v>
      </c>
    </row>
    <row r="1058" spans="1:11" x14ac:dyDescent="0.2">
      <c r="A1058" s="1" t="s">
        <v>4994</v>
      </c>
      <c r="B1058" s="1" t="s">
        <v>1364</v>
      </c>
      <c r="C1058" s="1"/>
      <c r="D1058" s="1"/>
      <c r="E1058" s="1"/>
      <c r="F1058" s="1"/>
      <c r="G1058" s="1"/>
      <c r="H1058" s="1" t="str">
        <f>"7805633021353"</f>
        <v>7805633021353</v>
      </c>
      <c r="I1058" s="3">
        <v>0</v>
      </c>
      <c r="J1058" s="3">
        <v>0</v>
      </c>
      <c r="K1058" s="3">
        <v>1500</v>
      </c>
    </row>
    <row r="1059" spans="1:11" x14ac:dyDescent="0.2">
      <c r="A1059" s="1" t="s">
        <v>4994</v>
      </c>
      <c r="B1059" s="1" t="s">
        <v>1365</v>
      </c>
      <c r="C1059" s="1"/>
      <c r="D1059" s="1"/>
      <c r="E1059" s="1"/>
      <c r="F1059" s="1"/>
      <c r="G1059" s="1"/>
      <c r="H1059" s="1" t="str">
        <f>"4005800631542"</f>
        <v>4005800631542</v>
      </c>
      <c r="I1059" s="3">
        <v>0</v>
      </c>
      <c r="J1059" s="3">
        <v>0</v>
      </c>
      <c r="K1059" s="3">
        <v>13000</v>
      </c>
    </row>
    <row r="1060" spans="1:11" x14ac:dyDescent="0.2">
      <c r="A1060" s="1" t="s">
        <v>4994</v>
      </c>
      <c r="B1060" s="1" t="s">
        <v>1366</v>
      </c>
      <c r="C1060" s="1"/>
      <c r="D1060" s="1"/>
      <c r="E1060" s="1"/>
      <c r="F1060" s="1"/>
      <c r="G1060" s="1"/>
      <c r="H1060" s="1" t="str">
        <f>"7800004002528"</f>
        <v>7800004002528</v>
      </c>
      <c r="I1060" s="3">
        <v>0</v>
      </c>
      <c r="J1060" s="3">
        <v>0</v>
      </c>
      <c r="K1060" s="3">
        <v>1500</v>
      </c>
    </row>
    <row r="1061" spans="1:11" x14ac:dyDescent="0.2">
      <c r="A1061" s="1" t="s">
        <v>4994</v>
      </c>
      <c r="B1061" s="1" t="s">
        <v>1367</v>
      </c>
      <c r="C1061" s="1"/>
      <c r="D1061" s="1"/>
      <c r="E1061" s="1"/>
      <c r="F1061" s="1"/>
      <c r="G1061" s="1"/>
      <c r="H1061" s="1" t="str">
        <f>"7800004004294"</f>
        <v>7800004004294</v>
      </c>
      <c r="I1061" s="3">
        <v>0</v>
      </c>
      <c r="J1061" s="3">
        <v>0</v>
      </c>
      <c r="K1061" s="3">
        <v>1500</v>
      </c>
    </row>
    <row r="1062" spans="1:11" x14ac:dyDescent="0.2">
      <c r="A1062" s="1" t="s">
        <v>4994</v>
      </c>
      <c r="B1062" s="1" t="s">
        <v>1368</v>
      </c>
      <c r="C1062" s="1"/>
      <c r="D1062" s="1"/>
      <c r="E1062" s="1"/>
      <c r="F1062" s="1"/>
      <c r="G1062" s="1"/>
      <c r="H1062" s="1" t="str">
        <f>"7804907981539"</f>
        <v>7804907981539</v>
      </c>
      <c r="I1062" s="3">
        <v>0</v>
      </c>
      <c r="J1062" s="3">
        <v>0</v>
      </c>
      <c r="K1062" s="3">
        <v>2000</v>
      </c>
    </row>
    <row r="1063" spans="1:11" x14ac:dyDescent="0.2">
      <c r="A1063" s="1" t="s">
        <v>4994</v>
      </c>
      <c r="B1063" s="1" t="s">
        <v>1369</v>
      </c>
      <c r="C1063" s="1"/>
      <c r="D1063" s="1"/>
      <c r="E1063" s="1"/>
      <c r="F1063" s="1"/>
      <c r="G1063" s="1"/>
      <c r="H1063" s="1" t="str">
        <f>"7804907988958"</f>
        <v>7804907988958</v>
      </c>
      <c r="I1063" s="3">
        <v>0</v>
      </c>
      <c r="J1063" s="3">
        <v>0</v>
      </c>
      <c r="K1063" s="3">
        <v>2000</v>
      </c>
    </row>
    <row r="1064" spans="1:11" x14ac:dyDescent="0.2">
      <c r="A1064" s="1" t="s">
        <v>4994</v>
      </c>
      <c r="B1064" s="1" t="s">
        <v>1370</v>
      </c>
      <c r="C1064" s="1"/>
      <c r="D1064" s="1"/>
      <c r="E1064" s="1"/>
      <c r="F1064" s="1"/>
      <c r="G1064" s="1"/>
      <c r="H1064" s="1" t="str">
        <f>"7804907988972"</f>
        <v>7804907988972</v>
      </c>
      <c r="I1064" s="3">
        <v>0</v>
      </c>
      <c r="J1064" s="3">
        <v>0</v>
      </c>
      <c r="K1064" s="3">
        <v>2500</v>
      </c>
    </row>
    <row r="1065" spans="1:11" x14ac:dyDescent="0.2">
      <c r="A1065" s="1" t="s">
        <v>4994</v>
      </c>
      <c r="B1065" s="1" t="s">
        <v>1371</v>
      </c>
      <c r="C1065" s="1"/>
      <c r="D1065" s="1"/>
      <c r="E1065" s="1"/>
      <c r="F1065" s="1"/>
      <c r="G1065" s="1"/>
      <c r="H1065" s="1" t="str">
        <f>"3282779416139"</f>
        <v>3282779416139</v>
      </c>
      <c r="I1065" s="3">
        <v>0</v>
      </c>
      <c r="J1065" s="3">
        <v>0</v>
      </c>
      <c r="K1065" s="3">
        <v>10000</v>
      </c>
    </row>
    <row r="1066" spans="1:11" x14ac:dyDescent="0.2">
      <c r="A1066" s="1" t="s">
        <v>4994</v>
      </c>
      <c r="B1066" s="1" t="s">
        <v>1372</v>
      </c>
      <c r="C1066" s="1"/>
      <c r="D1066" s="1"/>
      <c r="E1066" s="1"/>
      <c r="F1066" s="1"/>
      <c r="G1066" s="1"/>
      <c r="H1066" s="1" t="str">
        <f>"7804969151086"</f>
        <v>7804969151086</v>
      </c>
      <c r="I1066" s="3">
        <v>0</v>
      </c>
      <c r="J1066" s="3">
        <v>0</v>
      </c>
      <c r="K1066" s="3">
        <v>3000</v>
      </c>
    </row>
    <row r="1067" spans="1:11" x14ac:dyDescent="0.2">
      <c r="A1067" s="1" t="s">
        <v>4994</v>
      </c>
      <c r="B1067" s="1" t="s">
        <v>1373</v>
      </c>
      <c r="C1067" s="1"/>
      <c r="D1067" s="1"/>
      <c r="E1067" s="1"/>
      <c r="F1067" s="1"/>
      <c r="G1067" s="1"/>
      <c r="H1067" s="1" t="str">
        <f>"7509552970524"</f>
        <v>7509552970524</v>
      </c>
      <c r="I1067" s="3">
        <v>0</v>
      </c>
      <c r="J1067" s="3">
        <v>0</v>
      </c>
      <c r="K1067" s="3">
        <v>5500</v>
      </c>
    </row>
    <row r="1068" spans="1:11" x14ac:dyDescent="0.2">
      <c r="A1068" s="1" t="s">
        <v>4994</v>
      </c>
      <c r="B1068" s="1" t="s">
        <v>1374</v>
      </c>
      <c r="C1068" s="1"/>
      <c r="D1068" s="1"/>
      <c r="E1068" s="1"/>
      <c r="F1068" s="1"/>
      <c r="G1068" s="1"/>
      <c r="H1068" s="1" t="str">
        <f>"7500435241076"</f>
        <v>7500435241076</v>
      </c>
      <c r="I1068" s="3">
        <v>0</v>
      </c>
      <c r="J1068" s="3">
        <v>0</v>
      </c>
      <c r="K1068" s="3">
        <v>5000</v>
      </c>
    </row>
    <row r="1069" spans="1:11" x14ac:dyDescent="0.2">
      <c r="A1069" s="1" t="s">
        <v>4994</v>
      </c>
      <c r="B1069" s="1" t="s">
        <v>1375</v>
      </c>
      <c r="C1069" s="1"/>
      <c r="D1069" s="1"/>
      <c r="E1069" s="1"/>
      <c r="F1069" s="1"/>
      <c r="G1069" s="1"/>
      <c r="H1069" s="1" t="str">
        <f>"7891150040175"</f>
        <v>7891150040175</v>
      </c>
      <c r="I1069" s="3">
        <v>0</v>
      </c>
      <c r="J1069" s="3">
        <v>0</v>
      </c>
      <c r="K1069" s="3">
        <v>2800</v>
      </c>
    </row>
    <row r="1070" spans="1:11" x14ac:dyDescent="0.2">
      <c r="A1070" s="1" t="s">
        <v>4994</v>
      </c>
      <c r="B1070" s="1" t="s">
        <v>1376</v>
      </c>
      <c r="C1070" s="1"/>
      <c r="D1070" s="1"/>
      <c r="E1070" s="1"/>
      <c r="F1070" s="1"/>
      <c r="G1070" s="1"/>
      <c r="H1070" s="1" t="str">
        <f>"7891150040182"</f>
        <v>7891150040182</v>
      </c>
      <c r="I1070" s="3">
        <v>1</v>
      </c>
      <c r="J1070" s="3">
        <v>0</v>
      </c>
      <c r="K1070" s="3">
        <v>3000</v>
      </c>
    </row>
    <row r="1071" spans="1:11" x14ac:dyDescent="0.2">
      <c r="A1071" s="1" t="s">
        <v>4994</v>
      </c>
      <c r="B1071" s="1" t="s">
        <v>1377</v>
      </c>
      <c r="C1071" s="1"/>
      <c r="D1071" s="1"/>
      <c r="E1071" s="1"/>
      <c r="F1071" s="1"/>
      <c r="G1071" s="1"/>
      <c r="H1071" s="1" t="str">
        <f>"650240032905"</f>
        <v>650240032905</v>
      </c>
      <c r="I1071" s="3">
        <v>0</v>
      </c>
      <c r="J1071" s="3">
        <v>0</v>
      </c>
      <c r="K1071" s="3">
        <v>12000</v>
      </c>
    </row>
    <row r="1072" spans="1:11" x14ac:dyDescent="0.2">
      <c r="A1072" s="1" t="s">
        <v>4994</v>
      </c>
      <c r="B1072" s="1" t="s">
        <v>1378</v>
      </c>
      <c r="C1072" s="1"/>
      <c r="D1072" s="1"/>
      <c r="E1072" s="1"/>
      <c r="F1072" s="1"/>
      <c r="G1072" s="1"/>
      <c r="H1072" s="1" t="str">
        <f>"650240055867"</f>
        <v>650240055867</v>
      </c>
      <c r="I1072" s="3">
        <v>0</v>
      </c>
      <c r="J1072" s="3">
        <v>0</v>
      </c>
      <c r="K1072" s="3">
        <v>10000</v>
      </c>
    </row>
    <row r="1073" spans="1:11" x14ac:dyDescent="0.2">
      <c r="A1073" s="1" t="s">
        <v>4994</v>
      </c>
      <c r="B1073" s="1" t="s">
        <v>1379</v>
      </c>
      <c r="C1073" s="1"/>
      <c r="D1073" s="1"/>
      <c r="E1073" s="1"/>
      <c r="F1073" s="1"/>
      <c r="G1073" s="1"/>
      <c r="H1073" s="1" t="str">
        <f>"650240032356"</f>
        <v>650240032356</v>
      </c>
      <c r="I1073" s="3">
        <v>0</v>
      </c>
      <c r="J1073" s="3">
        <v>0</v>
      </c>
      <c r="K1073" s="3">
        <v>10000</v>
      </c>
    </row>
    <row r="1074" spans="1:11" x14ac:dyDescent="0.2">
      <c r="A1074" s="1" t="s">
        <v>4994</v>
      </c>
      <c r="B1074" s="1" t="s">
        <v>1380</v>
      </c>
      <c r="C1074" s="1"/>
      <c r="D1074" s="1"/>
      <c r="E1074" s="1"/>
      <c r="F1074" s="1"/>
      <c r="G1074" s="1"/>
      <c r="H1074" s="1" t="str">
        <f>"7804969151062"</f>
        <v>7804969151062</v>
      </c>
      <c r="I1074" s="3">
        <v>0</v>
      </c>
      <c r="J1074" s="3">
        <v>0</v>
      </c>
      <c r="K1074" s="3">
        <v>3500</v>
      </c>
    </row>
    <row r="1075" spans="1:11" x14ac:dyDescent="0.2">
      <c r="A1075" s="1" t="s">
        <v>4994</v>
      </c>
      <c r="B1075" s="1" t="s">
        <v>1381</v>
      </c>
      <c r="C1075" s="1"/>
      <c r="D1075" s="1"/>
      <c r="E1075" s="1"/>
      <c r="F1075" s="1"/>
      <c r="G1075" s="1"/>
      <c r="H1075" s="1" t="str">
        <f>"7804969151215"</f>
        <v>7804969151215</v>
      </c>
      <c r="I1075" s="3">
        <v>0</v>
      </c>
      <c r="J1075" s="3">
        <v>0</v>
      </c>
      <c r="K1075" s="3">
        <v>2800</v>
      </c>
    </row>
    <row r="1076" spans="1:11" x14ac:dyDescent="0.2">
      <c r="A1076" s="1" t="s">
        <v>4994</v>
      </c>
      <c r="B1076" s="1" t="s">
        <v>1382</v>
      </c>
      <c r="C1076" s="1"/>
      <c r="D1076" s="1"/>
      <c r="E1076" s="1"/>
      <c r="F1076" s="1"/>
      <c r="G1076" s="1"/>
      <c r="H1076" s="1" t="str">
        <f>"7804907979611"</f>
        <v>7804907979611</v>
      </c>
      <c r="I1076" s="3">
        <v>0</v>
      </c>
      <c r="J1076" s="3">
        <v>0</v>
      </c>
      <c r="K1076" s="3">
        <v>9500</v>
      </c>
    </row>
    <row r="1077" spans="1:11" x14ac:dyDescent="0.2">
      <c r="A1077" s="1" t="s">
        <v>4994</v>
      </c>
      <c r="B1077" s="1" t="s">
        <v>1383</v>
      </c>
      <c r="C1077" s="1"/>
      <c r="D1077" s="1"/>
      <c r="E1077" s="1"/>
      <c r="F1077" s="1"/>
      <c r="G1077" s="1"/>
      <c r="H1077" s="1" t="str">
        <f>"7804907972254"</f>
        <v>7804907972254</v>
      </c>
      <c r="I1077" s="3">
        <v>0</v>
      </c>
      <c r="J1077" s="3">
        <v>0</v>
      </c>
      <c r="K1077" s="3">
        <v>2000</v>
      </c>
    </row>
    <row r="1078" spans="1:11" x14ac:dyDescent="0.2">
      <c r="A1078" s="1" t="s">
        <v>4994</v>
      </c>
      <c r="B1078" s="1" t="s">
        <v>1384</v>
      </c>
      <c r="C1078" s="1"/>
      <c r="D1078" s="1"/>
      <c r="E1078" s="1"/>
      <c r="F1078" s="1"/>
      <c r="G1078" s="1"/>
      <c r="H1078" s="1" t="str">
        <f>"7804612010449"</f>
        <v>7804612010449</v>
      </c>
      <c r="I1078" s="3">
        <v>0</v>
      </c>
      <c r="J1078" s="3">
        <v>0</v>
      </c>
      <c r="K1078" s="3">
        <v>13000</v>
      </c>
    </row>
    <row r="1079" spans="1:11" x14ac:dyDescent="0.2">
      <c r="A1079" s="1" t="s">
        <v>4994</v>
      </c>
      <c r="B1079" s="1" t="s">
        <v>1385</v>
      </c>
      <c r="C1079" s="1"/>
      <c r="D1079" s="1"/>
      <c r="E1079" s="1"/>
      <c r="F1079" s="1"/>
      <c r="G1079" s="1"/>
      <c r="H1079" s="1" t="str">
        <f>"7804907796560"</f>
        <v>7804907796560</v>
      </c>
      <c r="I1079" s="3">
        <v>3</v>
      </c>
      <c r="J1079" s="3">
        <v>0</v>
      </c>
      <c r="K1079" s="3">
        <v>3500</v>
      </c>
    </row>
    <row r="1080" spans="1:11" x14ac:dyDescent="0.2">
      <c r="A1080" s="1" t="s">
        <v>4994</v>
      </c>
      <c r="B1080" s="1" t="s">
        <v>1386</v>
      </c>
      <c r="C1080" s="1"/>
      <c r="D1080" s="1"/>
      <c r="E1080" s="1"/>
      <c r="F1080" s="1"/>
      <c r="G1080" s="1"/>
      <c r="H1080" s="1" t="str">
        <f>"7800038000422"</f>
        <v>7800038000422</v>
      </c>
      <c r="I1080" s="3">
        <v>4</v>
      </c>
      <c r="J1080" s="3">
        <v>0</v>
      </c>
      <c r="K1080" s="3">
        <v>3000</v>
      </c>
    </row>
    <row r="1081" spans="1:11" x14ac:dyDescent="0.2">
      <c r="A1081" s="1" t="s">
        <v>4994</v>
      </c>
      <c r="B1081" s="1" t="s">
        <v>1387</v>
      </c>
      <c r="C1081" s="1"/>
      <c r="D1081" s="1"/>
      <c r="E1081" s="1"/>
      <c r="F1081" s="1"/>
      <c r="G1081" s="1"/>
      <c r="H1081" s="1" t="str">
        <f>"7809591403268"</f>
        <v>7809591403268</v>
      </c>
      <c r="I1081" s="3">
        <v>0</v>
      </c>
      <c r="J1081" s="3">
        <v>0</v>
      </c>
      <c r="K1081" s="3">
        <v>9000</v>
      </c>
    </row>
    <row r="1082" spans="1:11" x14ac:dyDescent="0.2">
      <c r="A1082" s="1" t="s">
        <v>4994</v>
      </c>
      <c r="B1082" s="1" t="s">
        <v>1388</v>
      </c>
      <c r="C1082" s="1"/>
      <c r="D1082" s="1"/>
      <c r="E1082" s="1"/>
      <c r="F1082" s="1"/>
      <c r="G1082" s="1"/>
      <c r="H1082" s="1" t="str">
        <f>"7800070000541"</f>
        <v>7800070000541</v>
      </c>
      <c r="I1082" s="3">
        <v>7</v>
      </c>
      <c r="J1082" s="3">
        <v>0</v>
      </c>
      <c r="K1082" s="3">
        <v>15000</v>
      </c>
    </row>
    <row r="1083" spans="1:11" x14ac:dyDescent="0.2">
      <c r="A1083" s="1" t="s">
        <v>4994</v>
      </c>
      <c r="B1083" s="1" t="s">
        <v>1389</v>
      </c>
      <c r="C1083" s="1"/>
      <c r="D1083" s="1"/>
      <c r="E1083" s="1"/>
      <c r="F1083" s="1"/>
      <c r="G1083" s="1"/>
      <c r="H1083" s="1" t="str">
        <f>"7502268544980"</f>
        <v>7502268544980</v>
      </c>
      <c r="I1083" s="3">
        <v>0</v>
      </c>
      <c r="J1083" s="3">
        <v>0</v>
      </c>
      <c r="K1083" s="3">
        <v>1500</v>
      </c>
    </row>
    <row r="1084" spans="1:11" x14ac:dyDescent="0.2">
      <c r="A1084" s="1" t="s">
        <v>4994</v>
      </c>
      <c r="B1084" s="1" t="s">
        <v>1390</v>
      </c>
      <c r="C1084" s="1"/>
      <c r="D1084" s="1"/>
      <c r="E1084" s="1"/>
      <c r="F1084" s="1"/>
      <c r="G1084" s="1"/>
      <c r="H1084" s="1" t="str">
        <f>"7808705406263"</f>
        <v>7808705406263</v>
      </c>
      <c r="I1084" s="3">
        <v>47</v>
      </c>
      <c r="J1084" s="3">
        <v>0</v>
      </c>
      <c r="K1084" s="3">
        <v>5000</v>
      </c>
    </row>
    <row r="1085" spans="1:11" x14ac:dyDescent="0.2">
      <c r="A1085" s="1" t="s">
        <v>4994</v>
      </c>
      <c r="B1085" s="1" t="s">
        <v>1391</v>
      </c>
      <c r="C1085" s="1"/>
      <c r="D1085" s="1"/>
      <c r="E1085" s="1"/>
      <c r="F1085" s="1"/>
      <c r="G1085" s="1"/>
      <c r="H1085" s="1" t="str">
        <f>"7808705406362"</f>
        <v>7808705406362</v>
      </c>
      <c r="I1085" s="3">
        <v>10</v>
      </c>
      <c r="J1085" s="3">
        <v>0</v>
      </c>
      <c r="K1085" s="3">
        <v>2800</v>
      </c>
    </row>
    <row r="1086" spans="1:11" x14ac:dyDescent="0.2">
      <c r="A1086" s="1" t="s">
        <v>4994</v>
      </c>
      <c r="B1086" s="1" t="s">
        <v>1392</v>
      </c>
      <c r="C1086" s="1"/>
      <c r="D1086" s="1"/>
      <c r="E1086" s="1"/>
      <c r="F1086" s="1"/>
      <c r="G1086" s="1"/>
      <c r="H1086" s="1" t="str">
        <f>"7801000223313"</f>
        <v>7801000223313</v>
      </c>
      <c r="I1086" s="3">
        <v>0</v>
      </c>
      <c r="J1086" s="3">
        <v>0</v>
      </c>
      <c r="K1086" s="3">
        <v>2500</v>
      </c>
    </row>
    <row r="1087" spans="1:11" x14ac:dyDescent="0.2">
      <c r="A1087" s="1" t="s">
        <v>4994</v>
      </c>
      <c r="B1087" s="1" t="s">
        <v>1393</v>
      </c>
      <c r="C1087" s="1"/>
      <c r="D1087" s="1"/>
      <c r="E1087" s="1"/>
      <c r="F1087" s="1"/>
      <c r="G1087" s="1"/>
      <c r="H1087" s="1" t="str">
        <f>"7612412700077"</f>
        <v>7612412700077</v>
      </c>
      <c r="I1087" s="3">
        <v>0</v>
      </c>
      <c r="J1087" s="3">
        <v>0</v>
      </c>
      <c r="K1087" s="3">
        <v>6780</v>
      </c>
    </row>
    <row r="1088" spans="1:11" x14ac:dyDescent="0.2">
      <c r="A1088" s="1" t="s">
        <v>4994</v>
      </c>
      <c r="B1088" s="1" t="s">
        <v>1394</v>
      </c>
      <c r="C1088" s="1"/>
      <c r="D1088" s="1"/>
      <c r="E1088" s="1"/>
      <c r="F1088" s="1"/>
      <c r="G1088" s="1"/>
      <c r="H1088" s="1" t="str">
        <f>"7612412156003"</f>
        <v>7612412156003</v>
      </c>
      <c r="I1088" s="3">
        <v>0</v>
      </c>
      <c r="J1088" s="3">
        <v>0</v>
      </c>
      <c r="K1088" s="3">
        <v>5500</v>
      </c>
    </row>
    <row r="1089" spans="1:11" x14ac:dyDescent="0.2">
      <c r="A1089" s="1" t="s">
        <v>4994</v>
      </c>
      <c r="B1089" s="1" t="s">
        <v>1397</v>
      </c>
      <c r="C1089" s="1"/>
      <c r="D1089" s="1"/>
      <c r="E1089" s="1"/>
      <c r="F1089" s="1"/>
      <c r="G1089" s="1"/>
      <c r="H1089" s="1" t="str">
        <f>"4042809224160C"</f>
        <v>4042809224160C</v>
      </c>
      <c r="I1089" s="3">
        <v>0</v>
      </c>
      <c r="J1089" s="3">
        <v>0</v>
      </c>
      <c r="K1089" s="3">
        <v>1000</v>
      </c>
    </row>
    <row r="1090" spans="1:11" x14ac:dyDescent="0.2">
      <c r="A1090" s="1" t="s">
        <v>4994</v>
      </c>
      <c r="B1090" s="1" t="s">
        <v>1399</v>
      </c>
      <c r="C1090" s="1"/>
      <c r="D1090" s="1"/>
      <c r="E1090" s="1"/>
      <c r="F1090" s="1"/>
      <c r="G1090" s="1"/>
      <c r="H1090" s="1" t="str">
        <f>"7800085000079"</f>
        <v>7800085000079</v>
      </c>
      <c r="I1090" s="3">
        <v>0</v>
      </c>
      <c r="J1090" s="3">
        <v>0</v>
      </c>
      <c r="K1090" s="3">
        <v>6000</v>
      </c>
    </row>
    <row r="1091" spans="1:11" x14ac:dyDescent="0.2">
      <c r="A1091" s="1" t="s">
        <v>4994</v>
      </c>
      <c r="B1091" s="1" t="s">
        <v>1400</v>
      </c>
      <c r="C1091" s="1"/>
      <c r="D1091" s="1"/>
      <c r="E1091" s="1"/>
      <c r="F1091" s="1"/>
      <c r="G1091" s="1"/>
      <c r="H1091" s="1" t="str">
        <f>"7800068010095"</f>
        <v>7800068010095</v>
      </c>
      <c r="I1091" s="3">
        <v>0</v>
      </c>
      <c r="J1091" s="3">
        <v>0</v>
      </c>
      <c r="K1091" s="3">
        <v>3000</v>
      </c>
    </row>
    <row r="1092" spans="1:11" x14ac:dyDescent="0.2">
      <c r="A1092" s="1" t="s">
        <v>4994</v>
      </c>
      <c r="B1092" s="1" t="s">
        <v>1402</v>
      </c>
      <c r="C1092" s="1"/>
      <c r="D1092" s="1"/>
      <c r="E1092" s="1"/>
      <c r="F1092" s="1"/>
      <c r="G1092" s="1"/>
      <c r="H1092" s="1" t="str">
        <f>"7800018001272"</f>
        <v>7800018001272</v>
      </c>
      <c r="I1092" s="3">
        <v>14</v>
      </c>
      <c r="J1092" s="3">
        <v>0</v>
      </c>
      <c r="K1092" s="3">
        <v>28000</v>
      </c>
    </row>
    <row r="1093" spans="1:11" x14ac:dyDescent="0.2">
      <c r="A1093" s="1" t="s">
        <v>4994</v>
      </c>
      <c r="B1093" s="1" t="s">
        <v>1403</v>
      </c>
      <c r="C1093" s="1"/>
      <c r="D1093" s="1"/>
      <c r="E1093" s="1"/>
      <c r="F1093" s="1"/>
      <c r="G1093" s="1"/>
      <c r="H1093" s="1" t="str">
        <f>"2000110410292"</f>
        <v>2000110410292</v>
      </c>
      <c r="I1093" s="3">
        <v>4</v>
      </c>
      <c r="J1093" s="3">
        <v>0</v>
      </c>
      <c r="K1093" s="3">
        <v>3500</v>
      </c>
    </row>
    <row r="1094" spans="1:11" x14ac:dyDescent="0.2">
      <c r="A1094" s="1" t="s">
        <v>4994</v>
      </c>
      <c r="B1094" s="1" t="s">
        <v>1404</v>
      </c>
      <c r="C1094" s="1"/>
      <c r="D1094" s="1"/>
      <c r="E1094" s="1"/>
      <c r="F1094" s="1"/>
      <c r="G1094" s="1"/>
      <c r="H1094" s="1" t="str">
        <f>"7800007339799"</f>
        <v>7800007339799</v>
      </c>
      <c r="I1094" s="3">
        <v>30</v>
      </c>
      <c r="J1094" s="3">
        <v>0</v>
      </c>
      <c r="K1094" s="3">
        <v>29000</v>
      </c>
    </row>
    <row r="1095" spans="1:11" x14ac:dyDescent="0.2">
      <c r="A1095" s="1" t="s">
        <v>4994</v>
      </c>
      <c r="B1095" s="1" t="s">
        <v>1405</v>
      </c>
      <c r="C1095" s="1"/>
      <c r="D1095" s="1"/>
      <c r="E1095" s="1"/>
      <c r="F1095" s="1"/>
      <c r="G1095" s="1"/>
      <c r="H1095" s="1" t="str">
        <f>"7804636590125"</f>
        <v>7804636590125</v>
      </c>
      <c r="I1095" s="3">
        <v>1</v>
      </c>
      <c r="J1095" s="3">
        <v>0</v>
      </c>
      <c r="K1095" s="3">
        <v>74000</v>
      </c>
    </row>
    <row r="1096" spans="1:11" x14ac:dyDescent="0.2">
      <c r="A1096" s="1" t="s">
        <v>4994</v>
      </c>
      <c r="B1096" s="1" t="s">
        <v>1406</v>
      </c>
      <c r="C1096" s="1"/>
      <c r="D1096" s="1"/>
      <c r="E1096" s="1"/>
      <c r="F1096" s="1"/>
      <c r="G1096" s="1"/>
      <c r="H1096" s="1" t="str">
        <f>"7800059002900"</f>
        <v>7800059002900</v>
      </c>
      <c r="I1096" s="3">
        <v>0</v>
      </c>
      <c r="J1096" s="3">
        <v>0</v>
      </c>
      <c r="K1096" s="3">
        <v>23000</v>
      </c>
    </row>
    <row r="1097" spans="1:11" x14ac:dyDescent="0.2">
      <c r="A1097" s="1" t="s">
        <v>4994</v>
      </c>
      <c r="B1097" s="1" t="s">
        <v>1407</v>
      </c>
      <c r="C1097" s="1"/>
      <c r="D1097" s="1"/>
      <c r="E1097" s="1"/>
      <c r="F1097" s="1"/>
      <c r="G1097" s="1"/>
      <c r="H1097" s="1" t="str">
        <f>"7730969305252"</f>
        <v>7730969305252</v>
      </c>
      <c r="I1097" s="3">
        <v>1</v>
      </c>
      <c r="J1097" s="3">
        <v>0</v>
      </c>
      <c r="K1097" s="3">
        <v>17000</v>
      </c>
    </row>
    <row r="1098" spans="1:11" x14ac:dyDescent="0.2">
      <c r="A1098" s="1" t="s">
        <v>4994</v>
      </c>
      <c r="B1098" s="1" t="s">
        <v>1408</v>
      </c>
      <c r="C1098" s="1"/>
      <c r="D1098" s="1"/>
      <c r="E1098" s="1"/>
      <c r="F1098" s="1"/>
      <c r="G1098" s="1"/>
      <c r="H1098" s="1" t="str">
        <f>"7809558102432"</f>
        <v>7809558102432</v>
      </c>
      <c r="I1098" s="3">
        <v>2</v>
      </c>
      <c r="J1098" s="3">
        <v>0</v>
      </c>
      <c r="K1098" s="3">
        <v>2000</v>
      </c>
    </row>
    <row r="1099" spans="1:11" x14ac:dyDescent="0.2">
      <c r="A1099" s="1" t="s">
        <v>4994</v>
      </c>
      <c r="B1099" s="1" t="s">
        <v>1409</v>
      </c>
      <c r="C1099" s="1"/>
      <c r="D1099" s="1"/>
      <c r="E1099" s="1"/>
      <c r="F1099" s="1"/>
      <c r="G1099" s="1"/>
      <c r="H1099" s="1" t="str">
        <f>"7809558101763"</f>
        <v>7809558101763</v>
      </c>
      <c r="I1099" s="3">
        <v>0</v>
      </c>
      <c r="J1099" s="3">
        <v>0</v>
      </c>
      <c r="K1099" s="3">
        <v>2500</v>
      </c>
    </row>
    <row r="1100" spans="1:11" x14ac:dyDescent="0.2">
      <c r="A1100" s="1" t="s">
        <v>4994</v>
      </c>
      <c r="B1100" s="1" t="s">
        <v>1410</v>
      </c>
      <c r="C1100" s="1"/>
      <c r="D1100" s="1"/>
      <c r="E1100" s="1"/>
      <c r="F1100" s="1"/>
      <c r="G1100" s="1"/>
      <c r="H1100" s="1" t="str">
        <f>"7809558100919"</f>
        <v>7809558100919</v>
      </c>
      <c r="I1100" s="3">
        <v>12</v>
      </c>
      <c r="J1100" s="3">
        <v>0</v>
      </c>
      <c r="K1100" s="3">
        <v>3500</v>
      </c>
    </row>
    <row r="1101" spans="1:11" x14ac:dyDescent="0.2">
      <c r="A1101" s="1" t="s">
        <v>4994</v>
      </c>
      <c r="B1101" s="1" t="s">
        <v>1411</v>
      </c>
      <c r="C1101" s="1"/>
      <c r="D1101" s="1"/>
      <c r="E1101" s="1"/>
      <c r="F1101" s="1"/>
      <c r="G1101" s="1"/>
      <c r="H1101" s="1" t="str">
        <f>"7809558101947"</f>
        <v>7809558101947</v>
      </c>
      <c r="I1101" s="3">
        <v>0</v>
      </c>
      <c r="J1101" s="3">
        <v>0</v>
      </c>
      <c r="K1101" s="3">
        <v>3000</v>
      </c>
    </row>
    <row r="1102" spans="1:11" x14ac:dyDescent="0.2">
      <c r="A1102" s="1" t="s">
        <v>4994</v>
      </c>
      <c r="B1102" s="1" t="s">
        <v>1412</v>
      </c>
      <c r="C1102" s="1"/>
      <c r="D1102" s="1"/>
      <c r="E1102" s="1"/>
      <c r="F1102" s="1"/>
      <c r="G1102" s="1"/>
      <c r="H1102" s="1" t="str">
        <f>"7809558101756"</f>
        <v>7809558101756</v>
      </c>
      <c r="I1102" s="3">
        <v>0</v>
      </c>
      <c r="J1102" s="3">
        <v>0</v>
      </c>
      <c r="K1102" s="3">
        <v>3500</v>
      </c>
    </row>
    <row r="1103" spans="1:11" x14ac:dyDescent="0.2">
      <c r="A1103" s="1" t="s">
        <v>4994</v>
      </c>
      <c r="B1103" s="1" t="s">
        <v>1413</v>
      </c>
      <c r="C1103" s="1"/>
      <c r="D1103" s="1"/>
      <c r="E1103" s="1"/>
      <c r="F1103" s="1"/>
      <c r="G1103" s="1"/>
      <c r="H1103" s="1" t="str">
        <f>"7809558101091"</f>
        <v>7809558101091</v>
      </c>
      <c r="I1103" s="3">
        <v>0</v>
      </c>
      <c r="J1103" s="3">
        <v>0</v>
      </c>
      <c r="K1103" s="3">
        <v>1500</v>
      </c>
    </row>
    <row r="1104" spans="1:11" x14ac:dyDescent="0.2">
      <c r="A1104" s="1" t="s">
        <v>4994</v>
      </c>
      <c r="B1104" s="1" t="s">
        <v>1414</v>
      </c>
      <c r="C1104" s="1"/>
      <c r="D1104" s="1"/>
      <c r="E1104" s="1"/>
      <c r="F1104" s="1"/>
      <c r="G1104" s="1"/>
      <c r="H1104" s="1" t="str">
        <f>"7805112000343"</f>
        <v>7805112000343</v>
      </c>
      <c r="I1104" s="3">
        <v>0</v>
      </c>
      <c r="J1104" s="3">
        <v>0</v>
      </c>
      <c r="K1104" s="3">
        <v>25000</v>
      </c>
    </row>
    <row r="1105" spans="1:11" x14ac:dyDescent="0.2">
      <c r="A1105" s="1" t="s">
        <v>4994</v>
      </c>
      <c r="B1105" s="1" t="s">
        <v>1415</v>
      </c>
      <c r="C1105" s="1"/>
      <c r="D1105" s="1"/>
      <c r="E1105" s="1"/>
      <c r="F1105" s="1"/>
      <c r="G1105" s="1"/>
      <c r="H1105" s="1" t="str">
        <f>"7800023000116"</f>
        <v>7800023000116</v>
      </c>
      <c r="I1105" s="3">
        <v>0</v>
      </c>
      <c r="J1105" s="3">
        <v>0</v>
      </c>
      <c r="K1105" s="3">
        <v>12000</v>
      </c>
    </row>
    <row r="1106" spans="1:11" x14ac:dyDescent="0.2">
      <c r="A1106" s="1" t="s">
        <v>4994</v>
      </c>
      <c r="B1106" s="1" t="s">
        <v>1416</v>
      </c>
      <c r="C1106" s="1"/>
      <c r="D1106" s="1"/>
      <c r="E1106" s="1"/>
      <c r="F1106" s="1"/>
      <c r="G1106" s="1"/>
      <c r="H1106" s="1" t="str">
        <f>"8411061000922"</f>
        <v>8411061000922</v>
      </c>
      <c r="I1106" s="3">
        <v>0</v>
      </c>
      <c r="J1106" s="3">
        <v>0</v>
      </c>
      <c r="K1106" s="3">
        <v>20000</v>
      </c>
    </row>
    <row r="1107" spans="1:11" x14ac:dyDescent="0.2">
      <c r="A1107" s="1" t="s">
        <v>4994</v>
      </c>
      <c r="B1107" s="1" t="s">
        <v>1417</v>
      </c>
      <c r="C1107" s="1"/>
      <c r="D1107" s="1"/>
      <c r="E1107" s="1"/>
      <c r="F1107" s="1"/>
      <c r="G1107" s="1"/>
      <c r="H1107" s="1" t="str">
        <f>"8411061091333"</f>
        <v>8411061091333</v>
      </c>
      <c r="I1107" s="3">
        <v>8</v>
      </c>
      <c r="J1107" s="3">
        <v>0</v>
      </c>
      <c r="K1107" s="3">
        <v>20000</v>
      </c>
    </row>
    <row r="1108" spans="1:11" x14ac:dyDescent="0.2">
      <c r="A1108" s="1" t="s">
        <v>4994</v>
      </c>
      <c r="B1108" s="1" t="s">
        <v>1418</v>
      </c>
      <c r="C1108" s="1"/>
      <c r="D1108" s="1"/>
      <c r="E1108" s="1"/>
      <c r="F1108" s="1"/>
      <c r="G1108" s="1"/>
      <c r="H1108" s="1" t="str">
        <f>"7804656600057"</f>
        <v>7804656600057</v>
      </c>
      <c r="I1108" s="3">
        <v>0</v>
      </c>
      <c r="J1108" s="3">
        <v>0</v>
      </c>
      <c r="K1108" s="3">
        <v>14000</v>
      </c>
    </row>
    <row r="1109" spans="1:11" x14ac:dyDescent="0.2">
      <c r="A1109" s="1" t="s">
        <v>4994</v>
      </c>
      <c r="B1109" s="1" t="s">
        <v>1419</v>
      </c>
      <c r="C1109" s="1"/>
      <c r="D1109" s="1"/>
      <c r="E1109" s="1"/>
      <c r="F1109" s="1"/>
      <c r="G1109" s="1"/>
      <c r="H1109" s="1" t="str">
        <f>"7800019000014"</f>
        <v>7800019000014</v>
      </c>
      <c r="I1109" s="3">
        <v>25</v>
      </c>
      <c r="J1109" s="3">
        <v>0</v>
      </c>
      <c r="K1109" s="3">
        <v>4500</v>
      </c>
    </row>
    <row r="1110" spans="1:11" x14ac:dyDescent="0.2">
      <c r="A1110" s="1" t="s">
        <v>4994</v>
      </c>
      <c r="B1110" s="1" t="s">
        <v>1420</v>
      </c>
      <c r="C1110" s="1"/>
      <c r="D1110" s="1"/>
      <c r="E1110" s="1"/>
      <c r="F1110" s="1"/>
      <c r="G1110" s="1"/>
      <c r="H1110" s="1" t="str">
        <f>"7730979098052"</f>
        <v>7730979098052</v>
      </c>
      <c r="I1110" s="3">
        <v>0</v>
      </c>
      <c r="J1110" s="3">
        <v>0</v>
      </c>
      <c r="K1110" s="3">
        <v>24000</v>
      </c>
    </row>
    <row r="1111" spans="1:11" x14ac:dyDescent="0.2">
      <c r="A1111" s="1" t="s">
        <v>4994</v>
      </c>
      <c r="B1111" s="1" t="s">
        <v>1421</v>
      </c>
      <c r="C1111" s="1"/>
      <c r="D1111" s="1"/>
      <c r="E1111" s="1"/>
      <c r="F1111" s="1"/>
      <c r="G1111" s="1"/>
      <c r="H1111" s="1" t="str">
        <f>"7730979098045"</f>
        <v>7730979098045</v>
      </c>
      <c r="I1111" s="3">
        <v>6</v>
      </c>
      <c r="J1111" s="3">
        <v>0</v>
      </c>
      <c r="K1111" s="3">
        <v>16000</v>
      </c>
    </row>
    <row r="1112" spans="1:11" x14ac:dyDescent="0.2">
      <c r="A1112" s="1" t="s">
        <v>4994</v>
      </c>
      <c r="B1112" s="1" t="s">
        <v>1422</v>
      </c>
      <c r="C1112" s="1"/>
      <c r="D1112" s="1"/>
      <c r="E1112" s="1"/>
      <c r="F1112" s="1"/>
      <c r="G1112" s="1"/>
      <c r="H1112" s="1" t="str">
        <f>"6091403215423"</f>
        <v>6091403215423</v>
      </c>
      <c r="I1112" s="3">
        <v>0</v>
      </c>
      <c r="J1112" s="3">
        <v>0</v>
      </c>
      <c r="K1112" s="3">
        <v>20000</v>
      </c>
    </row>
    <row r="1113" spans="1:11" x14ac:dyDescent="0.2">
      <c r="A1113" s="1" t="s">
        <v>4994</v>
      </c>
      <c r="B1113" s="1" t="s">
        <v>1423</v>
      </c>
      <c r="C1113" s="1"/>
      <c r="D1113" s="1"/>
      <c r="E1113" s="1"/>
      <c r="F1113" s="1"/>
      <c r="G1113" s="1"/>
      <c r="H1113" s="1" t="str">
        <f>"7804923066326"</f>
        <v>7804923066326</v>
      </c>
      <c r="I1113" s="3">
        <v>0</v>
      </c>
      <c r="J1113" s="3">
        <v>0</v>
      </c>
      <c r="K1113" s="3">
        <v>6000</v>
      </c>
    </row>
    <row r="1114" spans="1:11" x14ac:dyDescent="0.2">
      <c r="A1114" s="1" t="s">
        <v>4994</v>
      </c>
      <c r="B1114" s="1" t="s">
        <v>1424</v>
      </c>
      <c r="C1114" s="1"/>
      <c r="D1114" s="1"/>
      <c r="E1114" s="1"/>
      <c r="F1114" s="1"/>
      <c r="G1114" s="1"/>
      <c r="H1114" s="1" t="str">
        <f>"7800028001286"</f>
        <v>7800028001286</v>
      </c>
      <c r="I1114" s="3">
        <v>0</v>
      </c>
      <c r="J1114" s="3">
        <v>0</v>
      </c>
      <c r="K1114" s="3">
        <v>13000</v>
      </c>
    </row>
    <row r="1115" spans="1:11" x14ac:dyDescent="0.2">
      <c r="A1115" s="1" t="s">
        <v>4994</v>
      </c>
      <c r="B1115" s="1" t="s">
        <v>1425</v>
      </c>
      <c r="C1115" s="1"/>
      <c r="D1115" s="1"/>
      <c r="E1115" s="1"/>
      <c r="F1115" s="1"/>
      <c r="G1115" s="1"/>
      <c r="H1115" s="1" t="str">
        <f>"7800028001293"</f>
        <v>7800028001293</v>
      </c>
      <c r="I1115" s="3">
        <v>0</v>
      </c>
      <c r="J1115" s="3">
        <v>0</v>
      </c>
      <c r="K1115" s="3">
        <v>16000</v>
      </c>
    </row>
    <row r="1116" spans="1:11" x14ac:dyDescent="0.2">
      <c r="A1116" s="1" t="s">
        <v>4994</v>
      </c>
      <c r="B1116" s="1" t="s">
        <v>1427</v>
      </c>
      <c r="C1116" s="1"/>
      <c r="D1116" s="1"/>
      <c r="E1116" s="1"/>
      <c r="F1116" s="1"/>
      <c r="G1116" s="1"/>
      <c r="H1116" s="1" t="str">
        <f>"7804907000940"</f>
        <v>7804907000940</v>
      </c>
      <c r="I1116" s="3">
        <v>0</v>
      </c>
      <c r="J1116" s="3">
        <v>0</v>
      </c>
      <c r="K1116" s="3">
        <v>4000</v>
      </c>
    </row>
    <row r="1117" spans="1:11" x14ac:dyDescent="0.2">
      <c r="A1117" s="1" t="s">
        <v>4994</v>
      </c>
      <c r="B1117" s="1" t="s">
        <v>1428</v>
      </c>
      <c r="C1117" s="1"/>
      <c r="D1117" s="1"/>
      <c r="E1117" s="1"/>
      <c r="F1117" s="1"/>
      <c r="G1117" s="1"/>
      <c r="H1117" s="1" t="str">
        <f>"7804907000919"</f>
        <v>7804907000919</v>
      </c>
      <c r="I1117" s="3">
        <v>0</v>
      </c>
      <c r="J1117" s="3">
        <v>0</v>
      </c>
      <c r="K1117" s="3">
        <v>4000</v>
      </c>
    </row>
    <row r="1118" spans="1:11" x14ac:dyDescent="0.2">
      <c r="A1118" s="1" t="s">
        <v>4994</v>
      </c>
      <c r="B1118" s="1" t="s">
        <v>1429</v>
      </c>
      <c r="C1118" s="1"/>
      <c r="D1118" s="1"/>
      <c r="E1118" s="1"/>
      <c r="F1118" s="1"/>
      <c r="G1118" s="1"/>
      <c r="H1118" s="1" t="str">
        <f>"7804907800649"</f>
        <v>7804907800649</v>
      </c>
      <c r="I1118" s="3">
        <v>0</v>
      </c>
      <c r="J1118" s="3">
        <v>0</v>
      </c>
      <c r="K1118" s="3">
        <v>5980</v>
      </c>
    </row>
    <row r="1119" spans="1:11" x14ac:dyDescent="0.2">
      <c r="A1119" s="1" t="s">
        <v>4994</v>
      </c>
      <c r="B1119" s="1" t="s">
        <v>1430</v>
      </c>
      <c r="C1119" s="1"/>
      <c r="D1119" s="1"/>
      <c r="E1119" s="1"/>
      <c r="F1119" s="1"/>
      <c r="G1119" s="1"/>
      <c r="H1119" s="1" t="str">
        <f>"7708428736244"</f>
        <v>7708428736244</v>
      </c>
      <c r="I1119" s="3">
        <v>0</v>
      </c>
      <c r="J1119" s="3">
        <v>0</v>
      </c>
      <c r="K1119" s="3">
        <v>3000</v>
      </c>
    </row>
    <row r="1120" spans="1:11" x14ac:dyDescent="0.2">
      <c r="A1120" s="1" t="s">
        <v>4994</v>
      </c>
      <c r="B1120" s="1" t="s">
        <v>1431</v>
      </c>
      <c r="C1120" s="1"/>
      <c r="D1120" s="1"/>
      <c r="E1120" s="1"/>
      <c r="F1120" s="1"/>
      <c r="G1120" s="1"/>
      <c r="H1120" s="1" t="str">
        <f>"7708133635870"</f>
        <v>7708133635870</v>
      </c>
      <c r="I1120" s="3">
        <v>0</v>
      </c>
      <c r="J1120" s="3">
        <v>0</v>
      </c>
      <c r="K1120" s="3">
        <v>2500</v>
      </c>
    </row>
    <row r="1121" spans="1:11" x14ac:dyDescent="0.2">
      <c r="A1121" s="1" t="s">
        <v>4994</v>
      </c>
      <c r="B1121" s="1" t="s">
        <v>1432</v>
      </c>
      <c r="C1121" s="1"/>
      <c r="D1121" s="1"/>
      <c r="E1121" s="1"/>
      <c r="F1121" s="1"/>
      <c r="G1121" s="1"/>
      <c r="H1121" s="1" t="str">
        <f>"7804902034728"</f>
        <v>7804902034728</v>
      </c>
      <c r="I1121" s="3">
        <v>2</v>
      </c>
      <c r="J1121" s="3">
        <v>0</v>
      </c>
      <c r="K1121" s="3">
        <v>7500</v>
      </c>
    </row>
    <row r="1122" spans="1:11" x14ac:dyDescent="0.2">
      <c r="A1122" s="1" t="s">
        <v>4994</v>
      </c>
      <c r="B1122" s="1" t="s">
        <v>1433</v>
      </c>
      <c r="C1122" s="1"/>
      <c r="D1122" s="1"/>
      <c r="E1122" s="1"/>
      <c r="F1122" s="1"/>
      <c r="G1122" s="1"/>
      <c r="H1122" s="1" t="str">
        <f>"7804902034735"</f>
        <v>7804902034735</v>
      </c>
      <c r="I1122" s="3">
        <v>2</v>
      </c>
      <c r="J1122" s="3">
        <v>0</v>
      </c>
      <c r="K1122" s="3">
        <v>7500</v>
      </c>
    </row>
    <row r="1123" spans="1:11" x14ac:dyDescent="0.2">
      <c r="A1123" s="1" t="s">
        <v>4994</v>
      </c>
      <c r="B1123" s="1" t="s">
        <v>1434</v>
      </c>
      <c r="C1123" s="1"/>
      <c r="D1123" s="1"/>
      <c r="E1123" s="1"/>
      <c r="F1123" s="1"/>
      <c r="G1123" s="1"/>
      <c r="H1123" s="1" t="str">
        <f>"7805000045685"</f>
        <v>7805000045685</v>
      </c>
      <c r="I1123" s="3">
        <v>0</v>
      </c>
      <c r="J1123" s="3">
        <v>0</v>
      </c>
      <c r="K1123" s="3">
        <v>6500</v>
      </c>
    </row>
    <row r="1124" spans="1:11" x14ac:dyDescent="0.2">
      <c r="A1124" s="1" t="s">
        <v>4994</v>
      </c>
      <c r="B1124" s="1" t="s">
        <v>1435</v>
      </c>
      <c r="C1124" s="1"/>
      <c r="D1124" s="1"/>
      <c r="E1124" s="1"/>
      <c r="F1124" s="1"/>
      <c r="G1124" s="1"/>
      <c r="H1124" s="1" t="str">
        <f>"47701002773"</f>
        <v>47701002773</v>
      </c>
      <c r="I1124" s="3">
        <v>0</v>
      </c>
      <c r="J1124" s="3">
        <v>0</v>
      </c>
      <c r="K1124" s="3">
        <v>13500</v>
      </c>
    </row>
    <row r="1125" spans="1:11" x14ac:dyDescent="0.2">
      <c r="A1125" s="1" t="s">
        <v>4994</v>
      </c>
      <c r="B1125" s="1" t="s">
        <v>1436</v>
      </c>
      <c r="C1125" s="1"/>
      <c r="D1125" s="1"/>
      <c r="E1125" s="1"/>
      <c r="F1125" s="1"/>
      <c r="G1125" s="1"/>
      <c r="H1125" s="1" t="str">
        <f>"7804925543290"</f>
        <v>7804925543290</v>
      </c>
      <c r="I1125" s="3">
        <v>0</v>
      </c>
      <c r="J1125" s="3">
        <v>0</v>
      </c>
      <c r="K1125" s="3">
        <v>2500</v>
      </c>
    </row>
    <row r="1126" spans="1:11" x14ac:dyDescent="0.2">
      <c r="A1126" s="1" t="s">
        <v>4994</v>
      </c>
      <c r="B1126" s="1" t="s">
        <v>1437</v>
      </c>
      <c r="C1126" s="1"/>
      <c r="D1126" s="1"/>
      <c r="E1126" s="1"/>
      <c r="F1126" s="1"/>
      <c r="G1126" s="1"/>
      <c r="H1126" s="1" t="str">
        <f>"7809601111893"</f>
        <v>7809601111893</v>
      </c>
      <c r="I1126" s="3">
        <v>5</v>
      </c>
      <c r="J1126" s="3">
        <v>0</v>
      </c>
      <c r="K1126" s="3">
        <v>2000</v>
      </c>
    </row>
    <row r="1127" spans="1:11" x14ac:dyDescent="0.2">
      <c r="A1127" s="1" t="s">
        <v>4994</v>
      </c>
      <c r="B1127" s="1" t="s">
        <v>1438</v>
      </c>
      <c r="C1127" s="1"/>
      <c r="D1127" s="1"/>
      <c r="E1127" s="1"/>
      <c r="F1127" s="1"/>
      <c r="G1127" s="1"/>
      <c r="H1127" s="1" t="str">
        <f>"7800001004464"</f>
        <v>7800001004464</v>
      </c>
      <c r="I1127" s="3">
        <v>0</v>
      </c>
      <c r="J1127" s="3">
        <v>0</v>
      </c>
      <c r="K1127" s="3">
        <v>35000</v>
      </c>
    </row>
    <row r="1128" spans="1:11" x14ac:dyDescent="0.2">
      <c r="A1128" s="1" t="s">
        <v>4994</v>
      </c>
      <c r="B1128" s="1" t="s">
        <v>1439</v>
      </c>
      <c r="C1128" s="1"/>
      <c r="D1128" s="1"/>
      <c r="E1128" s="1"/>
      <c r="F1128" s="1"/>
      <c r="G1128" s="1"/>
      <c r="H1128" s="1" t="str">
        <f>"7800001004525"</f>
        <v>7800001004525</v>
      </c>
      <c r="I1128" s="3">
        <v>0</v>
      </c>
      <c r="J1128" s="3">
        <v>0</v>
      </c>
      <c r="K1128" s="3">
        <v>35000</v>
      </c>
    </row>
    <row r="1129" spans="1:11" x14ac:dyDescent="0.2">
      <c r="A1129" s="1" t="s">
        <v>4994</v>
      </c>
      <c r="B1129" s="1" t="s">
        <v>1441</v>
      </c>
      <c r="C1129" s="1"/>
      <c r="D1129" s="1"/>
      <c r="E1129" s="1"/>
      <c r="F1129" s="1"/>
      <c r="G1129" s="1"/>
      <c r="H1129" s="1" t="str">
        <f>"7800059002948"</f>
        <v>7800059002948</v>
      </c>
      <c r="I1129" s="3">
        <v>0</v>
      </c>
      <c r="J1129" s="3">
        <v>0</v>
      </c>
      <c r="K1129" s="3">
        <v>27000</v>
      </c>
    </row>
    <row r="1130" spans="1:11" x14ac:dyDescent="0.2">
      <c r="A1130" s="1" t="s">
        <v>4994</v>
      </c>
      <c r="B1130" s="1" t="s">
        <v>1442</v>
      </c>
      <c r="C1130" s="1"/>
      <c r="D1130" s="1"/>
      <c r="E1130" s="1"/>
      <c r="F1130" s="1"/>
      <c r="G1130" s="1"/>
      <c r="H1130" s="1" t="str">
        <f>"7800059002931"</f>
        <v>7800059002931</v>
      </c>
      <c r="I1130" s="3">
        <v>0</v>
      </c>
      <c r="J1130" s="3">
        <v>0</v>
      </c>
      <c r="K1130" s="3">
        <v>23000</v>
      </c>
    </row>
    <row r="1131" spans="1:11" x14ac:dyDescent="0.2">
      <c r="A1131" s="1" t="s">
        <v>4994</v>
      </c>
      <c r="B1131" s="1" t="s">
        <v>1443</v>
      </c>
      <c r="C1131" s="1"/>
      <c r="D1131" s="1"/>
      <c r="E1131" s="1"/>
      <c r="F1131" s="1"/>
      <c r="G1131" s="1"/>
      <c r="H1131" s="1" t="str">
        <f>"3337871330286"</f>
        <v>3337871330286</v>
      </c>
      <c r="I1131" s="3">
        <v>9</v>
      </c>
      <c r="J1131" s="3">
        <v>0</v>
      </c>
      <c r="K1131" s="3">
        <v>15000</v>
      </c>
    </row>
    <row r="1132" spans="1:11" x14ac:dyDescent="0.2">
      <c r="A1132" s="1" t="s">
        <v>4994</v>
      </c>
      <c r="B1132" s="1" t="s">
        <v>1444</v>
      </c>
      <c r="C1132" s="1"/>
      <c r="D1132" s="1"/>
      <c r="E1132" s="1"/>
      <c r="F1132" s="1"/>
      <c r="G1132" s="1"/>
      <c r="H1132" s="1" t="str">
        <f>"3337871330262"</f>
        <v>3337871330262</v>
      </c>
      <c r="I1132" s="3">
        <v>5</v>
      </c>
      <c r="J1132" s="3">
        <v>0</v>
      </c>
      <c r="K1132" s="3">
        <v>16000</v>
      </c>
    </row>
    <row r="1133" spans="1:11" x14ac:dyDescent="0.2">
      <c r="A1133" s="1" t="s">
        <v>4994</v>
      </c>
      <c r="B1133" s="1" t="s">
        <v>1445</v>
      </c>
      <c r="C1133" s="1"/>
      <c r="D1133" s="1"/>
      <c r="E1133" s="1"/>
      <c r="F1133" s="1"/>
      <c r="G1133" s="1"/>
      <c r="H1133" s="1" t="str">
        <f>"3337871331290"</f>
        <v>3337871331290</v>
      </c>
      <c r="I1133" s="3">
        <v>0</v>
      </c>
      <c r="J1133" s="3">
        <v>0</v>
      </c>
      <c r="K1133" s="3">
        <v>21000</v>
      </c>
    </row>
    <row r="1134" spans="1:11" x14ac:dyDescent="0.2">
      <c r="A1134" s="1" t="s">
        <v>4994</v>
      </c>
      <c r="B1134" s="1" t="s">
        <v>1446</v>
      </c>
      <c r="C1134" s="1"/>
      <c r="D1134" s="1"/>
      <c r="E1134" s="1"/>
      <c r="F1134" s="1"/>
      <c r="G1134" s="1"/>
      <c r="H1134" s="1" t="str">
        <f>"3337871311292"</f>
        <v>3337871311292</v>
      </c>
      <c r="I1134" s="3">
        <v>0</v>
      </c>
      <c r="J1134" s="3">
        <v>0</v>
      </c>
      <c r="K1134" s="3">
        <v>17000</v>
      </c>
    </row>
    <row r="1135" spans="1:11" x14ac:dyDescent="0.2">
      <c r="A1135" s="1" t="s">
        <v>4994</v>
      </c>
      <c r="B1135" s="1" t="s">
        <v>1447</v>
      </c>
      <c r="C1135" s="1"/>
      <c r="D1135" s="1"/>
      <c r="E1135" s="1"/>
      <c r="F1135" s="1"/>
      <c r="G1135" s="1"/>
      <c r="H1135" s="1" t="str">
        <f>"7800059002559"</f>
        <v>7800059002559</v>
      </c>
      <c r="I1135" s="3">
        <v>0</v>
      </c>
      <c r="J1135" s="3">
        <v>0</v>
      </c>
      <c r="K1135" s="3">
        <v>18000</v>
      </c>
    </row>
    <row r="1136" spans="1:11" x14ac:dyDescent="0.2">
      <c r="A1136" s="1" t="s">
        <v>4994</v>
      </c>
      <c r="B1136" s="1" t="s">
        <v>1448</v>
      </c>
      <c r="C1136" s="1"/>
      <c r="D1136" s="1"/>
      <c r="E1136" s="1"/>
      <c r="F1136" s="1"/>
      <c r="G1136" s="1"/>
      <c r="H1136" s="1" t="str">
        <f>"7800038042392"</f>
        <v>7800038042392</v>
      </c>
      <c r="I1136" s="3">
        <v>0</v>
      </c>
      <c r="J1136" s="3">
        <v>0</v>
      </c>
      <c r="K1136" s="3">
        <v>9500</v>
      </c>
    </row>
    <row r="1137" spans="1:11" x14ac:dyDescent="0.2">
      <c r="A1137" s="1" t="s">
        <v>4994</v>
      </c>
      <c r="B1137" s="1" t="s">
        <v>1452</v>
      </c>
      <c r="C1137" s="1"/>
      <c r="D1137" s="1"/>
      <c r="E1137" s="1"/>
      <c r="F1137" s="1"/>
      <c r="G1137" s="1"/>
      <c r="H1137" s="1" t="str">
        <f>"7804945015265"</f>
        <v>7804945015265</v>
      </c>
      <c r="I1137" s="3">
        <v>2</v>
      </c>
      <c r="J1137" s="3">
        <v>0</v>
      </c>
      <c r="K1137" s="3">
        <v>8500</v>
      </c>
    </row>
    <row r="1138" spans="1:11" x14ac:dyDescent="0.2">
      <c r="A1138" s="1" t="s">
        <v>4994</v>
      </c>
      <c r="B1138" s="1" t="s">
        <v>1453</v>
      </c>
      <c r="C1138" s="1"/>
      <c r="D1138" s="1"/>
      <c r="E1138" s="1"/>
      <c r="F1138" s="1"/>
      <c r="G1138" s="1"/>
      <c r="H1138" s="1" t="str">
        <f>"7804945015289"</f>
        <v>7804945015289</v>
      </c>
      <c r="I1138" s="3">
        <v>0</v>
      </c>
      <c r="J1138" s="3">
        <v>0</v>
      </c>
      <c r="K1138" s="3">
        <v>6000</v>
      </c>
    </row>
    <row r="1139" spans="1:11" x14ac:dyDescent="0.2">
      <c r="A1139" s="1" t="s">
        <v>4994</v>
      </c>
      <c r="B1139" s="1" t="s">
        <v>1454</v>
      </c>
      <c r="C1139" s="1"/>
      <c r="D1139" s="1"/>
      <c r="E1139" s="1"/>
      <c r="F1139" s="1"/>
      <c r="G1139" s="1"/>
      <c r="H1139" s="1" t="str">
        <f>"7804945015456"</f>
        <v>7804945015456</v>
      </c>
      <c r="I1139" s="3">
        <v>0</v>
      </c>
      <c r="J1139" s="3">
        <v>0</v>
      </c>
      <c r="K1139" s="3">
        <v>8000</v>
      </c>
    </row>
    <row r="1140" spans="1:11" x14ac:dyDescent="0.2">
      <c r="A1140" s="1" t="s">
        <v>4994</v>
      </c>
      <c r="B1140" s="1" t="s">
        <v>1455</v>
      </c>
      <c r="C1140" s="1"/>
      <c r="D1140" s="1"/>
      <c r="E1140" s="1"/>
      <c r="F1140" s="1"/>
      <c r="G1140" s="1"/>
      <c r="H1140" s="1" t="str">
        <f>"76046213033219"</f>
        <v>76046213033219</v>
      </c>
      <c r="I1140" s="3">
        <v>2</v>
      </c>
      <c r="J1140" s="3">
        <v>0</v>
      </c>
      <c r="K1140" s="3">
        <v>23000</v>
      </c>
    </row>
    <row r="1141" spans="1:11" x14ac:dyDescent="0.2">
      <c r="A1141" s="1" t="s">
        <v>4994</v>
      </c>
      <c r="B1141" s="1" t="s">
        <v>1456</v>
      </c>
      <c r="C1141" s="1"/>
      <c r="D1141" s="1"/>
      <c r="E1141" s="1"/>
      <c r="F1141" s="1"/>
      <c r="G1141" s="1"/>
      <c r="H1141" s="1" t="str">
        <f>"7809591400069"</f>
        <v>7809591400069</v>
      </c>
      <c r="I1141" s="3">
        <v>1</v>
      </c>
      <c r="J1141" s="3">
        <v>0</v>
      </c>
      <c r="K1141" s="3">
        <v>24000</v>
      </c>
    </row>
    <row r="1142" spans="1:11" x14ac:dyDescent="0.2">
      <c r="A1142" s="1" t="s">
        <v>4994</v>
      </c>
      <c r="B1142" s="1" t="s">
        <v>1457</v>
      </c>
      <c r="C1142" s="1"/>
      <c r="D1142" s="1"/>
      <c r="E1142" s="1"/>
      <c r="F1142" s="1"/>
      <c r="G1142" s="1"/>
      <c r="H1142" s="1" t="str">
        <f>"7809591400052"</f>
        <v>7809591400052</v>
      </c>
      <c r="I1142" s="3">
        <v>0</v>
      </c>
      <c r="J1142" s="3">
        <v>0</v>
      </c>
      <c r="K1142" s="3">
        <v>30000</v>
      </c>
    </row>
    <row r="1143" spans="1:11" x14ac:dyDescent="0.2">
      <c r="A1143" s="1" t="s">
        <v>4994</v>
      </c>
      <c r="B1143" s="1" t="s">
        <v>1458</v>
      </c>
      <c r="C1143" s="1"/>
      <c r="D1143" s="1"/>
      <c r="E1143" s="1"/>
      <c r="F1143" s="1"/>
      <c r="G1143" s="1"/>
      <c r="H1143" s="1" t="str">
        <f>"7809591400076"</f>
        <v>7809591400076</v>
      </c>
      <c r="I1143" s="3">
        <v>3</v>
      </c>
      <c r="J1143" s="3">
        <v>0</v>
      </c>
      <c r="K1143" s="3">
        <v>23000</v>
      </c>
    </row>
    <row r="1144" spans="1:11" x14ac:dyDescent="0.2">
      <c r="A1144" s="1" t="s">
        <v>4994</v>
      </c>
      <c r="B1144" s="1" t="s">
        <v>1459</v>
      </c>
      <c r="C1144" s="1"/>
      <c r="D1144" s="1"/>
      <c r="E1144" s="1"/>
      <c r="F1144" s="1"/>
      <c r="G1144" s="1"/>
      <c r="H1144" s="1" t="str">
        <f>"7800060116917"</f>
        <v>7800060116917</v>
      </c>
      <c r="I1144" s="3">
        <v>2</v>
      </c>
      <c r="J1144" s="3">
        <v>0</v>
      </c>
      <c r="K1144" s="3">
        <v>17500</v>
      </c>
    </row>
    <row r="1145" spans="1:11" x14ac:dyDescent="0.2">
      <c r="A1145" s="1" t="s">
        <v>4994</v>
      </c>
      <c r="B1145" s="1" t="s">
        <v>1460</v>
      </c>
      <c r="C1145" s="1"/>
      <c r="D1145" s="1"/>
      <c r="E1145" s="1"/>
      <c r="F1145" s="1"/>
      <c r="G1145" s="1"/>
      <c r="H1145" s="1" t="str">
        <f>"7800029000851"</f>
        <v>7800029000851</v>
      </c>
      <c r="I1145" s="3">
        <v>0</v>
      </c>
      <c r="J1145" s="3">
        <v>0</v>
      </c>
      <c r="K1145" s="3">
        <v>32000</v>
      </c>
    </row>
    <row r="1146" spans="1:11" x14ac:dyDescent="0.2">
      <c r="A1146" s="1" t="s">
        <v>4994</v>
      </c>
      <c r="B1146" s="1" t="s">
        <v>1461</v>
      </c>
      <c r="C1146" s="1"/>
      <c r="D1146" s="1"/>
      <c r="E1146" s="1"/>
      <c r="F1146" s="1"/>
      <c r="G1146" s="1"/>
      <c r="H1146" s="1" t="str">
        <f>"7800029000868"</f>
        <v>7800029000868</v>
      </c>
      <c r="I1146" s="3">
        <v>0</v>
      </c>
      <c r="J1146" s="3">
        <v>0</v>
      </c>
      <c r="K1146" s="3">
        <v>30000</v>
      </c>
    </row>
    <row r="1147" spans="1:11" x14ac:dyDescent="0.2">
      <c r="A1147" s="1" t="s">
        <v>4994</v>
      </c>
      <c r="B1147" s="1" t="s">
        <v>1462</v>
      </c>
      <c r="C1147" s="1"/>
      <c r="D1147" s="1"/>
      <c r="E1147" s="1"/>
      <c r="F1147" s="1"/>
      <c r="G1147" s="1"/>
      <c r="H1147" s="1" t="str">
        <f>"7800030078405"</f>
        <v>7800030078405</v>
      </c>
      <c r="I1147" s="3">
        <v>0</v>
      </c>
      <c r="J1147" s="3">
        <v>0</v>
      </c>
      <c r="K1147" s="3">
        <v>30000</v>
      </c>
    </row>
    <row r="1148" spans="1:11" x14ac:dyDescent="0.2">
      <c r="A1148" s="1" t="s">
        <v>4994</v>
      </c>
      <c r="B1148" s="1" t="s">
        <v>1463</v>
      </c>
      <c r="C1148" s="1"/>
      <c r="D1148" s="1"/>
      <c r="E1148" s="1"/>
      <c r="F1148" s="1"/>
      <c r="G1148" s="1"/>
      <c r="H1148" s="1" t="str">
        <f>"7791293048529"</f>
        <v>7791293048529</v>
      </c>
      <c r="I1148" s="3">
        <v>8</v>
      </c>
      <c r="J1148" s="3">
        <v>0</v>
      </c>
      <c r="K1148" s="3">
        <v>2000</v>
      </c>
    </row>
    <row r="1149" spans="1:11" x14ac:dyDescent="0.2">
      <c r="A1149" s="1" t="s">
        <v>4994</v>
      </c>
      <c r="B1149" s="1" t="s">
        <v>1464</v>
      </c>
      <c r="C1149" s="1"/>
      <c r="D1149" s="1"/>
      <c r="E1149" s="1"/>
      <c r="F1149" s="1"/>
      <c r="G1149" s="1"/>
      <c r="H1149" s="1" t="str">
        <f>"7800046005556"</f>
        <v>7800046005556</v>
      </c>
      <c r="I1149" s="3">
        <v>0</v>
      </c>
      <c r="J1149" s="3">
        <v>0</v>
      </c>
      <c r="K1149" s="3">
        <v>4500</v>
      </c>
    </row>
    <row r="1150" spans="1:11" x14ac:dyDescent="0.2">
      <c r="A1150" s="1" t="s">
        <v>4994</v>
      </c>
      <c r="B1150" s="1" t="s">
        <v>1465</v>
      </c>
      <c r="C1150" s="1"/>
      <c r="D1150" s="1"/>
      <c r="E1150" s="1"/>
      <c r="F1150" s="1"/>
      <c r="G1150" s="1"/>
      <c r="H1150" s="1" t="str">
        <f>"7792183000856"</f>
        <v>7792183000856</v>
      </c>
      <c r="I1150" s="3">
        <v>0</v>
      </c>
      <c r="J1150" s="3">
        <v>0</v>
      </c>
      <c r="K1150" s="3">
        <v>18000</v>
      </c>
    </row>
    <row r="1151" spans="1:11" x14ac:dyDescent="0.2">
      <c r="A1151" s="1" t="s">
        <v>4994</v>
      </c>
      <c r="B1151" s="1" t="s">
        <v>1466</v>
      </c>
      <c r="C1151" s="1"/>
      <c r="D1151" s="1"/>
      <c r="E1151" s="1"/>
      <c r="F1151" s="1"/>
      <c r="G1151" s="1"/>
      <c r="H1151" s="1" t="str">
        <f>"7792183001846"</f>
        <v>7792183001846</v>
      </c>
      <c r="I1151" s="3">
        <v>0</v>
      </c>
      <c r="J1151" s="3">
        <v>0</v>
      </c>
      <c r="K1151" s="3">
        <v>21000</v>
      </c>
    </row>
    <row r="1152" spans="1:11" x14ac:dyDescent="0.2">
      <c r="A1152" s="1" t="s">
        <v>4994</v>
      </c>
      <c r="B1152" s="1" t="s">
        <v>1470</v>
      </c>
      <c r="C1152" s="1"/>
      <c r="D1152" s="1"/>
      <c r="E1152" s="1"/>
      <c r="F1152" s="1"/>
      <c r="G1152" s="1"/>
      <c r="H1152" s="1" t="str">
        <f>"7804650885467"</f>
        <v>7804650885467</v>
      </c>
      <c r="I1152" s="3">
        <v>0</v>
      </c>
      <c r="J1152" s="3">
        <v>0</v>
      </c>
      <c r="K1152" s="3">
        <v>2000</v>
      </c>
    </row>
    <row r="1153" spans="1:11" x14ac:dyDescent="0.2">
      <c r="A1153" s="1" t="s">
        <v>4994</v>
      </c>
      <c r="B1153" s="1" t="s">
        <v>1471</v>
      </c>
      <c r="C1153" s="1"/>
      <c r="D1153" s="1"/>
      <c r="E1153" s="1"/>
      <c r="F1153" s="1"/>
      <c r="G1153" s="1"/>
      <c r="H1153" s="1" t="str">
        <f>"7804918500927"</f>
        <v>7804918500927</v>
      </c>
      <c r="I1153" s="3">
        <v>0</v>
      </c>
      <c r="J1153" s="3">
        <v>0</v>
      </c>
      <c r="K1153" s="3">
        <v>2000</v>
      </c>
    </row>
    <row r="1154" spans="1:11" x14ac:dyDescent="0.2">
      <c r="A1154" s="1" t="s">
        <v>4994</v>
      </c>
      <c r="B1154" s="1" t="s">
        <v>1473</v>
      </c>
      <c r="C1154" s="1"/>
      <c r="D1154" s="1"/>
      <c r="E1154" s="1"/>
      <c r="F1154" s="1"/>
      <c r="G1154" s="1"/>
      <c r="H1154" s="1" t="str">
        <f>"7804907991026"</f>
        <v>7804907991026</v>
      </c>
      <c r="I1154" s="3">
        <v>0</v>
      </c>
      <c r="J1154" s="3">
        <v>0</v>
      </c>
      <c r="K1154" s="3">
        <v>5000</v>
      </c>
    </row>
    <row r="1155" spans="1:11" x14ac:dyDescent="0.2">
      <c r="A1155" s="1" t="s">
        <v>4994</v>
      </c>
      <c r="B1155" s="1" t="s">
        <v>1474</v>
      </c>
      <c r="C1155" s="1"/>
      <c r="D1155" s="1"/>
      <c r="E1155" s="1"/>
      <c r="F1155" s="1"/>
      <c r="G1155" s="1"/>
      <c r="H1155" s="1" t="str">
        <f>"3614225800917"</f>
        <v>3614225800917</v>
      </c>
      <c r="I1155" s="3">
        <v>0</v>
      </c>
      <c r="J1155" s="3">
        <v>0</v>
      </c>
      <c r="K1155" s="3">
        <v>4000</v>
      </c>
    </row>
    <row r="1156" spans="1:11" x14ac:dyDescent="0.2">
      <c r="A1156" s="1" t="s">
        <v>4994</v>
      </c>
      <c r="B1156" s="1" t="s">
        <v>1475</v>
      </c>
      <c r="C1156" s="1"/>
      <c r="D1156" s="1"/>
      <c r="E1156" s="1"/>
      <c r="F1156" s="1"/>
      <c r="G1156" s="1"/>
      <c r="H1156" s="1" t="str">
        <f>"7804900630526"</f>
        <v>7804900630526</v>
      </c>
      <c r="I1156" s="3">
        <v>0</v>
      </c>
      <c r="J1156" s="3">
        <v>0</v>
      </c>
      <c r="K1156" s="3">
        <v>6500</v>
      </c>
    </row>
    <row r="1157" spans="1:11" x14ac:dyDescent="0.2">
      <c r="A1157" s="1" t="s">
        <v>4994</v>
      </c>
      <c r="B1157" s="1" t="s">
        <v>1476</v>
      </c>
      <c r="C1157" s="1"/>
      <c r="D1157" s="1"/>
      <c r="E1157" s="1"/>
      <c r="F1157" s="1"/>
      <c r="G1157" s="1"/>
      <c r="H1157" s="1" t="str">
        <f>"7791293043821"</f>
        <v>7791293043821</v>
      </c>
      <c r="I1157" s="3">
        <v>15</v>
      </c>
      <c r="J1157" s="3">
        <v>0</v>
      </c>
      <c r="K1157" s="3">
        <v>2000</v>
      </c>
    </row>
    <row r="1158" spans="1:11" x14ac:dyDescent="0.2">
      <c r="A1158" s="1" t="s">
        <v>4994</v>
      </c>
      <c r="B1158" s="1" t="s">
        <v>1477</v>
      </c>
      <c r="C1158" s="1"/>
      <c r="D1158" s="1"/>
      <c r="E1158" s="1"/>
      <c r="F1158" s="1"/>
      <c r="G1158" s="1"/>
      <c r="H1158" s="1" t="str">
        <f>"7506339390230"</f>
        <v>7506339390230</v>
      </c>
      <c r="I1158" s="3">
        <v>0</v>
      </c>
      <c r="J1158" s="3">
        <v>0</v>
      </c>
      <c r="K1158" s="3">
        <v>2500</v>
      </c>
    </row>
    <row r="1159" spans="1:11" x14ac:dyDescent="0.2">
      <c r="A1159" s="1" t="s">
        <v>4994</v>
      </c>
      <c r="B1159" s="1" t="s">
        <v>1478</v>
      </c>
      <c r="C1159" s="1"/>
      <c r="D1159" s="1"/>
      <c r="E1159" s="1"/>
      <c r="F1159" s="1"/>
      <c r="G1159" s="1"/>
      <c r="H1159" s="1" t="str">
        <f>"7804900632452"</f>
        <v>7804900632452</v>
      </c>
      <c r="I1159" s="3">
        <v>21</v>
      </c>
      <c r="J1159" s="3">
        <v>0</v>
      </c>
      <c r="K1159" s="3">
        <v>3500</v>
      </c>
    </row>
    <row r="1160" spans="1:11" x14ac:dyDescent="0.2">
      <c r="A1160" s="1" t="s">
        <v>4994</v>
      </c>
      <c r="B1160" s="1" t="s">
        <v>1479</v>
      </c>
      <c r="C1160" s="1"/>
      <c r="D1160" s="1"/>
      <c r="E1160" s="1"/>
      <c r="F1160" s="1"/>
      <c r="G1160" s="1"/>
      <c r="H1160" s="1" t="str">
        <f>"75062842"</f>
        <v>75062842</v>
      </c>
      <c r="I1160" s="3">
        <v>2</v>
      </c>
      <c r="J1160" s="3">
        <v>0</v>
      </c>
      <c r="K1160" s="3">
        <v>3000</v>
      </c>
    </row>
    <row r="1161" spans="1:11" x14ac:dyDescent="0.2">
      <c r="A1161" s="1" t="s">
        <v>4994</v>
      </c>
      <c r="B1161" s="1" t="s">
        <v>1480</v>
      </c>
      <c r="C1161" s="1"/>
      <c r="D1161" s="1"/>
      <c r="E1161" s="1"/>
      <c r="F1161" s="1"/>
      <c r="G1161" s="1"/>
      <c r="H1161" s="1" t="str">
        <f>"78927254"</f>
        <v>78927254</v>
      </c>
      <c r="I1161" s="3">
        <v>0</v>
      </c>
      <c r="J1161" s="3">
        <v>0</v>
      </c>
      <c r="K1161" s="3">
        <v>2500</v>
      </c>
    </row>
    <row r="1162" spans="1:11" x14ac:dyDescent="0.2">
      <c r="A1162" s="1" t="s">
        <v>4994</v>
      </c>
      <c r="B1162" s="1" t="s">
        <v>1481</v>
      </c>
      <c r="C1162" s="1"/>
      <c r="D1162" s="1"/>
      <c r="E1162" s="1"/>
      <c r="F1162" s="1"/>
      <c r="G1162" s="1"/>
      <c r="H1162" s="1" t="str">
        <f>"7804969171473"</f>
        <v>7804969171473</v>
      </c>
      <c r="I1162" s="3">
        <v>0</v>
      </c>
      <c r="J1162" s="3">
        <v>0</v>
      </c>
      <c r="K1162" s="3">
        <v>4500</v>
      </c>
    </row>
    <row r="1163" spans="1:11" x14ac:dyDescent="0.2">
      <c r="A1163" s="1" t="s">
        <v>4994</v>
      </c>
      <c r="B1163" s="1" t="s">
        <v>1482</v>
      </c>
      <c r="C1163" s="1"/>
      <c r="D1163" s="1"/>
      <c r="E1163" s="1"/>
      <c r="F1163" s="1"/>
      <c r="G1163" s="1"/>
      <c r="H1163" s="1" t="str">
        <f>"4005808307326"</f>
        <v>4005808307326</v>
      </c>
      <c r="I1163" s="3">
        <v>0</v>
      </c>
      <c r="J1163" s="3">
        <v>0</v>
      </c>
      <c r="K1163" s="3">
        <v>2500</v>
      </c>
    </row>
    <row r="1164" spans="1:11" x14ac:dyDescent="0.2">
      <c r="A1164" s="1" t="s">
        <v>4994</v>
      </c>
      <c r="B1164" s="1" t="s">
        <v>1483</v>
      </c>
      <c r="C1164" s="1"/>
      <c r="D1164" s="1"/>
      <c r="E1164" s="1"/>
      <c r="F1164" s="1"/>
      <c r="G1164" s="1"/>
      <c r="H1164" s="1" t="str">
        <f>"4005808305964"</f>
        <v>4005808305964</v>
      </c>
      <c r="I1164" s="3">
        <v>0</v>
      </c>
      <c r="J1164" s="3">
        <v>0</v>
      </c>
      <c r="K1164" s="3">
        <v>2500</v>
      </c>
    </row>
    <row r="1165" spans="1:11" x14ac:dyDescent="0.2">
      <c r="A1165" s="1" t="s">
        <v>4994</v>
      </c>
      <c r="B1165" s="1" t="s">
        <v>1484</v>
      </c>
      <c r="C1165" s="1"/>
      <c r="D1165" s="1"/>
      <c r="E1165" s="1"/>
      <c r="F1165" s="1"/>
      <c r="G1165" s="1"/>
      <c r="H1165" s="1" t="str">
        <f>"7506339349023"</f>
        <v>7506339349023</v>
      </c>
      <c r="I1165" s="3">
        <v>0</v>
      </c>
      <c r="J1165" s="3">
        <v>0</v>
      </c>
      <c r="K1165" s="3">
        <v>2500</v>
      </c>
    </row>
    <row r="1166" spans="1:11" x14ac:dyDescent="0.2">
      <c r="A1166" s="1" t="s">
        <v>4994</v>
      </c>
      <c r="B1166" s="1" t="s">
        <v>1485</v>
      </c>
      <c r="C1166" s="1"/>
      <c r="D1166" s="1"/>
      <c r="E1166" s="1"/>
      <c r="F1166" s="1"/>
      <c r="G1166" s="1"/>
      <c r="H1166" s="1" t="str">
        <f>"7506339349047"</f>
        <v>7506339349047</v>
      </c>
      <c r="I1166" s="3">
        <v>0</v>
      </c>
      <c r="J1166" s="3">
        <v>0</v>
      </c>
      <c r="K1166" s="3">
        <v>2500</v>
      </c>
    </row>
    <row r="1167" spans="1:11" x14ac:dyDescent="0.2">
      <c r="A1167" s="1" t="s">
        <v>4994</v>
      </c>
      <c r="B1167" s="1" t="s">
        <v>1486</v>
      </c>
      <c r="C1167" s="1"/>
      <c r="D1167" s="1"/>
      <c r="E1167" s="1"/>
      <c r="F1167" s="1"/>
      <c r="G1167" s="1"/>
      <c r="H1167" s="1" t="str">
        <f>"7506339390278"</f>
        <v>7506339390278</v>
      </c>
      <c r="I1167" s="3">
        <v>0</v>
      </c>
      <c r="J1167" s="3">
        <v>0</v>
      </c>
      <c r="K1167" s="3">
        <v>2500</v>
      </c>
    </row>
    <row r="1168" spans="1:11" x14ac:dyDescent="0.2">
      <c r="A1168" s="1" t="s">
        <v>4994</v>
      </c>
      <c r="B1168" s="1" t="s">
        <v>1487</v>
      </c>
      <c r="C1168" s="1"/>
      <c r="D1168" s="1"/>
      <c r="E1168" s="1"/>
      <c r="F1168" s="1"/>
      <c r="G1168" s="1"/>
      <c r="H1168" s="1" t="str">
        <f>"7804902031994"</f>
        <v>7804902031994</v>
      </c>
      <c r="I1168" s="3">
        <v>6</v>
      </c>
      <c r="J1168" s="3">
        <v>0</v>
      </c>
      <c r="K1168" s="3">
        <v>5500</v>
      </c>
    </row>
    <row r="1169" spans="1:11" x14ac:dyDescent="0.2">
      <c r="A1169" s="1" t="s">
        <v>4994</v>
      </c>
      <c r="B1169" s="1" t="s">
        <v>1488</v>
      </c>
      <c r="C1169" s="1"/>
      <c r="D1169" s="1"/>
      <c r="E1169" s="1"/>
      <c r="F1169" s="1"/>
      <c r="G1169" s="1"/>
      <c r="H1169" s="1" t="str">
        <f>"7804969151192"</f>
        <v>7804969151192</v>
      </c>
      <c r="I1169" s="3">
        <v>0</v>
      </c>
      <c r="J1169" s="3">
        <v>0</v>
      </c>
      <c r="K1169" s="3">
        <v>6000</v>
      </c>
    </row>
    <row r="1170" spans="1:11" x14ac:dyDescent="0.2">
      <c r="A1170" s="1" t="s">
        <v>4994</v>
      </c>
      <c r="B1170" s="1" t="s">
        <v>1489</v>
      </c>
      <c r="C1170" s="1"/>
      <c r="D1170" s="1"/>
      <c r="E1170" s="1"/>
      <c r="F1170" s="1"/>
      <c r="G1170" s="1"/>
      <c r="H1170" s="1" t="str">
        <f>"7791293043814"</f>
        <v>7791293043814</v>
      </c>
      <c r="I1170" s="3">
        <v>26</v>
      </c>
      <c r="J1170" s="3">
        <v>0</v>
      </c>
      <c r="K1170" s="3">
        <v>2000</v>
      </c>
    </row>
    <row r="1171" spans="1:11" x14ac:dyDescent="0.2">
      <c r="A1171" s="1" t="s">
        <v>4994</v>
      </c>
      <c r="B1171" s="1" t="s">
        <v>1490</v>
      </c>
      <c r="C1171" s="1"/>
      <c r="D1171" s="1"/>
      <c r="E1171" s="1"/>
      <c r="F1171" s="1"/>
      <c r="G1171" s="1"/>
      <c r="H1171" s="1" t="str">
        <f>"7791293042718"</f>
        <v>7791293042718</v>
      </c>
      <c r="I1171" s="3">
        <v>47</v>
      </c>
      <c r="J1171" s="3">
        <v>0</v>
      </c>
      <c r="K1171" s="3">
        <v>2000</v>
      </c>
    </row>
    <row r="1172" spans="1:11" x14ac:dyDescent="0.2">
      <c r="A1172" s="1" t="s">
        <v>4994</v>
      </c>
      <c r="B1172" s="1" t="s">
        <v>1491</v>
      </c>
      <c r="C1172" s="1"/>
      <c r="D1172" s="1"/>
      <c r="E1172" s="1"/>
      <c r="F1172" s="1"/>
      <c r="G1172" s="1"/>
      <c r="H1172" s="1" t="str">
        <f>"4005900515865"</f>
        <v>4005900515865</v>
      </c>
      <c r="I1172" s="3">
        <v>3</v>
      </c>
      <c r="J1172" s="3">
        <v>0</v>
      </c>
      <c r="K1172" s="3">
        <v>2500</v>
      </c>
    </row>
    <row r="1173" spans="1:11" x14ac:dyDescent="0.2">
      <c r="A1173" s="1" t="s">
        <v>4994</v>
      </c>
      <c r="B1173" s="1" t="s">
        <v>1492</v>
      </c>
      <c r="C1173" s="1"/>
      <c r="D1173" s="1"/>
      <c r="E1173" s="1"/>
      <c r="F1173" s="1"/>
      <c r="G1173" s="1"/>
      <c r="H1173" s="1" t="str">
        <f>"4005808715695"</f>
        <v>4005808715695</v>
      </c>
      <c r="I1173" s="3">
        <v>0</v>
      </c>
      <c r="J1173" s="3">
        <v>0</v>
      </c>
      <c r="K1173" s="3">
        <v>4300</v>
      </c>
    </row>
    <row r="1174" spans="1:11" x14ac:dyDescent="0.2">
      <c r="A1174" s="1" t="s">
        <v>4994</v>
      </c>
      <c r="B1174" s="1" t="s">
        <v>1495</v>
      </c>
      <c r="C1174" s="1"/>
      <c r="D1174" s="1"/>
      <c r="E1174" s="1"/>
      <c r="F1174" s="1"/>
      <c r="G1174" s="1"/>
      <c r="H1174" s="1" t="str">
        <f>"7460536562589"</f>
        <v>7460536562589</v>
      </c>
      <c r="I1174" s="3">
        <v>0</v>
      </c>
      <c r="J1174" s="3">
        <v>0</v>
      </c>
      <c r="K1174" s="3">
        <v>5000</v>
      </c>
    </row>
    <row r="1175" spans="1:11" x14ac:dyDescent="0.2">
      <c r="A1175" s="1" t="s">
        <v>4994</v>
      </c>
      <c r="B1175" s="1" t="s">
        <v>1496</v>
      </c>
      <c r="C1175" s="1"/>
      <c r="D1175" s="1"/>
      <c r="E1175" s="1"/>
      <c r="F1175" s="1"/>
      <c r="G1175" s="1"/>
      <c r="H1175" s="1" t="str">
        <f>"7460536559053"</f>
        <v>7460536559053</v>
      </c>
      <c r="I1175" s="3">
        <v>16</v>
      </c>
      <c r="J1175" s="3">
        <v>0</v>
      </c>
      <c r="K1175" s="3">
        <v>15000</v>
      </c>
    </row>
    <row r="1176" spans="1:11" x14ac:dyDescent="0.2">
      <c r="A1176" s="1" t="s">
        <v>4994</v>
      </c>
      <c r="B1176" s="1" t="s">
        <v>1497</v>
      </c>
      <c r="C1176" s="1"/>
      <c r="D1176" s="1"/>
      <c r="E1176" s="1"/>
      <c r="F1176" s="1"/>
      <c r="G1176" s="1"/>
      <c r="H1176" s="1" t="str">
        <f>"7800046004801"</f>
        <v>7800046004801</v>
      </c>
      <c r="I1176" s="3">
        <v>0</v>
      </c>
      <c r="J1176" s="3">
        <v>0</v>
      </c>
      <c r="K1176" s="3">
        <v>4165</v>
      </c>
    </row>
    <row r="1177" spans="1:11" x14ac:dyDescent="0.2">
      <c r="A1177" s="1" t="s">
        <v>4994</v>
      </c>
      <c r="B1177" s="1" t="s">
        <v>1498</v>
      </c>
      <c r="C1177" s="1"/>
      <c r="D1177" s="1"/>
      <c r="E1177" s="1"/>
      <c r="F1177" s="1"/>
      <c r="G1177" s="1"/>
      <c r="H1177" s="1" t="str">
        <f>"7800050002954"</f>
        <v>7800050002954</v>
      </c>
      <c r="I1177" s="3">
        <v>0</v>
      </c>
      <c r="J1177" s="3">
        <v>0</v>
      </c>
      <c r="K1177" s="3">
        <v>4000</v>
      </c>
    </row>
    <row r="1178" spans="1:11" x14ac:dyDescent="0.2">
      <c r="A1178" s="1" t="s">
        <v>4994</v>
      </c>
      <c r="B1178" s="1" t="s">
        <v>1499</v>
      </c>
      <c r="C1178" s="1"/>
      <c r="D1178" s="1"/>
      <c r="E1178" s="1"/>
      <c r="F1178" s="1"/>
      <c r="G1178" s="1"/>
      <c r="H1178" s="1" t="str">
        <f>"7800023226103"</f>
        <v>7800023226103</v>
      </c>
      <c r="I1178" s="3">
        <v>6</v>
      </c>
      <c r="J1178" s="3">
        <v>0</v>
      </c>
      <c r="K1178" s="3">
        <v>2000</v>
      </c>
    </row>
    <row r="1179" spans="1:11" x14ac:dyDescent="0.2">
      <c r="A1179" s="1" t="s">
        <v>4994</v>
      </c>
      <c r="B1179" s="1" t="s">
        <v>1500</v>
      </c>
      <c r="C1179" s="1"/>
      <c r="D1179" s="1"/>
      <c r="E1179" s="1"/>
      <c r="F1179" s="1"/>
      <c r="G1179" s="1"/>
      <c r="H1179" s="1" t="str">
        <f>"7800057261033"</f>
        <v>7800057261033</v>
      </c>
      <c r="I1179" s="3">
        <v>6</v>
      </c>
      <c r="J1179" s="3">
        <v>0</v>
      </c>
      <c r="K1179" s="3">
        <v>2500</v>
      </c>
    </row>
    <row r="1180" spans="1:11" x14ac:dyDescent="0.2">
      <c r="A1180" s="1" t="s">
        <v>4994</v>
      </c>
      <c r="B1180" s="1" t="s">
        <v>1501</v>
      </c>
      <c r="C1180" s="1"/>
      <c r="D1180" s="1"/>
      <c r="E1180" s="1"/>
      <c r="F1180" s="1"/>
      <c r="G1180" s="1"/>
      <c r="H1180" s="1" t="str">
        <f>"7750307000489"</f>
        <v>7750307000489</v>
      </c>
      <c r="I1180" s="3">
        <v>0</v>
      </c>
      <c r="J1180" s="3">
        <v>0</v>
      </c>
      <c r="K1180" s="3">
        <v>1500</v>
      </c>
    </row>
    <row r="1181" spans="1:11" x14ac:dyDescent="0.2">
      <c r="A1181" s="1" t="s">
        <v>4994</v>
      </c>
      <c r="B1181" s="1" t="s">
        <v>1502</v>
      </c>
      <c r="C1181" s="1"/>
      <c r="D1181" s="1"/>
      <c r="E1181" s="1"/>
      <c r="F1181" s="1"/>
      <c r="G1181" s="1"/>
      <c r="H1181" s="1" t="str">
        <f>"7803504001329"</f>
        <v>7803504001329</v>
      </c>
      <c r="I1181" s="3">
        <v>0</v>
      </c>
      <c r="J1181" s="3">
        <v>0</v>
      </c>
      <c r="K1181" s="3">
        <v>8000</v>
      </c>
    </row>
    <row r="1182" spans="1:11" x14ac:dyDescent="0.2">
      <c r="A1182" s="1" t="s">
        <v>4994</v>
      </c>
      <c r="B1182" s="1" t="s">
        <v>1503</v>
      </c>
      <c r="C1182" s="1"/>
      <c r="D1182" s="1"/>
      <c r="E1182" s="1"/>
      <c r="F1182" s="1"/>
      <c r="G1182" s="1"/>
      <c r="H1182" s="1" t="str">
        <f>"7800018120096"</f>
        <v>7800018120096</v>
      </c>
      <c r="I1182" s="3">
        <v>5</v>
      </c>
      <c r="J1182" s="3">
        <v>0</v>
      </c>
      <c r="K1182" s="3">
        <v>2000</v>
      </c>
    </row>
    <row r="1183" spans="1:11" x14ac:dyDescent="0.2">
      <c r="A1183" s="1" t="s">
        <v>4994</v>
      </c>
      <c r="B1183" s="1" t="s">
        <v>1504</v>
      </c>
      <c r="C1183" s="1"/>
      <c r="D1183" s="1"/>
      <c r="E1183" s="1"/>
      <c r="F1183" s="1"/>
      <c r="G1183" s="1"/>
      <c r="H1183" s="1" t="str">
        <f>"7798140251910"</f>
        <v>7798140251910</v>
      </c>
      <c r="I1183" s="3">
        <v>0</v>
      </c>
      <c r="J1183" s="3">
        <v>0</v>
      </c>
      <c r="K1183" s="3">
        <v>10000</v>
      </c>
    </row>
    <row r="1184" spans="1:11" x14ac:dyDescent="0.2">
      <c r="A1184" s="1" t="s">
        <v>4994</v>
      </c>
      <c r="B1184" s="1" t="s">
        <v>1506</v>
      </c>
      <c r="C1184" s="1"/>
      <c r="D1184" s="1"/>
      <c r="E1184" s="1"/>
      <c r="F1184" s="1"/>
      <c r="G1184" s="1"/>
      <c r="H1184" s="1" t="str">
        <f>"7800060007635"</f>
        <v>7800060007635</v>
      </c>
      <c r="I1184" s="3">
        <v>14</v>
      </c>
      <c r="J1184" s="3">
        <v>0</v>
      </c>
      <c r="K1184" s="3">
        <v>6000</v>
      </c>
    </row>
    <row r="1185" spans="1:11" x14ac:dyDescent="0.2">
      <c r="A1185" s="1" t="s">
        <v>4994</v>
      </c>
      <c r="B1185" s="1" t="s">
        <v>1507</v>
      </c>
      <c r="C1185" s="1"/>
      <c r="D1185" s="1"/>
      <c r="E1185" s="1"/>
      <c r="F1185" s="1"/>
      <c r="G1185" s="1"/>
      <c r="H1185" s="1" t="str">
        <f>"7800006000737"</f>
        <v>7800006000737</v>
      </c>
      <c r="I1185" s="3">
        <v>43</v>
      </c>
      <c r="J1185" s="3">
        <v>0</v>
      </c>
      <c r="K1185" s="3">
        <v>11000</v>
      </c>
    </row>
    <row r="1186" spans="1:11" x14ac:dyDescent="0.2">
      <c r="A1186" s="1" t="s">
        <v>4994</v>
      </c>
      <c r="B1186" s="1" t="s">
        <v>1508</v>
      </c>
      <c r="C1186" s="1"/>
      <c r="D1186" s="1"/>
      <c r="E1186" s="1"/>
      <c r="F1186" s="1"/>
      <c r="G1186" s="1"/>
      <c r="H1186" s="1" t="str">
        <f>"7800004001514"</f>
        <v>7800004001514</v>
      </c>
      <c r="I1186" s="3">
        <v>0</v>
      </c>
      <c r="J1186" s="3">
        <v>0</v>
      </c>
      <c r="K1186" s="3">
        <v>11000</v>
      </c>
    </row>
    <row r="1187" spans="1:11" x14ac:dyDescent="0.2">
      <c r="A1187" s="1" t="s">
        <v>4994</v>
      </c>
      <c r="B1187" s="1" t="s">
        <v>1510</v>
      </c>
      <c r="C1187" s="1"/>
      <c r="D1187" s="1"/>
      <c r="E1187" s="1"/>
      <c r="F1187" s="1"/>
      <c r="G1187" s="1"/>
      <c r="H1187" s="1" t="str">
        <f>"7800007117977"</f>
        <v>7800007117977</v>
      </c>
      <c r="I1187" s="3">
        <v>9</v>
      </c>
      <c r="J1187" s="3">
        <v>0</v>
      </c>
      <c r="K1187" s="3">
        <v>1000</v>
      </c>
    </row>
    <row r="1188" spans="1:11" x14ac:dyDescent="0.2">
      <c r="A1188" s="1" t="s">
        <v>4994</v>
      </c>
      <c r="B1188" s="1" t="s">
        <v>1511</v>
      </c>
      <c r="C1188" s="1"/>
      <c r="D1188" s="1"/>
      <c r="E1188" s="1"/>
      <c r="F1188" s="1"/>
      <c r="G1188" s="1"/>
      <c r="H1188" s="1" t="str">
        <f>"7804610650272"</f>
        <v>7804610650272</v>
      </c>
      <c r="I1188" s="3">
        <v>0</v>
      </c>
      <c r="J1188" s="3">
        <v>0</v>
      </c>
      <c r="K1188" s="3">
        <v>14000</v>
      </c>
    </row>
    <row r="1189" spans="1:11" x14ac:dyDescent="0.2">
      <c r="A1189" s="1" t="s">
        <v>4994</v>
      </c>
      <c r="B1189" s="1" t="s">
        <v>1512</v>
      </c>
      <c r="C1189" s="1"/>
      <c r="D1189" s="1"/>
      <c r="E1189" s="1"/>
      <c r="F1189" s="1"/>
      <c r="G1189" s="1"/>
      <c r="H1189" s="1" t="str">
        <f>"XX10"</f>
        <v>XX10</v>
      </c>
      <c r="I1189" s="3">
        <v>0</v>
      </c>
      <c r="J1189" s="3">
        <v>0</v>
      </c>
      <c r="K1189" s="3">
        <v>12000</v>
      </c>
    </row>
    <row r="1190" spans="1:11" x14ac:dyDescent="0.2">
      <c r="A1190" s="1" t="s">
        <v>4994</v>
      </c>
      <c r="B1190" s="1" t="s">
        <v>1514</v>
      </c>
      <c r="C1190" s="1"/>
      <c r="D1190" s="1"/>
      <c r="E1190" s="1"/>
      <c r="F1190" s="1"/>
      <c r="G1190" s="1"/>
      <c r="H1190" s="1" t="str">
        <f>"7801000277743"</f>
        <v>7801000277743</v>
      </c>
      <c r="I1190" s="3">
        <v>0</v>
      </c>
      <c r="J1190" s="3">
        <v>0</v>
      </c>
      <c r="K1190" s="3">
        <v>3000</v>
      </c>
    </row>
    <row r="1191" spans="1:11" x14ac:dyDescent="0.2">
      <c r="A1191" s="1" t="s">
        <v>4994</v>
      </c>
      <c r="B1191" s="1" t="s">
        <v>1515</v>
      </c>
      <c r="C1191" s="1"/>
      <c r="D1191" s="1"/>
      <c r="E1191" s="1"/>
      <c r="F1191" s="1"/>
      <c r="G1191" s="1"/>
      <c r="H1191" s="1" t="str">
        <f>"7800061001229"</f>
        <v>7800061001229</v>
      </c>
      <c r="I1191" s="3">
        <v>0</v>
      </c>
      <c r="J1191" s="3">
        <v>0</v>
      </c>
      <c r="K1191" s="3">
        <v>3600</v>
      </c>
    </row>
    <row r="1192" spans="1:11" x14ac:dyDescent="0.2">
      <c r="A1192" s="1" t="s">
        <v>4994</v>
      </c>
      <c r="B1192" s="1" t="s">
        <v>1516</v>
      </c>
      <c r="C1192" s="1"/>
      <c r="D1192" s="1"/>
      <c r="E1192" s="1"/>
      <c r="F1192" s="1"/>
      <c r="G1192" s="1"/>
      <c r="H1192" s="1" t="str">
        <f>"7800046004894"</f>
        <v>7800046004894</v>
      </c>
      <c r="I1192" s="3">
        <v>0</v>
      </c>
      <c r="J1192" s="3">
        <v>0</v>
      </c>
      <c r="K1192" s="3">
        <v>3500</v>
      </c>
    </row>
    <row r="1193" spans="1:11" x14ac:dyDescent="0.2">
      <c r="A1193" s="1" t="s">
        <v>4994</v>
      </c>
      <c r="B1193" s="1" t="s">
        <v>1517</v>
      </c>
      <c r="C1193" s="1"/>
      <c r="D1193" s="1"/>
      <c r="E1193" s="1"/>
      <c r="F1193" s="1"/>
      <c r="G1193" s="1"/>
      <c r="H1193" s="1" t="str">
        <f>"7804620834549"</f>
        <v>7804620834549</v>
      </c>
      <c r="I1193" s="3">
        <v>26</v>
      </c>
      <c r="J1193" s="3">
        <v>0</v>
      </c>
      <c r="K1193" s="3">
        <v>1000</v>
      </c>
    </row>
    <row r="1194" spans="1:11" x14ac:dyDescent="0.2">
      <c r="A1194" s="1" t="s">
        <v>4994</v>
      </c>
      <c r="B1194" s="1" t="s">
        <v>1520</v>
      </c>
      <c r="C1194" s="1"/>
      <c r="D1194" s="1"/>
      <c r="E1194" s="1"/>
      <c r="F1194" s="1"/>
      <c r="G1194" s="1"/>
      <c r="H1194" s="1" t="str">
        <f>"7800007803757"</f>
        <v>7800007803757</v>
      </c>
      <c r="I1194" s="3">
        <v>0</v>
      </c>
      <c r="J1194" s="3">
        <v>0</v>
      </c>
      <c r="K1194" s="3">
        <v>2000</v>
      </c>
    </row>
    <row r="1195" spans="1:11" x14ac:dyDescent="0.2">
      <c r="A1195" s="1" t="s">
        <v>4994</v>
      </c>
      <c r="B1195" s="1" t="s">
        <v>1524</v>
      </c>
      <c r="C1195" s="1"/>
      <c r="D1195" s="1"/>
      <c r="E1195" s="1"/>
      <c r="F1195" s="1"/>
      <c r="G1195" s="1"/>
      <c r="H1195" s="1" t="str">
        <f>"7800068030925"</f>
        <v>7800068030925</v>
      </c>
      <c r="I1195" s="3">
        <v>46</v>
      </c>
      <c r="J1195" s="3">
        <v>0</v>
      </c>
      <c r="K1195" s="3">
        <v>1000</v>
      </c>
    </row>
    <row r="1196" spans="1:11" x14ac:dyDescent="0.2">
      <c r="A1196" s="1" t="s">
        <v>4994</v>
      </c>
      <c r="B1196" s="1" t="s">
        <v>1525</v>
      </c>
      <c r="C1196" s="1"/>
      <c r="D1196" s="1"/>
      <c r="E1196" s="1"/>
      <c r="F1196" s="1"/>
      <c r="G1196" s="1"/>
      <c r="H1196" s="1" t="str">
        <f>"7800018000343"</f>
        <v>7800018000343</v>
      </c>
      <c r="I1196" s="3">
        <v>253</v>
      </c>
      <c r="J1196" s="3">
        <v>0</v>
      </c>
      <c r="K1196" s="3">
        <v>300</v>
      </c>
    </row>
    <row r="1197" spans="1:11" x14ac:dyDescent="0.2">
      <c r="A1197" s="1" t="s">
        <v>4994</v>
      </c>
      <c r="B1197" s="1" t="s">
        <v>1527</v>
      </c>
      <c r="C1197" s="1"/>
      <c r="D1197" s="1"/>
      <c r="E1197" s="1"/>
      <c r="F1197" s="1"/>
      <c r="G1197" s="1"/>
      <c r="H1197" s="1" t="str">
        <f>"7800007142146"</f>
        <v>7800007142146</v>
      </c>
      <c r="I1197" s="3">
        <v>0</v>
      </c>
      <c r="J1197" s="3">
        <v>0</v>
      </c>
      <c r="K1197" s="3">
        <v>1000</v>
      </c>
    </row>
    <row r="1198" spans="1:11" x14ac:dyDescent="0.2">
      <c r="A1198" s="1" t="s">
        <v>4994</v>
      </c>
      <c r="B1198" s="1" t="s">
        <v>1528</v>
      </c>
      <c r="C1198" s="1"/>
      <c r="D1198" s="1"/>
      <c r="E1198" s="1"/>
      <c r="F1198" s="1"/>
      <c r="G1198" s="1"/>
      <c r="H1198" s="1" t="str">
        <f>"7800061002608"</f>
        <v>7800061002608</v>
      </c>
      <c r="I1198" s="3">
        <v>0</v>
      </c>
      <c r="J1198" s="3">
        <v>0</v>
      </c>
      <c r="K1198" s="3">
        <v>1000</v>
      </c>
    </row>
    <row r="1199" spans="1:11" x14ac:dyDescent="0.2">
      <c r="A1199" s="1" t="s">
        <v>4994</v>
      </c>
      <c r="B1199" s="1" t="s">
        <v>1529</v>
      </c>
      <c r="C1199" s="1"/>
      <c r="D1199" s="1"/>
      <c r="E1199" s="1"/>
      <c r="F1199" s="1"/>
      <c r="G1199" s="1"/>
      <c r="H1199" s="1" t="str">
        <f>"7804620834426"</f>
        <v>7804620834426</v>
      </c>
      <c r="I1199" s="3">
        <v>0</v>
      </c>
      <c r="J1199" s="3">
        <v>0</v>
      </c>
      <c r="K1199" s="3">
        <v>1000</v>
      </c>
    </row>
    <row r="1200" spans="1:11" x14ac:dyDescent="0.2">
      <c r="A1200" s="1" t="s">
        <v>4994</v>
      </c>
      <c r="B1200" s="1" t="s">
        <v>1530</v>
      </c>
      <c r="C1200" s="1"/>
      <c r="D1200" s="1"/>
      <c r="E1200" s="1"/>
      <c r="F1200" s="1"/>
      <c r="G1200" s="1"/>
      <c r="H1200" s="1" t="str">
        <f>"7804659960011"</f>
        <v>7804659960011</v>
      </c>
      <c r="I1200" s="3">
        <v>18</v>
      </c>
      <c r="J1200" s="3">
        <v>0</v>
      </c>
      <c r="K1200" s="3">
        <v>2500</v>
      </c>
    </row>
    <row r="1201" spans="1:11" x14ac:dyDescent="0.2">
      <c r="A1201" s="1" t="s">
        <v>4994</v>
      </c>
      <c r="B1201" s="1" t="s">
        <v>1531</v>
      </c>
      <c r="C1201" s="1"/>
      <c r="D1201" s="1"/>
      <c r="E1201" s="1"/>
      <c r="F1201" s="1"/>
      <c r="G1201" s="1"/>
      <c r="H1201" s="1" t="str">
        <f>"7800063260013"</f>
        <v>7800063260013</v>
      </c>
      <c r="I1201" s="3">
        <v>347</v>
      </c>
      <c r="J1201" s="3">
        <v>0</v>
      </c>
      <c r="K1201" s="3">
        <v>1500</v>
      </c>
    </row>
    <row r="1202" spans="1:11" x14ac:dyDescent="0.2">
      <c r="A1202" s="1" t="s">
        <v>4994</v>
      </c>
      <c r="B1202" s="1" t="s">
        <v>1532</v>
      </c>
      <c r="C1202" s="1"/>
      <c r="D1202" s="1"/>
      <c r="E1202" s="1"/>
      <c r="F1202" s="1"/>
      <c r="G1202" s="1"/>
      <c r="H1202" s="1" t="str">
        <f>"7801000003458"</f>
        <v>7801000003458</v>
      </c>
      <c r="I1202" s="3">
        <v>1</v>
      </c>
      <c r="J1202" s="3">
        <v>0</v>
      </c>
      <c r="K1202" s="3">
        <v>18000</v>
      </c>
    </row>
    <row r="1203" spans="1:11" x14ac:dyDescent="0.2">
      <c r="A1203" s="1" t="s">
        <v>4994</v>
      </c>
      <c r="B1203" s="1" t="s">
        <v>1533</v>
      </c>
      <c r="C1203" s="1"/>
      <c r="D1203" s="1"/>
      <c r="E1203" s="1"/>
      <c r="F1203" s="1"/>
      <c r="G1203" s="1"/>
      <c r="H1203" s="1" t="str">
        <f>"7800020187834"</f>
        <v>7800020187834</v>
      </c>
      <c r="I1203" s="3">
        <v>4</v>
      </c>
      <c r="J1203" s="3">
        <v>0</v>
      </c>
      <c r="K1203" s="3">
        <v>18000</v>
      </c>
    </row>
    <row r="1204" spans="1:11" x14ac:dyDescent="0.2">
      <c r="A1204" s="1" t="s">
        <v>4994</v>
      </c>
      <c r="B1204" s="1" t="s">
        <v>1534</v>
      </c>
      <c r="C1204" s="1"/>
      <c r="D1204" s="1"/>
      <c r="E1204" s="1"/>
      <c r="F1204" s="1"/>
      <c r="G1204" s="1"/>
      <c r="H1204" s="1" t="str">
        <f>"7801000002253"</f>
        <v>7801000002253</v>
      </c>
      <c r="I1204" s="3">
        <v>0</v>
      </c>
      <c r="J1204" s="3">
        <v>0</v>
      </c>
      <c r="K1204" s="3">
        <v>3000</v>
      </c>
    </row>
    <row r="1205" spans="1:11" x14ac:dyDescent="0.2">
      <c r="A1205" s="1" t="s">
        <v>4994</v>
      </c>
      <c r="B1205" s="1" t="s">
        <v>1535</v>
      </c>
      <c r="C1205" s="1"/>
      <c r="D1205" s="1"/>
      <c r="E1205" s="1"/>
      <c r="F1205" s="1"/>
      <c r="G1205" s="1"/>
      <c r="H1205" s="1" t="str">
        <f>"7801000001348"</f>
        <v>7801000001348</v>
      </c>
      <c r="I1205" s="3">
        <v>0</v>
      </c>
      <c r="J1205" s="3">
        <v>0</v>
      </c>
      <c r="K1205" s="3">
        <v>2000</v>
      </c>
    </row>
    <row r="1206" spans="1:11" x14ac:dyDescent="0.2">
      <c r="A1206" s="1" t="s">
        <v>4994</v>
      </c>
      <c r="B1206" s="1" t="s">
        <v>1536</v>
      </c>
      <c r="C1206" s="1"/>
      <c r="D1206" s="1"/>
      <c r="E1206" s="1"/>
      <c r="F1206" s="1"/>
      <c r="G1206" s="1"/>
      <c r="H1206" s="1" t="str">
        <f>"7801000002314"</f>
        <v>7801000002314</v>
      </c>
      <c r="I1206" s="3">
        <v>0</v>
      </c>
      <c r="J1206" s="3">
        <v>0</v>
      </c>
      <c r="K1206" s="3">
        <v>6500</v>
      </c>
    </row>
    <row r="1207" spans="1:11" x14ac:dyDescent="0.2">
      <c r="A1207" s="1" t="s">
        <v>4994</v>
      </c>
      <c r="B1207" s="1" t="s">
        <v>1537</v>
      </c>
      <c r="C1207" s="1"/>
      <c r="D1207" s="1"/>
      <c r="E1207" s="1"/>
      <c r="F1207" s="1"/>
      <c r="G1207" s="1"/>
      <c r="H1207" s="1" t="str">
        <f>"7801000277767"</f>
        <v>7801000277767</v>
      </c>
      <c r="I1207" s="3">
        <v>0</v>
      </c>
      <c r="J1207" s="3">
        <v>0</v>
      </c>
      <c r="K1207" s="3">
        <v>2000</v>
      </c>
    </row>
    <row r="1208" spans="1:11" x14ac:dyDescent="0.2">
      <c r="A1208" s="1" t="s">
        <v>4994</v>
      </c>
      <c r="B1208" s="1" t="s">
        <v>1538</v>
      </c>
      <c r="C1208" s="1"/>
      <c r="D1208" s="1"/>
      <c r="E1208" s="1"/>
      <c r="F1208" s="1"/>
      <c r="G1208" s="1"/>
      <c r="H1208" s="1" t="str">
        <f>"737186233266"</f>
        <v>737186233266</v>
      </c>
      <c r="I1208" s="3">
        <v>154</v>
      </c>
      <c r="J1208" s="3">
        <v>0</v>
      </c>
      <c r="K1208" s="3">
        <v>2000</v>
      </c>
    </row>
    <row r="1209" spans="1:11" x14ac:dyDescent="0.2">
      <c r="A1209" s="1" t="s">
        <v>4994</v>
      </c>
      <c r="B1209" s="1" t="s">
        <v>1539</v>
      </c>
      <c r="C1209" s="1"/>
      <c r="D1209" s="1"/>
      <c r="E1209" s="1"/>
      <c r="F1209" s="1"/>
      <c r="G1209" s="1"/>
      <c r="H1209" s="1" t="str">
        <f>"7803504000230"</f>
        <v>7803504000230</v>
      </c>
      <c r="I1209" s="3">
        <v>0</v>
      </c>
      <c r="J1209" s="3">
        <v>0</v>
      </c>
      <c r="K1209" s="3">
        <v>4000</v>
      </c>
    </row>
    <row r="1210" spans="1:11" x14ac:dyDescent="0.2">
      <c r="A1210" s="1" t="s">
        <v>4994</v>
      </c>
      <c r="B1210" s="1" t="s">
        <v>1540</v>
      </c>
      <c r="C1210" s="1"/>
      <c r="D1210" s="1"/>
      <c r="E1210" s="1"/>
      <c r="F1210" s="1"/>
      <c r="G1210" s="1"/>
      <c r="H1210" s="1" t="str">
        <f>"7800060119833"</f>
        <v>7800060119833</v>
      </c>
      <c r="I1210" s="3">
        <v>0</v>
      </c>
      <c r="J1210" s="3">
        <v>0</v>
      </c>
      <c r="K1210" s="3">
        <v>8500</v>
      </c>
    </row>
    <row r="1211" spans="1:11" x14ac:dyDescent="0.2">
      <c r="A1211" s="1" t="s">
        <v>4994</v>
      </c>
      <c r="B1211" s="1" t="s">
        <v>1541</v>
      </c>
      <c r="C1211" s="1"/>
      <c r="D1211" s="1"/>
      <c r="E1211" s="1"/>
      <c r="F1211" s="1"/>
      <c r="G1211" s="1"/>
      <c r="H1211" s="1" t="str">
        <f>"7800060114951"</f>
        <v>7800060114951</v>
      </c>
      <c r="I1211" s="3">
        <v>0</v>
      </c>
      <c r="J1211" s="3">
        <v>0</v>
      </c>
      <c r="K1211" s="3">
        <v>3500</v>
      </c>
    </row>
    <row r="1212" spans="1:11" x14ac:dyDescent="0.2">
      <c r="A1212" s="1" t="s">
        <v>4994</v>
      </c>
      <c r="B1212" s="1" t="s">
        <v>1542</v>
      </c>
      <c r="C1212" s="1"/>
      <c r="D1212" s="1"/>
      <c r="E1212" s="1"/>
      <c r="F1212" s="1"/>
      <c r="G1212" s="1"/>
      <c r="H1212" s="1" t="str">
        <f>"78000071182711"</f>
        <v>78000071182711</v>
      </c>
      <c r="I1212" s="3">
        <v>6</v>
      </c>
      <c r="J1212" s="3">
        <v>0</v>
      </c>
      <c r="K1212" s="3">
        <v>2000</v>
      </c>
    </row>
    <row r="1213" spans="1:11" x14ac:dyDescent="0.2">
      <c r="A1213" s="1" t="s">
        <v>4994</v>
      </c>
      <c r="B1213" s="1" t="s">
        <v>1543</v>
      </c>
      <c r="C1213" s="1"/>
      <c r="D1213" s="1"/>
      <c r="E1213" s="1"/>
      <c r="F1213" s="1"/>
      <c r="G1213" s="1"/>
      <c r="H1213" s="1" t="str">
        <f>"7800007118271"</f>
        <v>7800007118271</v>
      </c>
      <c r="I1213" s="3">
        <v>0</v>
      </c>
      <c r="J1213" s="3">
        <v>0</v>
      </c>
      <c r="K1213" s="3">
        <v>2000</v>
      </c>
    </row>
    <row r="1214" spans="1:11" x14ac:dyDescent="0.2">
      <c r="A1214" s="1" t="s">
        <v>4994</v>
      </c>
      <c r="B1214" s="1" t="s">
        <v>1545</v>
      </c>
      <c r="C1214" s="1"/>
      <c r="D1214" s="1"/>
      <c r="E1214" s="1"/>
      <c r="F1214" s="1"/>
      <c r="G1214" s="1"/>
      <c r="H1214" s="1" t="str">
        <f>"7803504001077"</f>
        <v>7803504001077</v>
      </c>
      <c r="I1214" s="3">
        <v>0</v>
      </c>
      <c r="J1214" s="3">
        <v>0</v>
      </c>
      <c r="K1214" s="3">
        <v>6000</v>
      </c>
    </row>
    <row r="1215" spans="1:11" x14ac:dyDescent="0.2">
      <c r="A1215" s="1" t="s">
        <v>4994</v>
      </c>
      <c r="B1215" s="1" t="s">
        <v>1547</v>
      </c>
      <c r="C1215" s="1"/>
      <c r="D1215" s="1"/>
      <c r="E1215" s="1"/>
      <c r="F1215" s="1"/>
      <c r="G1215" s="1"/>
      <c r="H1215" s="1" t="str">
        <f>"771313246460"</f>
        <v>771313246460</v>
      </c>
      <c r="I1215" s="3">
        <v>0</v>
      </c>
      <c r="J1215" s="3">
        <v>0</v>
      </c>
      <c r="K1215" s="3">
        <v>8500</v>
      </c>
    </row>
    <row r="1216" spans="1:11" x14ac:dyDescent="0.2">
      <c r="A1216" s="1" t="s">
        <v>4994</v>
      </c>
      <c r="B1216" s="1" t="s">
        <v>1548</v>
      </c>
      <c r="C1216" s="1"/>
      <c r="D1216" s="1"/>
      <c r="E1216" s="1"/>
      <c r="F1216" s="1"/>
      <c r="G1216" s="1"/>
      <c r="H1216" s="1" t="str">
        <f>"336476A000"</f>
        <v>336476A000</v>
      </c>
      <c r="I1216" s="3">
        <v>0</v>
      </c>
      <c r="J1216" s="3">
        <v>0</v>
      </c>
      <c r="K1216" s="3">
        <v>20000</v>
      </c>
    </row>
    <row r="1217" spans="1:11" x14ac:dyDescent="0.2">
      <c r="A1217" s="1" t="s">
        <v>4994</v>
      </c>
      <c r="B1217" s="1" t="s">
        <v>1549</v>
      </c>
      <c r="C1217" s="1"/>
      <c r="D1217" s="1"/>
      <c r="E1217" s="1"/>
      <c r="F1217" s="1"/>
      <c r="G1217" s="1"/>
      <c r="H1217" s="1" t="str">
        <f>"7800070004556"</f>
        <v>7800070004556</v>
      </c>
      <c r="I1217" s="3">
        <v>3</v>
      </c>
      <c r="J1217" s="3">
        <v>0</v>
      </c>
      <c r="K1217" s="3">
        <v>33000</v>
      </c>
    </row>
    <row r="1218" spans="1:11" x14ac:dyDescent="0.2">
      <c r="A1218" s="1" t="s">
        <v>4994</v>
      </c>
      <c r="B1218" s="1" t="s">
        <v>1550</v>
      </c>
      <c r="C1218" s="1"/>
      <c r="D1218" s="1"/>
      <c r="E1218" s="1"/>
      <c r="F1218" s="1"/>
      <c r="G1218" s="1"/>
      <c r="H1218" s="1" t="str">
        <f>"7730698129013"</f>
        <v>7730698129013</v>
      </c>
      <c r="I1218" s="3">
        <v>0</v>
      </c>
      <c r="J1218" s="3">
        <v>0</v>
      </c>
      <c r="K1218" s="3">
        <v>20000</v>
      </c>
    </row>
    <row r="1219" spans="1:11" x14ac:dyDescent="0.2">
      <c r="A1219" s="1" t="s">
        <v>4994</v>
      </c>
      <c r="B1219" s="1" t="s">
        <v>1551</v>
      </c>
      <c r="C1219" s="1"/>
      <c r="D1219" s="1"/>
      <c r="E1219" s="1"/>
      <c r="F1219" s="1"/>
      <c r="G1219" s="1"/>
      <c r="H1219" s="1" t="str">
        <f>"7800068011375"</f>
        <v>7800068011375</v>
      </c>
      <c r="I1219" s="3">
        <v>0</v>
      </c>
      <c r="J1219" s="3">
        <v>0</v>
      </c>
      <c r="K1219" s="3">
        <v>2500</v>
      </c>
    </row>
    <row r="1220" spans="1:11" x14ac:dyDescent="0.2">
      <c r="A1220" s="1" t="s">
        <v>4994</v>
      </c>
      <c r="B1220" s="1" t="s">
        <v>1552</v>
      </c>
      <c r="C1220" s="1"/>
      <c r="D1220" s="1"/>
      <c r="E1220" s="1"/>
      <c r="F1220" s="1"/>
      <c r="G1220" s="1"/>
      <c r="H1220" s="1" t="str">
        <f>"7809531201565"</f>
        <v>7809531201565</v>
      </c>
      <c r="I1220" s="3">
        <v>0</v>
      </c>
      <c r="J1220" s="3">
        <v>0</v>
      </c>
      <c r="K1220" s="3">
        <v>22000</v>
      </c>
    </row>
    <row r="1221" spans="1:11" x14ac:dyDescent="0.2">
      <c r="A1221" s="1" t="s">
        <v>4994</v>
      </c>
      <c r="B1221" s="1" t="s">
        <v>1553</v>
      </c>
      <c r="C1221" s="1"/>
      <c r="D1221" s="1"/>
      <c r="E1221" s="1"/>
      <c r="F1221" s="1"/>
      <c r="G1221" s="1"/>
      <c r="H1221" s="1" t="str">
        <f>"7809531201558"</f>
        <v>7809531201558</v>
      </c>
      <c r="I1221" s="3">
        <v>0</v>
      </c>
      <c r="J1221" s="3">
        <v>0</v>
      </c>
      <c r="K1221" s="3">
        <v>19000</v>
      </c>
    </row>
    <row r="1222" spans="1:11" x14ac:dyDescent="0.2">
      <c r="A1222" s="1" t="s">
        <v>4994</v>
      </c>
      <c r="B1222" s="1" t="s">
        <v>1554</v>
      </c>
      <c r="C1222" s="1"/>
      <c r="D1222" s="1"/>
      <c r="E1222" s="1"/>
      <c r="F1222" s="1"/>
      <c r="G1222" s="1"/>
      <c r="H1222" s="1" t="str">
        <f>"7800044002007"</f>
        <v>7800044002007</v>
      </c>
      <c r="I1222" s="3">
        <v>0</v>
      </c>
      <c r="J1222" s="3">
        <v>0</v>
      </c>
      <c r="K1222" s="3">
        <v>500</v>
      </c>
    </row>
    <row r="1223" spans="1:11" x14ac:dyDescent="0.2">
      <c r="A1223" s="1" t="s">
        <v>4994</v>
      </c>
      <c r="B1223" s="1" t="s">
        <v>1555</v>
      </c>
      <c r="C1223" s="1"/>
      <c r="D1223" s="1"/>
      <c r="E1223" s="1"/>
      <c r="F1223" s="1"/>
      <c r="G1223" s="1"/>
      <c r="H1223" s="1" t="str">
        <f>"7800006005572"</f>
        <v>7800006005572</v>
      </c>
      <c r="I1223" s="3">
        <v>11</v>
      </c>
      <c r="J1223" s="3">
        <v>0</v>
      </c>
      <c r="K1223" s="3">
        <v>7000</v>
      </c>
    </row>
    <row r="1224" spans="1:11" x14ac:dyDescent="0.2">
      <c r="A1224" s="1" t="s">
        <v>4994</v>
      </c>
      <c r="B1224" s="1" t="s">
        <v>1556</v>
      </c>
      <c r="C1224" s="1"/>
      <c r="D1224" s="1"/>
      <c r="E1224" s="1"/>
      <c r="F1224" s="1"/>
      <c r="G1224" s="1"/>
      <c r="H1224" s="1" t="str">
        <f>"7804620834846"</f>
        <v>7804620834846</v>
      </c>
      <c r="I1224" s="3">
        <v>5</v>
      </c>
      <c r="J1224" s="3">
        <v>0</v>
      </c>
      <c r="K1224" s="3">
        <v>8000</v>
      </c>
    </row>
    <row r="1225" spans="1:11" x14ac:dyDescent="0.2">
      <c r="A1225" s="1" t="s">
        <v>4994</v>
      </c>
      <c r="B1225" s="1" t="s">
        <v>1557</v>
      </c>
      <c r="C1225" s="1"/>
      <c r="D1225" s="1"/>
      <c r="E1225" s="1"/>
      <c r="F1225" s="1"/>
      <c r="G1225" s="1"/>
      <c r="H1225" s="1" t="str">
        <f>"7804620834822"</f>
        <v>7804620834822</v>
      </c>
      <c r="I1225" s="3">
        <v>2</v>
      </c>
      <c r="J1225" s="3">
        <v>0</v>
      </c>
      <c r="K1225" s="3">
        <v>9000</v>
      </c>
    </row>
    <row r="1226" spans="1:11" x14ac:dyDescent="0.2">
      <c r="A1226" s="1" t="s">
        <v>4994</v>
      </c>
      <c r="B1226" s="1" t="s">
        <v>1558</v>
      </c>
      <c r="C1226" s="1"/>
      <c r="D1226" s="1"/>
      <c r="E1226" s="1"/>
      <c r="F1226" s="1"/>
      <c r="G1226" s="1"/>
      <c r="H1226" s="1" t="str">
        <f>"8436024611151"</f>
        <v>8436024611151</v>
      </c>
      <c r="I1226" s="3">
        <v>0</v>
      </c>
      <c r="J1226" s="3">
        <v>0</v>
      </c>
      <c r="K1226" s="3">
        <v>24000</v>
      </c>
    </row>
    <row r="1227" spans="1:11" x14ac:dyDescent="0.2">
      <c r="A1227" s="1" t="s">
        <v>4994</v>
      </c>
      <c r="B1227" s="1" t="s">
        <v>1559</v>
      </c>
      <c r="C1227" s="1"/>
      <c r="D1227" s="1"/>
      <c r="E1227" s="1"/>
      <c r="F1227" s="1"/>
      <c r="G1227" s="1"/>
      <c r="H1227" s="1" t="str">
        <f>"8436024611144"</f>
        <v>8436024611144</v>
      </c>
      <c r="I1227" s="3">
        <v>0</v>
      </c>
      <c r="J1227" s="3">
        <v>0</v>
      </c>
      <c r="K1227" s="3">
        <v>18000</v>
      </c>
    </row>
    <row r="1228" spans="1:11" x14ac:dyDescent="0.2">
      <c r="A1228" s="1" t="s">
        <v>4994</v>
      </c>
      <c r="B1228" s="1" t="s">
        <v>1560</v>
      </c>
      <c r="C1228" s="1"/>
      <c r="D1228" s="1"/>
      <c r="E1228" s="1"/>
      <c r="F1228" s="1"/>
      <c r="G1228" s="1"/>
      <c r="H1228" s="1" t="str">
        <f>"7800004004706"</f>
        <v>7800004004706</v>
      </c>
      <c r="I1228" s="3">
        <v>14</v>
      </c>
      <c r="J1228" s="3">
        <v>0</v>
      </c>
      <c r="K1228" s="3">
        <v>2000</v>
      </c>
    </row>
    <row r="1229" spans="1:11" x14ac:dyDescent="0.2">
      <c r="A1229" s="1" t="s">
        <v>4994</v>
      </c>
      <c r="B1229" s="1" t="s">
        <v>1561</v>
      </c>
      <c r="C1229" s="1"/>
      <c r="D1229" s="1"/>
      <c r="E1229" s="1"/>
      <c r="F1229" s="1"/>
      <c r="G1229" s="1"/>
      <c r="H1229" s="1" t="str">
        <f>"7800004509119"</f>
        <v>7800004509119</v>
      </c>
      <c r="I1229" s="3">
        <v>69</v>
      </c>
      <c r="J1229" s="3">
        <v>0</v>
      </c>
      <c r="K1229" s="3">
        <v>5500</v>
      </c>
    </row>
    <row r="1230" spans="1:11" x14ac:dyDescent="0.2">
      <c r="A1230" s="1" t="s">
        <v>4994</v>
      </c>
      <c r="B1230" s="1" t="s">
        <v>1562</v>
      </c>
      <c r="C1230" s="1"/>
      <c r="D1230" s="1"/>
      <c r="E1230" s="1"/>
      <c r="F1230" s="1"/>
      <c r="G1230" s="1"/>
      <c r="H1230" s="1" t="str">
        <f>"7800004004713"</f>
        <v>7800004004713</v>
      </c>
      <c r="I1230" s="3">
        <v>15</v>
      </c>
      <c r="J1230" s="3">
        <v>0</v>
      </c>
      <c r="K1230" s="3">
        <v>2000</v>
      </c>
    </row>
    <row r="1231" spans="1:11" x14ac:dyDescent="0.2">
      <c r="A1231" s="1" t="s">
        <v>4994</v>
      </c>
      <c r="B1231" s="1" t="s">
        <v>1563</v>
      </c>
      <c r="C1231" s="1"/>
      <c r="D1231" s="1"/>
      <c r="E1231" s="1"/>
      <c r="F1231" s="1"/>
      <c r="G1231" s="1"/>
      <c r="H1231" s="1" t="str">
        <f>"7800004509126"</f>
        <v>7800004509126</v>
      </c>
      <c r="I1231" s="3">
        <v>9</v>
      </c>
      <c r="J1231" s="3">
        <v>0</v>
      </c>
      <c r="K1231" s="3">
        <v>6000</v>
      </c>
    </row>
    <row r="1232" spans="1:11" x14ac:dyDescent="0.2">
      <c r="A1232" s="1" t="s">
        <v>4994</v>
      </c>
      <c r="B1232" s="1" t="s">
        <v>1564</v>
      </c>
      <c r="C1232" s="1"/>
      <c r="D1232" s="1"/>
      <c r="E1232" s="1"/>
      <c r="F1232" s="1"/>
      <c r="G1232" s="1"/>
      <c r="H1232" s="1" t="str">
        <f>"7800004261512"</f>
        <v>7800004261512</v>
      </c>
      <c r="I1232" s="3">
        <v>0</v>
      </c>
      <c r="J1232" s="3">
        <v>0</v>
      </c>
      <c r="K1232" s="3">
        <v>1000</v>
      </c>
    </row>
    <row r="1233" spans="1:11" x14ac:dyDescent="0.2">
      <c r="A1233" s="1" t="s">
        <v>4994</v>
      </c>
      <c r="B1233" s="1" t="s">
        <v>1565</v>
      </c>
      <c r="C1233" s="1"/>
      <c r="D1233" s="1"/>
      <c r="E1233" s="1"/>
      <c r="F1233" s="1"/>
      <c r="G1233" s="1"/>
      <c r="H1233" s="1" t="str">
        <f>"7800004261505"</f>
        <v>7800004261505</v>
      </c>
      <c r="I1233" s="3">
        <v>0</v>
      </c>
      <c r="J1233" s="3">
        <v>0</v>
      </c>
      <c r="K1233" s="3">
        <v>1000</v>
      </c>
    </row>
    <row r="1234" spans="1:11" x14ac:dyDescent="0.2">
      <c r="A1234" s="1" t="s">
        <v>4994</v>
      </c>
      <c r="B1234" s="1" t="s">
        <v>1566</v>
      </c>
      <c r="C1234" s="1"/>
      <c r="D1234" s="1"/>
      <c r="E1234" s="1"/>
      <c r="F1234" s="1"/>
      <c r="G1234" s="1"/>
      <c r="H1234" s="1" t="str">
        <f>"7800068010217"</f>
        <v>7800068010217</v>
      </c>
      <c r="I1234" s="3">
        <v>0</v>
      </c>
      <c r="J1234" s="3">
        <v>0</v>
      </c>
      <c r="K1234" s="3">
        <v>3720</v>
      </c>
    </row>
    <row r="1235" spans="1:11" x14ac:dyDescent="0.2">
      <c r="A1235" s="1" t="s">
        <v>4994</v>
      </c>
      <c r="B1235" s="1" t="s">
        <v>1567</v>
      </c>
      <c r="C1235" s="1"/>
      <c r="D1235" s="1"/>
      <c r="E1235" s="1"/>
      <c r="F1235" s="1"/>
      <c r="G1235" s="1"/>
      <c r="H1235" s="1" t="str">
        <f>"7804614931728"</f>
        <v>7804614931728</v>
      </c>
      <c r="I1235" s="3">
        <v>63</v>
      </c>
      <c r="J1235" s="3">
        <v>0</v>
      </c>
      <c r="K1235" s="3">
        <v>8500</v>
      </c>
    </row>
    <row r="1236" spans="1:11" x14ac:dyDescent="0.2">
      <c r="A1236" s="1" t="s">
        <v>4994</v>
      </c>
      <c r="B1236" s="1" t="s">
        <v>1568</v>
      </c>
      <c r="C1236" s="1"/>
      <c r="D1236" s="1"/>
      <c r="E1236" s="1"/>
      <c r="F1236" s="1"/>
      <c r="G1236" s="1"/>
      <c r="H1236" s="1" t="str">
        <f>"7804614931421"</f>
        <v>7804614931421</v>
      </c>
      <c r="I1236" s="3">
        <v>0</v>
      </c>
      <c r="J1236" s="3">
        <v>0</v>
      </c>
      <c r="K1236" s="3">
        <v>5500</v>
      </c>
    </row>
    <row r="1237" spans="1:11" x14ac:dyDescent="0.2">
      <c r="A1237" s="1" t="s">
        <v>4994</v>
      </c>
      <c r="B1237" s="1" t="s">
        <v>1570</v>
      </c>
      <c r="C1237" s="1"/>
      <c r="D1237" s="1"/>
      <c r="E1237" s="1"/>
      <c r="F1237" s="1"/>
      <c r="G1237" s="1"/>
      <c r="H1237" s="1" t="str">
        <f>"8433042022525"</f>
        <v>8433042022525</v>
      </c>
      <c r="I1237" s="3">
        <v>0</v>
      </c>
      <c r="J1237" s="3">
        <v>0</v>
      </c>
      <c r="K1237" s="3">
        <v>17000</v>
      </c>
    </row>
    <row r="1238" spans="1:11" x14ac:dyDescent="0.2">
      <c r="A1238" s="1" t="s">
        <v>4994</v>
      </c>
      <c r="B1238" s="1" t="s">
        <v>1571</v>
      </c>
      <c r="C1238" s="1"/>
      <c r="D1238" s="1"/>
      <c r="E1238" s="1"/>
      <c r="F1238" s="1"/>
      <c r="G1238" s="1"/>
      <c r="H1238" s="1" t="str">
        <f>"65673171"</f>
        <v>65673171</v>
      </c>
      <c r="I1238" s="3">
        <v>0</v>
      </c>
      <c r="J1238" s="3">
        <v>0</v>
      </c>
      <c r="K1238" s="3">
        <v>1500</v>
      </c>
    </row>
    <row r="1239" spans="1:11" x14ac:dyDescent="0.2">
      <c r="A1239" s="1" t="s">
        <v>4994</v>
      </c>
      <c r="B1239" s="1" t="s">
        <v>1572</v>
      </c>
      <c r="C1239" s="1"/>
      <c r="D1239" s="1"/>
      <c r="E1239" s="1"/>
      <c r="F1239" s="1"/>
      <c r="G1239" s="1"/>
      <c r="H1239" s="1" t="str">
        <f>"7800070004235"</f>
        <v>7800070004235</v>
      </c>
      <c r="I1239" s="3">
        <v>0</v>
      </c>
      <c r="J1239" s="3">
        <v>0</v>
      </c>
      <c r="K1239" s="3">
        <v>16000</v>
      </c>
    </row>
    <row r="1240" spans="1:11" x14ac:dyDescent="0.2">
      <c r="A1240" s="1" t="s">
        <v>4994</v>
      </c>
      <c r="B1240" s="1" t="s">
        <v>1573</v>
      </c>
      <c r="C1240" s="1"/>
      <c r="D1240" s="1"/>
      <c r="E1240" s="1"/>
      <c r="F1240" s="1"/>
      <c r="G1240" s="1"/>
      <c r="H1240" s="1" t="str">
        <f>"7800070004242"</f>
        <v>7800070004242</v>
      </c>
      <c r="I1240" s="3">
        <v>0</v>
      </c>
      <c r="J1240" s="3">
        <v>0</v>
      </c>
      <c r="K1240" s="3">
        <v>27000</v>
      </c>
    </row>
    <row r="1241" spans="1:11" x14ac:dyDescent="0.2">
      <c r="A1241" s="1" t="s">
        <v>4994</v>
      </c>
      <c r="B1241" s="1" t="s">
        <v>1574</v>
      </c>
      <c r="C1241" s="1"/>
      <c r="D1241" s="1"/>
      <c r="E1241" s="1"/>
      <c r="F1241" s="1"/>
      <c r="G1241" s="1"/>
      <c r="H1241" s="1" t="str">
        <f>"7800063330525"</f>
        <v>7800063330525</v>
      </c>
      <c r="I1241" s="3">
        <v>0</v>
      </c>
      <c r="J1241" s="3">
        <v>0</v>
      </c>
      <c r="K1241" s="3">
        <v>2500</v>
      </c>
    </row>
    <row r="1242" spans="1:11" x14ac:dyDescent="0.2">
      <c r="A1242" s="1" t="s">
        <v>4994</v>
      </c>
      <c r="B1242" s="1" t="s">
        <v>1577</v>
      </c>
      <c r="C1242" s="1"/>
      <c r="D1242" s="1"/>
      <c r="E1242" s="1"/>
      <c r="F1242" s="1"/>
      <c r="G1242" s="1"/>
      <c r="H1242" s="1" t="str">
        <f>"7800006003769"</f>
        <v>7800006003769</v>
      </c>
      <c r="I1242" s="3">
        <v>0</v>
      </c>
      <c r="J1242" s="3">
        <v>0</v>
      </c>
      <c r="K1242" s="3">
        <v>10000</v>
      </c>
    </row>
    <row r="1243" spans="1:11" x14ac:dyDescent="0.2">
      <c r="A1243" s="1" t="s">
        <v>4994</v>
      </c>
      <c r="B1243" s="1" t="s">
        <v>1578</v>
      </c>
      <c r="C1243" s="1"/>
      <c r="D1243" s="1"/>
      <c r="E1243" s="1"/>
      <c r="F1243" s="1"/>
      <c r="G1243" s="1"/>
      <c r="H1243" s="1" t="str">
        <f>"7709990786750"</f>
        <v>7709990786750</v>
      </c>
      <c r="I1243" s="3">
        <v>0</v>
      </c>
      <c r="J1243" s="3">
        <v>0</v>
      </c>
      <c r="K1243" s="3">
        <v>3800</v>
      </c>
    </row>
    <row r="1244" spans="1:11" x14ac:dyDescent="0.2">
      <c r="A1244" s="1" t="s">
        <v>4994</v>
      </c>
      <c r="B1244" s="1" t="s">
        <v>1579</v>
      </c>
      <c r="C1244" s="1"/>
      <c r="D1244" s="1"/>
      <c r="E1244" s="1"/>
      <c r="F1244" s="1"/>
      <c r="G1244" s="1"/>
      <c r="H1244" s="1" t="str">
        <f>"7800068011405"</f>
        <v>7800068011405</v>
      </c>
      <c r="I1244" s="3">
        <v>20</v>
      </c>
      <c r="J1244" s="3">
        <v>0</v>
      </c>
      <c r="K1244" s="3">
        <v>3000</v>
      </c>
    </row>
    <row r="1245" spans="1:11" x14ac:dyDescent="0.2">
      <c r="A1245" s="1" t="s">
        <v>4994</v>
      </c>
      <c r="B1245" s="1" t="s">
        <v>1580</v>
      </c>
      <c r="C1245" s="1"/>
      <c r="D1245" s="1"/>
      <c r="E1245" s="1"/>
      <c r="F1245" s="1"/>
      <c r="G1245" s="1"/>
      <c r="H1245" s="1" t="str">
        <f>"7800004001101"</f>
        <v>7800004001101</v>
      </c>
      <c r="I1245" s="3">
        <v>0</v>
      </c>
      <c r="J1245" s="3">
        <v>0</v>
      </c>
      <c r="K1245" s="3">
        <v>4500</v>
      </c>
    </row>
    <row r="1246" spans="1:11" x14ac:dyDescent="0.2">
      <c r="A1246" s="1" t="s">
        <v>4994</v>
      </c>
      <c r="B1246" s="1" t="s">
        <v>1583</v>
      </c>
      <c r="C1246" s="1"/>
      <c r="D1246" s="1"/>
      <c r="E1246" s="1"/>
      <c r="F1246" s="1"/>
      <c r="G1246" s="1"/>
      <c r="H1246" s="1" t="str">
        <f>"7800068011474"</f>
        <v>7800068011474</v>
      </c>
      <c r="I1246" s="3">
        <v>8</v>
      </c>
      <c r="J1246" s="3">
        <v>0</v>
      </c>
      <c r="K1246" s="3">
        <v>2000</v>
      </c>
    </row>
    <row r="1247" spans="1:11" x14ac:dyDescent="0.2">
      <c r="A1247" s="1" t="s">
        <v>4994</v>
      </c>
      <c r="B1247" s="1" t="s">
        <v>1587</v>
      </c>
      <c r="C1247" s="1"/>
      <c r="D1247" s="1"/>
      <c r="E1247" s="1"/>
      <c r="F1247" s="1"/>
      <c r="G1247" s="1"/>
      <c r="H1247" s="1" t="str">
        <f>"7800004508594"</f>
        <v>7800004508594</v>
      </c>
      <c r="I1247" s="3">
        <v>42</v>
      </c>
      <c r="J1247" s="3">
        <v>0</v>
      </c>
      <c r="K1247" s="3">
        <v>3500</v>
      </c>
    </row>
    <row r="1248" spans="1:11" x14ac:dyDescent="0.2">
      <c r="A1248" s="1" t="s">
        <v>4994</v>
      </c>
      <c r="B1248" s="1" t="s">
        <v>1588</v>
      </c>
      <c r="C1248" s="1"/>
      <c r="D1248" s="1"/>
      <c r="E1248" s="1"/>
      <c r="F1248" s="1"/>
      <c r="G1248" s="1"/>
      <c r="H1248" s="1" t="str">
        <f>"7800004007196"</f>
        <v>7800004007196</v>
      </c>
      <c r="I1248" s="3">
        <v>10</v>
      </c>
      <c r="J1248" s="3">
        <v>0</v>
      </c>
      <c r="K1248" s="3">
        <v>3000</v>
      </c>
    </row>
    <row r="1249" spans="1:11" x14ac:dyDescent="0.2">
      <c r="A1249" s="1" t="s">
        <v>4994</v>
      </c>
      <c r="B1249" s="1" t="s">
        <v>1589</v>
      </c>
      <c r="C1249" s="1"/>
      <c r="D1249" s="1"/>
      <c r="E1249" s="1"/>
      <c r="F1249" s="1"/>
      <c r="G1249" s="1"/>
      <c r="H1249" s="1" t="str">
        <f>"7800004004836"</f>
        <v>7800004004836</v>
      </c>
      <c r="I1249" s="3">
        <v>59</v>
      </c>
      <c r="J1249" s="3">
        <v>0</v>
      </c>
      <c r="K1249" s="3">
        <v>5900</v>
      </c>
    </row>
    <row r="1250" spans="1:11" x14ac:dyDescent="0.2">
      <c r="A1250" s="1" t="s">
        <v>4994</v>
      </c>
      <c r="B1250" s="1" t="s">
        <v>1590</v>
      </c>
      <c r="C1250" s="1"/>
      <c r="D1250" s="1"/>
      <c r="E1250" s="1"/>
      <c r="F1250" s="1"/>
      <c r="G1250" s="1"/>
      <c r="H1250" s="1" t="str">
        <f>"7800004002542"</f>
        <v>7800004002542</v>
      </c>
      <c r="I1250" s="3">
        <v>0</v>
      </c>
      <c r="J1250" s="3">
        <v>0</v>
      </c>
      <c r="K1250" s="3">
        <v>4000</v>
      </c>
    </row>
    <row r="1251" spans="1:11" x14ac:dyDescent="0.2">
      <c r="A1251" s="1" t="s">
        <v>4994</v>
      </c>
      <c r="B1251" s="1" t="s">
        <v>1591</v>
      </c>
      <c r="C1251" s="1"/>
      <c r="D1251" s="1"/>
      <c r="E1251" s="1"/>
      <c r="F1251" s="1"/>
      <c r="G1251" s="1"/>
      <c r="H1251" s="1" t="str">
        <f>"7800007407627"</f>
        <v>7800007407627</v>
      </c>
      <c r="I1251" s="3">
        <v>25</v>
      </c>
      <c r="J1251" s="3">
        <v>0</v>
      </c>
      <c r="K1251" s="3">
        <v>2000</v>
      </c>
    </row>
    <row r="1252" spans="1:11" x14ac:dyDescent="0.2">
      <c r="A1252" s="1" t="s">
        <v>4994</v>
      </c>
      <c r="B1252" s="1" t="s">
        <v>1592</v>
      </c>
      <c r="C1252" s="1"/>
      <c r="D1252" s="1"/>
      <c r="E1252" s="1"/>
      <c r="F1252" s="1"/>
      <c r="G1252" s="1"/>
      <c r="H1252" s="1" t="str">
        <f>"7800046005235"</f>
        <v>7800046005235</v>
      </c>
      <c r="I1252" s="3">
        <v>0</v>
      </c>
      <c r="J1252" s="3">
        <v>0</v>
      </c>
      <c r="K1252" s="3">
        <v>7000</v>
      </c>
    </row>
    <row r="1253" spans="1:11" x14ac:dyDescent="0.2">
      <c r="A1253" s="1" t="s">
        <v>4994</v>
      </c>
      <c r="B1253" s="1" t="s">
        <v>1594</v>
      </c>
      <c r="C1253" s="1"/>
      <c r="D1253" s="1"/>
      <c r="E1253" s="1"/>
      <c r="F1253" s="1"/>
      <c r="G1253" s="1"/>
      <c r="H1253" s="1" t="str">
        <f>"7800060115330"</f>
        <v>7800060115330</v>
      </c>
      <c r="I1253" s="3">
        <v>7</v>
      </c>
      <c r="J1253" s="3">
        <v>0</v>
      </c>
      <c r="K1253" s="3">
        <v>20000</v>
      </c>
    </row>
    <row r="1254" spans="1:11" x14ac:dyDescent="0.2">
      <c r="A1254" s="1" t="s">
        <v>4994</v>
      </c>
      <c r="B1254" s="1" t="s">
        <v>1595</v>
      </c>
      <c r="C1254" s="1"/>
      <c r="D1254" s="1"/>
      <c r="E1254" s="1"/>
      <c r="F1254" s="1"/>
      <c r="G1254" s="1"/>
      <c r="H1254" s="1" t="str">
        <f>"7800068011412"</f>
        <v>7800068011412</v>
      </c>
      <c r="I1254" s="3">
        <v>0</v>
      </c>
      <c r="J1254" s="3">
        <v>0</v>
      </c>
      <c r="K1254" s="3">
        <v>8500</v>
      </c>
    </row>
    <row r="1255" spans="1:11" x14ac:dyDescent="0.2">
      <c r="A1255" s="1" t="s">
        <v>4994</v>
      </c>
      <c r="B1255" s="1" t="s">
        <v>1598</v>
      </c>
      <c r="C1255" s="1"/>
      <c r="D1255" s="1"/>
      <c r="E1255" s="1"/>
      <c r="F1255" s="1"/>
      <c r="G1255" s="1"/>
      <c r="H1255" s="1" t="str">
        <f>"7804650883876"</f>
        <v>7804650883876</v>
      </c>
      <c r="I1255" s="3">
        <v>0</v>
      </c>
      <c r="J1255" s="3">
        <v>0</v>
      </c>
      <c r="K1255" s="3">
        <v>28000</v>
      </c>
    </row>
    <row r="1256" spans="1:11" x14ac:dyDescent="0.2">
      <c r="A1256" s="1" t="s">
        <v>4994</v>
      </c>
      <c r="B1256" s="1" t="s">
        <v>1600</v>
      </c>
      <c r="C1256" s="1"/>
      <c r="D1256" s="1"/>
      <c r="E1256" s="1"/>
      <c r="F1256" s="1"/>
      <c r="G1256" s="1"/>
      <c r="H1256" s="1" t="str">
        <f>"7800007305978"</f>
        <v>7800007305978</v>
      </c>
      <c r="I1256" s="3">
        <v>14</v>
      </c>
      <c r="J1256" s="3">
        <v>0</v>
      </c>
      <c r="K1256" s="3">
        <v>13500</v>
      </c>
    </row>
    <row r="1257" spans="1:11" x14ac:dyDescent="0.2">
      <c r="A1257" s="1" t="s">
        <v>4994</v>
      </c>
      <c r="B1257" s="1" t="s">
        <v>1601</v>
      </c>
      <c r="C1257" s="1"/>
      <c r="D1257" s="1"/>
      <c r="E1257" s="1"/>
      <c r="F1257" s="1"/>
      <c r="G1257" s="1"/>
      <c r="H1257" s="1" t="str">
        <f>"7800063360171"</f>
        <v>7800063360171</v>
      </c>
      <c r="I1257" s="3">
        <v>0</v>
      </c>
      <c r="J1257" s="3">
        <v>0</v>
      </c>
      <c r="K1257" s="3">
        <v>2500</v>
      </c>
    </row>
    <row r="1258" spans="1:11" x14ac:dyDescent="0.2">
      <c r="A1258" s="1" t="s">
        <v>4994</v>
      </c>
      <c r="B1258" s="1" t="s">
        <v>1602</v>
      </c>
      <c r="C1258" s="1"/>
      <c r="D1258" s="1"/>
      <c r="E1258" s="1"/>
      <c r="F1258" s="1"/>
      <c r="G1258" s="1"/>
      <c r="H1258" s="1" t="str">
        <f>"7800006000485"</f>
        <v>7800006000485</v>
      </c>
      <c r="I1258" s="3">
        <v>1</v>
      </c>
      <c r="J1258" s="3">
        <v>0</v>
      </c>
      <c r="K1258" s="3">
        <v>2500</v>
      </c>
    </row>
    <row r="1259" spans="1:11" x14ac:dyDescent="0.2">
      <c r="A1259" s="1" t="s">
        <v>4994</v>
      </c>
      <c r="B1259" s="1" t="s">
        <v>1604</v>
      </c>
      <c r="C1259" s="1"/>
      <c r="D1259" s="1"/>
      <c r="E1259" s="1"/>
      <c r="F1259" s="1"/>
      <c r="G1259" s="1"/>
      <c r="H1259" s="1" t="str">
        <f>"901000100045"</f>
        <v>901000100045</v>
      </c>
      <c r="I1259" s="3">
        <v>0</v>
      </c>
      <c r="J1259" s="3">
        <v>0</v>
      </c>
      <c r="K1259" s="3">
        <v>5000</v>
      </c>
    </row>
    <row r="1260" spans="1:11" x14ac:dyDescent="0.2">
      <c r="A1260" s="1" t="s">
        <v>4994</v>
      </c>
      <c r="B1260" s="1" t="s">
        <v>1605</v>
      </c>
      <c r="C1260" s="1"/>
      <c r="D1260" s="1"/>
      <c r="E1260" s="1"/>
      <c r="F1260" s="1"/>
      <c r="G1260" s="1"/>
      <c r="H1260" s="1" t="str">
        <f>"7791293033273"</f>
        <v>7791293033273</v>
      </c>
      <c r="I1260" s="3">
        <v>0</v>
      </c>
      <c r="J1260" s="3">
        <v>0</v>
      </c>
      <c r="K1260" s="3">
        <v>3000</v>
      </c>
    </row>
    <row r="1261" spans="1:11" x14ac:dyDescent="0.2">
      <c r="A1261" s="1" t="s">
        <v>4994</v>
      </c>
      <c r="B1261" s="1" t="s">
        <v>1606</v>
      </c>
      <c r="C1261" s="1"/>
      <c r="D1261" s="1"/>
      <c r="E1261" s="1"/>
      <c r="F1261" s="1"/>
      <c r="G1261" s="1"/>
      <c r="H1261" s="1" t="str">
        <f>"7891150055230"</f>
        <v>7891150055230</v>
      </c>
      <c r="I1261" s="3">
        <v>1</v>
      </c>
      <c r="J1261" s="3">
        <v>0</v>
      </c>
      <c r="K1261" s="3">
        <v>2500</v>
      </c>
    </row>
    <row r="1262" spans="1:11" x14ac:dyDescent="0.2">
      <c r="A1262" s="1" t="s">
        <v>4994</v>
      </c>
      <c r="B1262" s="1" t="s">
        <v>1607</v>
      </c>
      <c r="C1262" s="1"/>
      <c r="D1262" s="1"/>
      <c r="E1262" s="1"/>
      <c r="F1262" s="1"/>
      <c r="G1262" s="1"/>
      <c r="H1262" s="1" t="str">
        <f>"7891150017337"</f>
        <v>7891150017337</v>
      </c>
      <c r="I1262" s="3">
        <v>4</v>
      </c>
      <c r="J1262" s="3">
        <v>0</v>
      </c>
      <c r="K1262" s="3">
        <v>2500</v>
      </c>
    </row>
    <row r="1263" spans="1:11" x14ac:dyDescent="0.2">
      <c r="A1263" s="1" t="s">
        <v>4994</v>
      </c>
      <c r="B1263" s="1" t="s">
        <v>1608</v>
      </c>
      <c r="C1263" s="1"/>
      <c r="D1263" s="1"/>
      <c r="E1263" s="1"/>
      <c r="F1263" s="1"/>
      <c r="G1263" s="1"/>
      <c r="H1263" s="1" t="str">
        <f>"7891150084131"</f>
        <v>7891150084131</v>
      </c>
      <c r="I1263" s="3">
        <v>0</v>
      </c>
      <c r="J1263" s="3">
        <v>0</v>
      </c>
      <c r="K1263" s="3">
        <v>2500</v>
      </c>
    </row>
    <row r="1264" spans="1:11" x14ac:dyDescent="0.2">
      <c r="A1264" s="1" t="s">
        <v>4994</v>
      </c>
      <c r="B1264" s="1" t="s">
        <v>1609</v>
      </c>
      <c r="C1264" s="1"/>
      <c r="D1264" s="1"/>
      <c r="E1264" s="1"/>
      <c r="F1264" s="1"/>
      <c r="G1264" s="1"/>
      <c r="H1264" s="1" t="str">
        <f>"7791293004976"</f>
        <v>7791293004976</v>
      </c>
      <c r="I1264" s="3">
        <v>1</v>
      </c>
      <c r="J1264" s="3">
        <v>0</v>
      </c>
      <c r="K1264" s="3">
        <v>2500</v>
      </c>
    </row>
    <row r="1265" spans="1:11" x14ac:dyDescent="0.2">
      <c r="A1265" s="1" t="s">
        <v>4994</v>
      </c>
      <c r="B1265" s="1" t="s">
        <v>1610</v>
      </c>
      <c r="C1265" s="1"/>
      <c r="D1265" s="1"/>
      <c r="E1265" s="1"/>
      <c r="F1265" s="1"/>
      <c r="G1265" s="1"/>
      <c r="H1265" s="1" t="str">
        <f>"7791293038759"</f>
        <v>7791293038759</v>
      </c>
      <c r="I1265" s="3">
        <v>3</v>
      </c>
      <c r="J1265" s="3">
        <v>0</v>
      </c>
      <c r="K1265" s="3">
        <v>2500</v>
      </c>
    </row>
    <row r="1266" spans="1:11" x14ac:dyDescent="0.2">
      <c r="A1266" s="1" t="s">
        <v>4994</v>
      </c>
      <c r="B1266" s="1" t="s">
        <v>1611</v>
      </c>
      <c r="C1266" s="1"/>
      <c r="D1266" s="1"/>
      <c r="E1266" s="1"/>
      <c r="F1266" s="1"/>
      <c r="G1266" s="1"/>
      <c r="H1266" s="1" t="str">
        <f>"7506306241152"</f>
        <v>7506306241152</v>
      </c>
      <c r="I1266" s="3">
        <v>0</v>
      </c>
      <c r="J1266" s="3">
        <v>0</v>
      </c>
      <c r="K1266" s="3">
        <v>2500</v>
      </c>
    </row>
    <row r="1267" spans="1:11" x14ac:dyDescent="0.2">
      <c r="A1267" s="1" t="s">
        <v>4994</v>
      </c>
      <c r="B1267" s="1" t="s">
        <v>1612</v>
      </c>
      <c r="C1267" s="1"/>
      <c r="D1267" s="1"/>
      <c r="E1267" s="1"/>
      <c r="F1267" s="1"/>
      <c r="G1267" s="1"/>
      <c r="H1267" s="1" t="str">
        <f>"75062835"</f>
        <v>75062835</v>
      </c>
      <c r="I1267" s="3">
        <v>8</v>
      </c>
      <c r="J1267" s="3">
        <v>0</v>
      </c>
      <c r="K1267" s="3">
        <v>3000</v>
      </c>
    </row>
    <row r="1268" spans="1:11" x14ac:dyDescent="0.2">
      <c r="A1268" s="1" t="s">
        <v>4994</v>
      </c>
      <c r="B1268" s="1" t="s">
        <v>1613</v>
      </c>
      <c r="C1268" s="1"/>
      <c r="D1268" s="1"/>
      <c r="E1268" s="1"/>
      <c r="F1268" s="1"/>
      <c r="G1268" s="1"/>
      <c r="H1268" s="1" t="str">
        <f>"7791293048031"</f>
        <v>7791293048031</v>
      </c>
      <c r="I1268" s="3">
        <v>0</v>
      </c>
      <c r="J1268" s="3">
        <v>0</v>
      </c>
      <c r="K1268" s="3">
        <v>3000</v>
      </c>
    </row>
    <row r="1269" spans="1:11" x14ac:dyDescent="0.2">
      <c r="A1269" s="1" t="s">
        <v>4994</v>
      </c>
      <c r="B1269" s="1" t="s">
        <v>1614</v>
      </c>
      <c r="C1269" s="1"/>
      <c r="D1269" s="1"/>
      <c r="E1269" s="1"/>
      <c r="F1269" s="1"/>
      <c r="G1269" s="1"/>
      <c r="H1269" s="1" t="str">
        <f>"75062828"</f>
        <v>75062828</v>
      </c>
      <c r="I1269" s="3">
        <v>0</v>
      </c>
      <c r="J1269" s="3">
        <v>0</v>
      </c>
      <c r="K1269" s="3">
        <v>3000</v>
      </c>
    </row>
    <row r="1270" spans="1:11" x14ac:dyDescent="0.2">
      <c r="A1270" s="1" t="s">
        <v>4994</v>
      </c>
      <c r="B1270" s="1" t="s">
        <v>1615</v>
      </c>
      <c r="C1270" s="1"/>
      <c r="D1270" s="1"/>
      <c r="E1270" s="1"/>
      <c r="F1270" s="1"/>
      <c r="G1270" s="1"/>
      <c r="H1270" s="1" t="str">
        <f>"7791293048499"</f>
        <v>7791293048499</v>
      </c>
      <c r="I1270" s="3">
        <v>4</v>
      </c>
      <c r="J1270" s="3">
        <v>0</v>
      </c>
      <c r="K1270" s="3">
        <v>2000</v>
      </c>
    </row>
    <row r="1271" spans="1:11" x14ac:dyDescent="0.2">
      <c r="A1271" s="1" t="s">
        <v>4994</v>
      </c>
      <c r="B1271" s="1" t="s">
        <v>1616</v>
      </c>
      <c r="C1271" s="1"/>
      <c r="D1271" s="1"/>
      <c r="E1271" s="1"/>
      <c r="F1271" s="1"/>
      <c r="G1271" s="1"/>
      <c r="H1271" s="1" t="str">
        <f>"7891150050488"</f>
        <v>7891150050488</v>
      </c>
      <c r="I1271" s="3">
        <v>0</v>
      </c>
      <c r="J1271" s="3">
        <v>0</v>
      </c>
      <c r="K1271" s="3">
        <v>3000</v>
      </c>
    </row>
    <row r="1272" spans="1:11" x14ac:dyDescent="0.2">
      <c r="A1272" s="1" t="s">
        <v>4994</v>
      </c>
      <c r="B1272" s="1" t="s">
        <v>1617</v>
      </c>
      <c r="C1272" s="1"/>
      <c r="D1272" s="1"/>
      <c r="E1272" s="1"/>
      <c r="F1272" s="1"/>
      <c r="G1272" s="1"/>
      <c r="H1272" s="1" t="str">
        <f>"7898422746759"</f>
        <v>7898422746759</v>
      </c>
      <c r="I1272" s="3">
        <v>0</v>
      </c>
      <c r="J1272" s="3">
        <v>0</v>
      </c>
      <c r="K1272" s="3">
        <v>1500</v>
      </c>
    </row>
    <row r="1273" spans="1:11" x14ac:dyDescent="0.2">
      <c r="A1273" s="1" t="s">
        <v>4994</v>
      </c>
      <c r="B1273" s="1" t="s">
        <v>1618</v>
      </c>
      <c r="C1273" s="1"/>
      <c r="D1273" s="1"/>
      <c r="E1273" s="1"/>
      <c r="F1273" s="1"/>
      <c r="G1273" s="1"/>
      <c r="H1273" s="1" t="str">
        <f>"75647533282821"</f>
        <v>75647533282821</v>
      </c>
      <c r="I1273" s="3">
        <v>0</v>
      </c>
      <c r="J1273" s="3">
        <v>0</v>
      </c>
      <c r="K1273" s="3">
        <v>3000</v>
      </c>
    </row>
    <row r="1274" spans="1:11" x14ac:dyDescent="0.2">
      <c r="A1274" s="1" t="s">
        <v>4994</v>
      </c>
      <c r="B1274" s="1" t="s">
        <v>1619</v>
      </c>
      <c r="C1274" s="1"/>
      <c r="D1274" s="1"/>
      <c r="E1274" s="1"/>
      <c r="F1274" s="1"/>
      <c r="G1274" s="1"/>
      <c r="H1274" s="1" t="str">
        <f>"7805000315559"</f>
        <v>7805000315559</v>
      </c>
      <c r="I1274" s="3">
        <v>5</v>
      </c>
      <c r="J1274" s="3">
        <v>0</v>
      </c>
      <c r="K1274" s="3">
        <v>3000</v>
      </c>
    </row>
    <row r="1275" spans="1:11" x14ac:dyDescent="0.2">
      <c r="A1275" s="1" t="s">
        <v>4994</v>
      </c>
      <c r="B1275" s="1" t="s">
        <v>1620</v>
      </c>
      <c r="C1275" s="1"/>
      <c r="D1275" s="1"/>
      <c r="E1275" s="1"/>
      <c r="F1275" s="1"/>
      <c r="G1275" s="1"/>
      <c r="H1275" s="1" t="str">
        <f>"7891150064881"</f>
        <v>7891150064881</v>
      </c>
      <c r="I1275" s="3">
        <v>0</v>
      </c>
      <c r="J1275" s="3">
        <v>0</v>
      </c>
      <c r="K1275" s="3">
        <v>3000</v>
      </c>
    </row>
    <row r="1276" spans="1:11" x14ac:dyDescent="0.2">
      <c r="A1276" s="1" t="s">
        <v>4994</v>
      </c>
      <c r="B1276" s="1" t="s">
        <v>1621</v>
      </c>
      <c r="C1276" s="1"/>
      <c r="D1276" s="1"/>
      <c r="E1276" s="1"/>
      <c r="F1276" s="1"/>
      <c r="G1276" s="1"/>
      <c r="H1276" s="1" t="str">
        <f>"7791293048000"</f>
        <v>7791293048000</v>
      </c>
      <c r="I1276" s="3">
        <v>0</v>
      </c>
      <c r="J1276" s="3">
        <v>0</v>
      </c>
      <c r="K1276" s="3">
        <v>3000</v>
      </c>
    </row>
    <row r="1277" spans="1:11" x14ac:dyDescent="0.2">
      <c r="A1277" s="1" t="s">
        <v>4994</v>
      </c>
      <c r="B1277" s="1" t="s">
        <v>1622</v>
      </c>
      <c r="C1277" s="1"/>
      <c r="D1277" s="1"/>
      <c r="E1277" s="1"/>
      <c r="F1277" s="1"/>
      <c r="G1277" s="1"/>
      <c r="H1277" s="1" t="str">
        <f>"7791293048024"</f>
        <v>7791293048024</v>
      </c>
      <c r="I1277" s="3">
        <v>0</v>
      </c>
      <c r="J1277" s="3">
        <v>0</v>
      </c>
      <c r="K1277" s="3">
        <v>3000</v>
      </c>
    </row>
    <row r="1278" spans="1:11" x14ac:dyDescent="0.2">
      <c r="A1278" s="1" t="s">
        <v>4994</v>
      </c>
      <c r="B1278" s="1" t="s">
        <v>1623</v>
      </c>
      <c r="C1278" s="1"/>
      <c r="D1278" s="1"/>
      <c r="E1278" s="1"/>
      <c r="F1278" s="1"/>
      <c r="G1278" s="1"/>
      <c r="H1278" s="1" t="str">
        <f>"75076719"</f>
        <v>75076719</v>
      </c>
      <c r="I1278" s="3">
        <v>3</v>
      </c>
      <c r="J1278" s="3">
        <v>0</v>
      </c>
      <c r="K1278" s="3">
        <v>2500</v>
      </c>
    </row>
    <row r="1279" spans="1:11" x14ac:dyDescent="0.2">
      <c r="A1279" s="1" t="s">
        <v>4994</v>
      </c>
      <c r="B1279" s="1" t="s">
        <v>1624</v>
      </c>
      <c r="C1279" s="1"/>
      <c r="D1279" s="1"/>
      <c r="E1279" s="1"/>
      <c r="F1279" s="1"/>
      <c r="G1279" s="1"/>
      <c r="H1279" s="1" t="str">
        <f>"7791293048017"</f>
        <v>7791293048017</v>
      </c>
      <c r="I1279" s="3">
        <v>1</v>
      </c>
      <c r="J1279" s="3">
        <v>0</v>
      </c>
      <c r="K1279" s="3">
        <v>3000</v>
      </c>
    </row>
    <row r="1280" spans="1:11" x14ac:dyDescent="0.2">
      <c r="A1280" s="1" t="s">
        <v>4994</v>
      </c>
      <c r="B1280" s="1" t="s">
        <v>1625</v>
      </c>
      <c r="C1280" s="1"/>
      <c r="D1280" s="1"/>
      <c r="E1280" s="1"/>
      <c r="F1280" s="1"/>
      <c r="G1280" s="1"/>
      <c r="H1280" s="1" t="str">
        <f>"7891150050501"</f>
        <v>7891150050501</v>
      </c>
      <c r="I1280" s="3">
        <v>0</v>
      </c>
      <c r="J1280" s="3">
        <v>0</v>
      </c>
      <c r="K1280" s="3">
        <v>2500</v>
      </c>
    </row>
    <row r="1281" spans="1:11" x14ac:dyDescent="0.2">
      <c r="A1281" s="1" t="s">
        <v>4994</v>
      </c>
      <c r="B1281" s="1" t="s">
        <v>1626</v>
      </c>
      <c r="C1281" s="1"/>
      <c r="D1281" s="1"/>
      <c r="E1281" s="1"/>
      <c r="F1281" s="1"/>
      <c r="G1281" s="1"/>
      <c r="H1281" s="1" t="str">
        <f>"78924468"</f>
        <v>78924468</v>
      </c>
      <c r="I1281" s="3">
        <v>0</v>
      </c>
      <c r="J1281" s="3">
        <v>0</v>
      </c>
      <c r="K1281" s="3">
        <v>2500</v>
      </c>
    </row>
    <row r="1282" spans="1:11" x14ac:dyDescent="0.2">
      <c r="A1282" s="1" t="s">
        <v>4994</v>
      </c>
      <c r="B1282" s="1" t="s">
        <v>1627</v>
      </c>
      <c r="C1282" s="1"/>
      <c r="D1282" s="1"/>
      <c r="E1282" s="1"/>
      <c r="F1282" s="1"/>
      <c r="G1282" s="1"/>
      <c r="H1282" s="1" t="str">
        <f>"7791293005010"</f>
        <v>7791293005010</v>
      </c>
      <c r="I1282" s="3">
        <v>6</v>
      </c>
      <c r="J1282" s="3">
        <v>0</v>
      </c>
      <c r="K1282" s="3">
        <v>2500</v>
      </c>
    </row>
    <row r="1283" spans="1:11" x14ac:dyDescent="0.2">
      <c r="A1283" s="1" t="s">
        <v>4994</v>
      </c>
      <c r="B1283" s="1" t="s">
        <v>1628</v>
      </c>
      <c r="C1283" s="1"/>
      <c r="D1283" s="1"/>
      <c r="E1283" s="1"/>
      <c r="F1283" s="1"/>
      <c r="G1283" s="1"/>
      <c r="H1283" s="1" t="str">
        <f>"7791293038773"</f>
        <v>7791293038773</v>
      </c>
      <c r="I1283" s="3">
        <v>7</v>
      </c>
      <c r="J1283" s="3">
        <v>0</v>
      </c>
      <c r="K1283" s="3">
        <v>2500</v>
      </c>
    </row>
    <row r="1284" spans="1:11" x14ac:dyDescent="0.2">
      <c r="A1284" s="1" t="s">
        <v>4994</v>
      </c>
      <c r="B1284" s="1" t="s">
        <v>1629</v>
      </c>
      <c r="C1284" s="1"/>
      <c r="D1284" s="1"/>
      <c r="E1284" s="1"/>
      <c r="F1284" s="1"/>
      <c r="G1284" s="1"/>
      <c r="H1284" s="1" t="str">
        <f>"7891150023529"</f>
        <v>7891150023529</v>
      </c>
      <c r="I1284" s="3">
        <v>1</v>
      </c>
      <c r="J1284" s="3">
        <v>0</v>
      </c>
      <c r="K1284" s="3">
        <v>2500</v>
      </c>
    </row>
    <row r="1285" spans="1:11" x14ac:dyDescent="0.2">
      <c r="A1285" s="1" t="s">
        <v>4994</v>
      </c>
      <c r="B1285" s="1" t="s">
        <v>1630</v>
      </c>
      <c r="C1285" s="1"/>
      <c r="D1285" s="1"/>
      <c r="E1285" s="1"/>
      <c r="F1285" s="1"/>
      <c r="G1285" s="1"/>
      <c r="H1285" s="1" t="str">
        <f>"7791293048468"</f>
        <v>7791293048468</v>
      </c>
      <c r="I1285" s="3">
        <v>0</v>
      </c>
      <c r="J1285" s="3">
        <v>0</v>
      </c>
      <c r="K1285" s="3">
        <v>3000</v>
      </c>
    </row>
    <row r="1286" spans="1:11" x14ac:dyDescent="0.2">
      <c r="A1286" s="1" t="s">
        <v>4994</v>
      </c>
      <c r="B1286" s="1" t="s">
        <v>1634</v>
      </c>
      <c r="C1286" s="1"/>
      <c r="D1286" s="1"/>
      <c r="E1286" s="1"/>
      <c r="F1286" s="1"/>
      <c r="G1286" s="1"/>
      <c r="H1286" s="1" t="str">
        <f>"7800059006885"</f>
        <v>7800059006885</v>
      </c>
      <c r="I1286" s="3">
        <v>9</v>
      </c>
      <c r="J1286" s="3">
        <v>0</v>
      </c>
      <c r="K1286" s="3">
        <v>11000</v>
      </c>
    </row>
    <row r="1287" spans="1:11" x14ac:dyDescent="0.2">
      <c r="A1287" s="1" t="s">
        <v>4994</v>
      </c>
      <c r="B1287" s="1" t="s">
        <v>1635</v>
      </c>
      <c r="C1287" s="1"/>
      <c r="D1287" s="1"/>
      <c r="E1287" s="1"/>
      <c r="F1287" s="1"/>
      <c r="G1287" s="1"/>
      <c r="H1287" s="1" t="str">
        <f>"7809591400878"</f>
        <v>7809591400878</v>
      </c>
      <c r="I1287" s="3">
        <v>0</v>
      </c>
      <c r="J1287" s="3">
        <v>0</v>
      </c>
      <c r="K1287" s="3">
        <v>60000</v>
      </c>
    </row>
    <row r="1288" spans="1:11" x14ac:dyDescent="0.2">
      <c r="A1288" s="1" t="s">
        <v>4994</v>
      </c>
      <c r="B1288" s="1" t="s">
        <v>1636</v>
      </c>
      <c r="C1288" s="1"/>
      <c r="D1288" s="1"/>
      <c r="E1288" s="1"/>
      <c r="F1288" s="1"/>
      <c r="G1288" s="1"/>
      <c r="H1288" s="1" t="str">
        <f>"7809591400793"</f>
        <v>7809591400793</v>
      </c>
      <c r="I1288" s="3">
        <v>0</v>
      </c>
      <c r="J1288" s="3">
        <v>0</v>
      </c>
      <c r="K1288" s="3">
        <v>65000</v>
      </c>
    </row>
    <row r="1289" spans="1:11" x14ac:dyDescent="0.2">
      <c r="A1289" s="1" t="s">
        <v>4994</v>
      </c>
      <c r="B1289" s="1" t="s">
        <v>1637</v>
      </c>
      <c r="C1289" s="1"/>
      <c r="D1289" s="1"/>
      <c r="E1289" s="1"/>
      <c r="F1289" s="1"/>
      <c r="G1289" s="1"/>
      <c r="H1289" s="1" t="str">
        <f>"7800063001593"</f>
        <v>7800063001593</v>
      </c>
      <c r="I1289" s="3">
        <v>0</v>
      </c>
      <c r="J1289" s="3">
        <v>0</v>
      </c>
      <c r="K1289" s="3">
        <v>10000</v>
      </c>
    </row>
    <row r="1290" spans="1:11" x14ac:dyDescent="0.2">
      <c r="A1290" s="1" t="s">
        <v>4994</v>
      </c>
      <c r="B1290" s="1" t="s">
        <v>1639</v>
      </c>
      <c r="C1290" s="1"/>
      <c r="D1290" s="1"/>
      <c r="E1290" s="1"/>
      <c r="F1290" s="1"/>
      <c r="G1290" s="1"/>
      <c r="H1290" s="1" t="str">
        <f>"4007221054979"</f>
        <v>4007221054979</v>
      </c>
      <c r="I1290" s="3">
        <v>0</v>
      </c>
      <c r="J1290" s="3">
        <v>0</v>
      </c>
      <c r="K1290" s="3">
        <v>10000</v>
      </c>
    </row>
    <row r="1291" spans="1:11" x14ac:dyDescent="0.2">
      <c r="A1291" s="1" t="s">
        <v>4994</v>
      </c>
      <c r="B1291" s="1" t="s">
        <v>1641</v>
      </c>
      <c r="C1291" s="1"/>
      <c r="D1291" s="1"/>
      <c r="E1291" s="1"/>
      <c r="F1291" s="1"/>
      <c r="G1291" s="1"/>
      <c r="H1291" s="1" t="str">
        <f>"7800068011542"</f>
        <v>7800068011542</v>
      </c>
      <c r="I1291" s="3">
        <v>11</v>
      </c>
      <c r="J1291" s="3">
        <v>0</v>
      </c>
      <c r="K1291" s="3">
        <v>4000</v>
      </c>
    </row>
    <row r="1292" spans="1:11" x14ac:dyDescent="0.2">
      <c r="A1292" s="1" t="s">
        <v>4994</v>
      </c>
      <c r="B1292" s="1" t="s">
        <v>1642</v>
      </c>
      <c r="C1292" s="1"/>
      <c r="D1292" s="1"/>
      <c r="E1292" s="1"/>
      <c r="F1292" s="1"/>
      <c r="G1292" s="1"/>
      <c r="H1292" s="1" t="str">
        <f>"7708133635658"</f>
        <v>7708133635658</v>
      </c>
      <c r="I1292" s="3">
        <v>0</v>
      </c>
      <c r="J1292" s="3">
        <v>0</v>
      </c>
      <c r="K1292" s="3">
        <v>2000</v>
      </c>
    </row>
    <row r="1293" spans="1:11" x14ac:dyDescent="0.2">
      <c r="A1293" s="1" t="s">
        <v>4994</v>
      </c>
      <c r="B1293" s="1" t="s">
        <v>1643</v>
      </c>
      <c r="C1293" s="1"/>
      <c r="D1293" s="1"/>
      <c r="E1293" s="1"/>
      <c r="F1293" s="1"/>
      <c r="G1293" s="1"/>
      <c r="H1293" s="1" t="str">
        <f>"3664798040654"</f>
        <v>3664798040654</v>
      </c>
      <c r="I1293" s="3">
        <v>0</v>
      </c>
      <c r="J1293" s="3">
        <v>0</v>
      </c>
      <c r="K1293" s="3">
        <v>6500</v>
      </c>
    </row>
    <row r="1294" spans="1:11" x14ac:dyDescent="0.2">
      <c r="A1294" s="1" t="s">
        <v>4994</v>
      </c>
      <c r="B1294" s="1" t="s">
        <v>1646</v>
      </c>
      <c r="C1294" s="1"/>
      <c r="D1294" s="1"/>
      <c r="E1294" s="1"/>
      <c r="F1294" s="1"/>
      <c r="G1294" s="1"/>
      <c r="H1294" s="1" t="str">
        <f>"7804681740438"</f>
        <v>7804681740438</v>
      </c>
      <c r="I1294" s="3">
        <v>6</v>
      </c>
      <c r="J1294" s="3">
        <v>0</v>
      </c>
      <c r="K1294" s="3">
        <v>4500</v>
      </c>
    </row>
    <row r="1295" spans="1:11" x14ac:dyDescent="0.2">
      <c r="A1295" s="1" t="s">
        <v>4994</v>
      </c>
      <c r="B1295" s="1" t="s">
        <v>1649</v>
      </c>
      <c r="C1295" s="1"/>
      <c r="D1295" s="1"/>
      <c r="E1295" s="1"/>
      <c r="F1295" s="1"/>
      <c r="G1295" s="1"/>
      <c r="H1295" s="1" t="str">
        <f>"7804947601220"</f>
        <v>7804947601220</v>
      </c>
      <c r="I1295" s="3">
        <v>1</v>
      </c>
      <c r="J1295" s="3">
        <v>0</v>
      </c>
      <c r="K1295" s="3">
        <v>2000</v>
      </c>
    </row>
    <row r="1296" spans="1:11" x14ac:dyDescent="0.2">
      <c r="A1296" s="1" t="s">
        <v>4994</v>
      </c>
      <c r="B1296" s="1" t="s">
        <v>1650</v>
      </c>
      <c r="C1296" s="1"/>
      <c r="D1296" s="1"/>
      <c r="E1296" s="1"/>
      <c r="F1296" s="1"/>
      <c r="G1296" s="1"/>
      <c r="H1296" s="1" t="str">
        <f>"7804947611168"</f>
        <v>7804947611168</v>
      </c>
      <c r="I1296" s="3">
        <v>3</v>
      </c>
      <c r="J1296" s="3">
        <v>0</v>
      </c>
      <c r="K1296" s="3">
        <v>3500</v>
      </c>
    </row>
    <row r="1297" spans="1:11" x14ac:dyDescent="0.2">
      <c r="A1297" s="1" t="s">
        <v>4994</v>
      </c>
      <c r="B1297" s="1" t="s">
        <v>1651</v>
      </c>
      <c r="C1297" s="1"/>
      <c r="D1297" s="1"/>
      <c r="E1297" s="1"/>
      <c r="F1297" s="1"/>
      <c r="G1297" s="1"/>
      <c r="H1297" s="1" t="str">
        <f>"7804947601213"</f>
        <v>7804947601213</v>
      </c>
      <c r="I1297" s="3">
        <v>5</v>
      </c>
      <c r="J1297" s="3">
        <v>0</v>
      </c>
      <c r="K1297" s="3">
        <v>2000</v>
      </c>
    </row>
    <row r="1298" spans="1:11" x14ac:dyDescent="0.2">
      <c r="A1298" s="1" t="s">
        <v>4994</v>
      </c>
      <c r="B1298" s="1" t="s">
        <v>1652</v>
      </c>
      <c r="C1298" s="1"/>
      <c r="D1298" s="1"/>
      <c r="E1298" s="1"/>
      <c r="F1298" s="1"/>
      <c r="G1298" s="1"/>
      <c r="H1298" s="1" t="str">
        <f>"7804947004496"</f>
        <v>7804947004496</v>
      </c>
      <c r="I1298" s="3">
        <v>0</v>
      </c>
      <c r="J1298" s="3">
        <v>0</v>
      </c>
      <c r="K1298" s="3">
        <v>2000</v>
      </c>
    </row>
    <row r="1299" spans="1:11" x14ac:dyDescent="0.2">
      <c r="A1299" s="1" t="s">
        <v>4994</v>
      </c>
      <c r="B1299" s="1" t="s">
        <v>1653</v>
      </c>
      <c r="C1299" s="1"/>
      <c r="D1299" s="1"/>
      <c r="E1299" s="1"/>
      <c r="F1299" s="1"/>
      <c r="G1299" s="1"/>
      <c r="H1299" s="1" t="str">
        <f>"7804947601206"</f>
        <v>7804947601206</v>
      </c>
      <c r="I1299" s="3">
        <v>13</v>
      </c>
      <c r="J1299" s="3">
        <v>0</v>
      </c>
      <c r="K1299" s="3">
        <v>3000</v>
      </c>
    </row>
    <row r="1300" spans="1:11" x14ac:dyDescent="0.2">
      <c r="A1300" s="1" t="s">
        <v>4994</v>
      </c>
      <c r="B1300" s="1" t="s">
        <v>1654</v>
      </c>
      <c r="C1300" s="1"/>
      <c r="D1300" s="1"/>
      <c r="E1300" s="1"/>
      <c r="F1300" s="1"/>
      <c r="G1300" s="1"/>
      <c r="H1300" s="1" t="str">
        <f>"7800029002831"</f>
        <v>7800029002831</v>
      </c>
      <c r="I1300" s="3">
        <v>0</v>
      </c>
      <c r="J1300" s="3">
        <v>0</v>
      </c>
      <c r="K1300" s="3">
        <v>40000</v>
      </c>
    </row>
    <row r="1301" spans="1:11" x14ac:dyDescent="0.2">
      <c r="A1301" s="1" t="s">
        <v>4994</v>
      </c>
      <c r="B1301" s="1" t="s">
        <v>1656</v>
      </c>
      <c r="C1301" s="1"/>
      <c r="D1301" s="1"/>
      <c r="E1301" s="1"/>
      <c r="F1301" s="1"/>
      <c r="G1301" s="1"/>
      <c r="H1301" s="1" t="str">
        <f>"5052197036312"</f>
        <v>5052197036312</v>
      </c>
      <c r="I1301" s="3">
        <v>6</v>
      </c>
      <c r="J1301" s="3">
        <v>0</v>
      </c>
      <c r="K1301" s="3">
        <v>2500</v>
      </c>
    </row>
    <row r="1302" spans="1:11" x14ac:dyDescent="0.2">
      <c r="A1302" s="1" t="s">
        <v>4994</v>
      </c>
      <c r="B1302" s="1" t="s">
        <v>1657</v>
      </c>
      <c r="C1302" s="1"/>
      <c r="D1302" s="1"/>
      <c r="E1302" s="1"/>
      <c r="F1302" s="1"/>
      <c r="G1302" s="1"/>
      <c r="H1302" s="1" t="str">
        <f>"7805010004078"</f>
        <v>7805010004078</v>
      </c>
      <c r="I1302" s="3">
        <v>0</v>
      </c>
      <c r="J1302" s="3">
        <v>0</v>
      </c>
      <c r="K1302" s="3">
        <v>4500</v>
      </c>
    </row>
    <row r="1303" spans="1:11" x14ac:dyDescent="0.2">
      <c r="A1303" s="1" t="s">
        <v>4994</v>
      </c>
      <c r="B1303" s="1" t="s">
        <v>1658</v>
      </c>
      <c r="C1303" s="1"/>
      <c r="D1303" s="1"/>
      <c r="E1303" s="1"/>
      <c r="F1303" s="1"/>
      <c r="G1303" s="1"/>
      <c r="H1303" s="1" t="str">
        <f>"7501159731133"</f>
        <v>7501159731133</v>
      </c>
      <c r="I1303" s="3">
        <v>2</v>
      </c>
      <c r="J1303" s="3">
        <v>0</v>
      </c>
      <c r="K1303" s="3">
        <v>2000</v>
      </c>
    </row>
    <row r="1304" spans="1:11" x14ac:dyDescent="0.2">
      <c r="A1304" s="1" t="s">
        <v>4994</v>
      </c>
      <c r="B1304" s="1" t="s">
        <v>1659</v>
      </c>
      <c r="C1304" s="1"/>
      <c r="D1304" s="1"/>
      <c r="E1304" s="1"/>
      <c r="F1304" s="1"/>
      <c r="G1304" s="1"/>
      <c r="H1304" s="1" t="str">
        <f>"5038483998496"</f>
        <v>5038483998496</v>
      </c>
      <c r="I1304" s="3">
        <v>1</v>
      </c>
      <c r="J1304" s="3">
        <v>0</v>
      </c>
      <c r="K1304" s="3">
        <v>6000</v>
      </c>
    </row>
    <row r="1305" spans="1:11" x14ac:dyDescent="0.2">
      <c r="A1305" s="1" t="s">
        <v>4994</v>
      </c>
      <c r="B1305" s="1" t="s">
        <v>1660</v>
      </c>
      <c r="C1305" s="1"/>
      <c r="D1305" s="1"/>
      <c r="E1305" s="1"/>
      <c r="F1305" s="1"/>
      <c r="G1305" s="1"/>
      <c r="H1305" s="1" t="str">
        <f>"5038483747773"</f>
        <v>5038483747773</v>
      </c>
      <c r="I1305" s="3">
        <v>0</v>
      </c>
      <c r="J1305" s="3">
        <v>0</v>
      </c>
      <c r="K1305" s="3">
        <v>6000</v>
      </c>
    </row>
    <row r="1306" spans="1:11" x14ac:dyDescent="0.2">
      <c r="A1306" s="1" t="s">
        <v>4994</v>
      </c>
      <c r="B1306" s="1" t="s">
        <v>1661</v>
      </c>
      <c r="C1306" s="1"/>
      <c r="D1306" s="1"/>
      <c r="E1306" s="1"/>
      <c r="F1306" s="1"/>
      <c r="G1306" s="1"/>
      <c r="H1306" s="1" t="str">
        <f>"5052197008555"</f>
        <v>5052197008555</v>
      </c>
      <c r="I1306" s="3">
        <v>2</v>
      </c>
      <c r="J1306" s="3">
        <v>0</v>
      </c>
      <c r="K1306" s="3">
        <v>2500</v>
      </c>
    </row>
    <row r="1307" spans="1:11" x14ac:dyDescent="0.2">
      <c r="A1307" s="1" t="s">
        <v>4994</v>
      </c>
      <c r="B1307" s="1" t="s">
        <v>1664</v>
      </c>
      <c r="C1307" s="1"/>
      <c r="D1307" s="1"/>
      <c r="E1307" s="1"/>
      <c r="F1307" s="1"/>
      <c r="G1307" s="1"/>
      <c r="H1307" s="1" t="str">
        <f>"7501159033312"</f>
        <v>7501159033312</v>
      </c>
      <c r="I1307" s="3">
        <v>0</v>
      </c>
      <c r="J1307" s="3">
        <v>0</v>
      </c>
      <c r="K1307" s="3">
        <v>2500</v>
      </c>
    </row>
    <row r="1308" spans="1:11" x14ac:dyDescent="0.2">
      <c r="A1308" s="1" t="s">
        <v>4994</v>
      </c>
      <c r="B1308" s="1" t="s">
        <v>1666</v>
      </c>
      <c r="C1308" s="1"/>
      <c r="D1308" s="1"/>
      <c r="E1308" s="1"/>
      <c r="F1308" s="1"/>
      <c r="G1308" s="1"/>
      <c r="H1308" s="1" t="str">
        <f>"7805010004085"</f>
        <v>7805010004085</v>
      </c>
      <c r="I1308" s="3">
        <v>0</v>
      </c>
      <c r="J1308" s="3">
        <v>0</v>
      </c>
      <c r="K1308" s="3">
        <v>6500</v>
      </c>
    </row>
    <row r="1309" spans="1:11" x14ac:dyDescent="0.2">
      <c r="A1309" s="1" t="s">
        <v>4994</v>
      </c>
      <c r="B1309" s="1" t="s">
        <v>1667</v>
      </c>
      <c r="C1309" s="1"/>
      <c r="D1309" s="1"/>
      <c r="E1309" s="1"/>
      <c r="F1309" s="1"/>
      <c r="G1309" s="1"/>
      <c r="H1309" s="1" t="str">
        <f>"7501159731232"</f>
        <v>7501159731232</v>
      </c>
      <c r="I1309" s="3">
        <v>1</v>
      </c>
      <c r="J1309" s="3">
        <v>0</v>
      </c>
      <c r="K1309" s="3">
        <v>2000</v>
      </c>
    </row>
    <row r="1310" spans="1:11" x14ac:dyDescent="0.2">
      <c r="A1310" s="1" t="s">
        <v>4994</v>
      </c>
      <c r="B1310" s="1" t="s">
        <v>1669</v>
      </c>
      <c r="C1310" s="1"/>
      <c r="D1310" s="1"/>
      <c r="E1310" s="1"/>
      <c r="F1310" s="1"/>
      <c r="G1310" s="1"/>
      <c r="H1310" s="1" t="str">
        <f>"7804653720383"</f>
        <v>7804653720383</v>
      </c>
      <c r="I1310" s="3">
        <v>0</v>
      </c>
      <c r="J1310" s="3">
        <v>0</v>
      </c>
      <c r="K1310" s="3">
        <v>20000</v>
      </c>
    </row>
    <row r="1311" spans="1:11" x14ac:dyDescent="0.2">
      <c r="A1311" s="1" t="s">
        <v>4994</v>
      </c>
      <c r="B1311" s="1" t="s">
        <v>1670</v>
      </c>
      <c r="C1311" s="1"/>
      <c r="D1311" s="1"/>
      <c r="E1311" s="1"/>
      <c r="F1311" s="1"/>
      <c r="G1311" s="1"/>
      <c r="H1311" s="1" t="str">
        <f>"7800018001296"</f>
        <v>7800018001296</v>
      </c>
      <c r="I1311" s="3">
        <v>2</v>
      </c>
      <c r="J1311" s="3">
        <v>0</v>
      </c>
      <c r="K1311" s="3">
        <v>21000</v>
      </c>
    </row>
    <row r="1312" spans="1:11" x14ac:dyDescent="0.2">
      <c r="A1312" s="1" t="s">
        <v>4994</v>
      </c>
      <c r="B1312" s="1" t="s">
        <v>1671</v>
      </c>
      <c r="C1312" s="1"/>
      <c r="D1312" s="1"/>
      <c r="E1312" s="1"/>
      <c r="F1312" s="1"/>
      <c r="G1312" s="1"/>
      <c r="H1312" s="1" t="str">
        <f>"7800018171982"</f>
        <v>7800018171982</v>
      </c>
      <c r="I1312" s="3">
        <v>0</v>
      </c>
      <c r="J1312" s="3">
        <v>0</v>
      </c>
      <c r="K1312" s="3">
        <v>21000</v>
      </c>
    </row>
    <row r="1313" spans="1:11" x14ac:dyDescent="0.2">
      <c r="A1313" s="1" t="s">
        <v>4994</v>
      </c>
      <c r="B1313" s="1" t="s">
        <v>1672</v>
      </c>
      <c r="C1313" s="1"/>
      <c r="D1313" s="1"/>
      <c r="E1313" s="1"/>
      <c r="F1313" s="1"/>
      <c r="G1313" s="1"/>
      <c r="H1313" s="1" t="str">
        <f>"7800018000213"</f>
        <v>7800018000213</v>
      </c>
      <c r="I1313" s="3">
        <v>0</v>
      </c>
      <c r="J1313" s="3">
        <v>0</v>
      </c>
      <c r="K1313" s="3">
        <v>30000</v>
      </c>
    </row>
    <row r="1314" spans="1:11" x14ac:dyDescent="0.2">
      <c r="A1314" s="1" t="s">
        <v>4994</v>
      </c>
      <c r="B1314" s="1" t="s">
        <v>1673</v>
      </c>
      <c r="C1314" s="1"/>
      <c r="D1314" s="1"/>
      <c r="E1314" s="1"/>
      <c r="F1314" s="1"/>
      <c r="G1314" s="1"/>
      <c r="H1314" s="1" t="str">
        <f>"7804902034025"</f>
        <v>7804902034025</v>
      </c>
      <c r="I1314" s="3">
        <v>0</v>
      </c>
      <c r="J1314" s="3">
        <v>0</v>
      </c>
      <c r="K1314" s="3">
        <v>5500</v>
      </c>
    </row>
    <row r="1315" spans="1:11" x14ac:dyDescent="0.2">
      <c r="A1315" s="1" t="s">
        <v>4994</v>
      </c>
      <c r="B1315" s="1" t="s">
        <v>1674</v>
      </c>
      <c r="C1315" s="1"/>
      <c r="D1315" s="1"/>
      <c r="E1315" s="1"/>
      <c r="F1315" s="1"/>
      <c r="G1315" s="1"/>
      <c r="H1315" s="1" t="str">
        <f>"7730969304552"</f>
        <v>7730969304552</v>
      </c>
      <c r="I1315" s="3">
        <v>0</v>
      </c>
      <c r="J1315" s="3">
        <v>0</v>
      </c>
      <c r="K1315" s="3">
        <v>14000</v>
      </c>
    </row>
    <row r="1316" spans="1:11" x14ac:dyDescent="0.2">
      <c r="A1316" s="1" t="s">
        <v>4994</v>
      </c>
      <c r="B1316" s="1" t="s">
        <v>1675</v>
      </c>
      <c r="C1316" s="1"/>
      <c r="D1316" s="1"/>
      <c r="E1316" s="1"/>
      <c r="F1316" s="1"/>
      <c r="G1316" s="1"/>
      <c r="H1316" s="1" t="str">
        <f>"7803504002791"</f>
        <v>7803504002791</v>
      </c>
      <c r="I1316" s="3">
        <v>8</v>
      </c>
      <c r="J1316" s="3">
        <v>0</v>
      </c>
      <c r="K1316" s="3">
        <v>4500</v>
      </c>
    </row>
    <row r="1317" spans="1:11" x14ac:dyDescent="0.2">
      <c r="A1317" s="1" t="s">
        <v>4994</v>
      </c>
      <c r="B1317" s="1" t="s">
        <v>1679</v>
      </c>
      <c r="C1317" s="1"/>
      <c r="D1317" s="1"/>
      <c r="E1317" s="1"/>
      <c r="F1317" s="1"/>
      <c r="G1317" s="1"/>
      <c r="H1317" s="1" t="str">
        <f>"7800097003846"</f>
        <v>7800097003846</v>
      </c>
      <c r="I1317" s="3">
        <v>1</v>
      </c>
      <c r="J1317" s="3">
        <v>0</v>
      </c>
      <c r="K1317" s="3">
        <v>15000</v>
      </c>
    </row>
    <row r="1318" spans="1:11" x14ac:dyDescent="0.2">
      <c r="A1318" s="1" t="s">
        <v>4994</v>
      </c>
      <c r="B1318" s="1" t="s">
        <v>1680</v>
      </c>
      <c r="C1318" s="1"/>
      <c r="D1318" s="1"/>
      <c r="E1318" s="1"/>
      <c r="F1318" s="1"/>
      <c r="G1318" s="1"/>
      <c r="H1318" s="1" t="str">
        <f>"7509552843149"</f>
        <v>7509552843149</v>
      </c>
      <c r="I1318" s="3">
        <v>0</v>
      </c>
      <c r="J1318" s="3">
        <v>0</v>
      </c>
      <c r="K1318" s="3">
        <v>4500</v>
      </c>
    </row>
    <row r="1319" spans="1:11" x14ac:dyDescent="0.2">
      <c r="A1319" s="1" t="s">
        <v>4994</v>
      </c>
      <c r="B1319" s="1" t="s">
        <v>1681</v>
      </c>
      <c r="C1319" s="1"/>
      <c r="D1319" s="1"/>
      <c r="E1319" s="1"/>
      <c r="F1319" s="1"/>
      <c r="G1319" s="1"/>
      <c r="H1319" s="1" t="str">
        <f>"4042809022438"</f>
        <v>4042809022438</v>
      </c>
      <c r="I1319" s="3">
        <v>56</v>
      </c>
      <c r="J1319" s="3">
        <v>0</v>
      </c>
      <c r="K1319" s="3">
        <v>500</v>
      </c>
    </row>
    <row r="1320" spans="1:11" x14ac:dyDescent="0.2">
      <c r="A1320" s="1" t="s">
        <v>4994</v>
      </c>
      <c r="B1320" s="1" t="s">
        <v>1682</v>
      </c>
      <c r="C1320" s="1"/>
      <c r="D1320" s="1"/>
      <c r="E1320" s="1"/>
      <c r="F1320" s="1"/>
      <c r="G1320" s="1"/>
      <c r="H1320" s="1" t="str">
        <f>"7804625951814"</f>
        <v>7804625951814</v>
      </c>
      <c r="I1320" s="3">
        <v>0</v>
      </c>
      <c r="J1320" s="3">
        <v>0</v>
      </c>
      <c r="K1320" s="3">
        <v>19000</v>
      </c>
    </row>
    <row r="1321" spans="1:11" x14ac:dyDescent="0.2">
      <c r="A1321" s="1" t="s">
        <v>4994</v>
      </c>
      <c r="B1321" s="1" t="s">
        <v>1683</v>
      </c>
      <c r="C1321" s="1"/>
      <c r="D1321" s="1"/>
      <c r="E1321" s="1"/>
      <c r="F1321" s="1"/>
      <c r="G1321" s="1"/>
      <c r="H1321" s="1" t="str">
        <f>"7800018000527"</f>
        <v>7800018000527</v>
      </c>
      <c r="I1321" s="3">
        <v>0</v>
      </c>
      <c r="J1321" s="3">
        <v>0</v>
      </c>
      <c r="K1321" s="3">
        <v>11500</v>
      </c>
    </row>
    <row r="1322" spans="1:11" x14ac:dyDescent="0.2">
      <c r="A1322" s="1" t="s">
        <v>4994</v>
      </c>
      <c r="B1322" s="1" t="s">
        <v>1684</v>
      </c>
      <c r="C1322" s="1"/>
      <c r="D1322" s="1"/>
      <c r="E1322" s="1"/>
      <c r="F1322" s="1"/>
      <c r="G1322" s="1"/>
      <c r="H1322" s="1" t="str">
        <f>"7800018000688"</f>
        <v>7800018000688</v>
      </c>
      <c r="I1322" s="3">
        <v>5</v>
      </c>
      <c r="J1322" s="3">
        <v>0</v>
      </c>
      <c r="K1322" s="3">
        <v>11500</v>
      </c>
    </row>
    <row r="1323" spans="1:11" x14ac:dyDescent="0.2">
      <c r="A1323" s="1" t="s">
        <v>4994</v>
      </c>
      <c r="B1323" s="1" t="s">
        <v>1685</v>
      </c>
      <c r="C1323" s="1"/>
      <c r="D1323" s="1"/>
      <c r="E1323" s="1"/>
      <c r="F1323" s="1"/>
      <c r="G1323" s="1"/>
      <c r="H1323" s="1" t="str">
        <f>"7800018000701"</f>
        <v>7800018000701</v>
      </c>
      <c r="I1323" s="3">
        <v>0</v>
      </c>
      <c r="J1323" s="3">
        <v>0</v>
      </c>
      <c r="K1323" s="3">
        <v>18000</v>
      </c>
    </row>
    <row r="1324" spans="1:11" x14ac:dyDescent="0.2">
      <c r="A1324" s="1" t="s">
        <v>4994</v>
      </c>
      <c r="B1324" s="1" t="s">
        <v>1686</v>
      </c>
      <c r="C1324" s="1"/>
      <c r="D1324" s="1"/>
      <c r="E1324" s="1"/>
      <c r="F1324" s="1"/>
      <c r="G1324" s="1"/>
      <c r="H1324" s="1" t="str">
        <f>"7800018178462"</f>
        <v>7800018178462</v>
      </c>
      <c r="I1324" s="3">
        <v>0</v>
      </c>
      <c r="J1324" s="3">
        <v>0</v>
      </c>
      <c r="K1324" s="3">
        <v>16000</v>
      </c>
    </row>
    <row r="1325" spans="1:11" x14ac:dyDescent="0.2">
      <c r="A1325" s="1" t="s">
        <v>4994</v>
      </c>
      <c r="B1325" s="1" t="s">
        <v>1695</v>
      </c>
      <c r="C1325" s="1"/>
      <c r="D1325" s="1"/>
      <c r="E1325" s="1"/>
      <c r="F1325" s="1"/>
      <c r="G1325" s="1"/>
      <c r="H1325" s="1" t="str">
        <f>"5415062378342"</f>
        <v>5415062378342</v>
      </c>
      <c r="I1325" s="3">
        <v>0</v>
      </c>
      <c r="J1325" s="3">
        <v>0</v>
      </c>
      <c r="K1325" s="3">
        <v>90000</v>
      </c>
    </row>
    <row r="1326" spans="1:11" x14ac:dyDescent="0.2">
      <c r="A1326" s="1" t="s">
        <v>4994</v>
      </c>
      <c r="B1326" s="1" t="s">
        <v>1696</v>
      </c>
      <c r="C1326" s="1"/>
      <c r="D1326" s="1"/>
      <c r="E1326" s="1"/>
      <c r="F1326" s="1"/>
      <c r="G1326" s="1"/>
      <c r="H1326" s="1" t="str">
        <f>"10030462"</f>
        <v>10030462</v>
      </c>
      <c r="I1326" s="3">
        <v>0</v>
      </c>
      <c r="J1326" s="3">
        <v>0</v>
      </c>
      <c r="K1326" s="3">
        <v>1500</v>
      </c>
    </row>
    <row r="1327" spans="1:11" x14ac:dyDescent="0.2">
      <c r="A1327" s="1" t="s">
        <v>4994</v>
      </c>
      <c r="B1327" s="1" t="s">
        <v>1697</v>
      </c>
      <c r="C1327" s="1"/>
      <c r="D1327" s="1"/>
      <c r="E1327" s="1"/>
      <c r="F1327" s="1"/>
      <c r="G1327" s="1"/>
      <c r="H1327" s="1" t="str">
        <f>"10030691"</f>
        <v>10030691</v>
      </c>
      <c r="I1327" s="3">
        <v>0</v>
      </c>
      <c r="J1327" s="3">
        <v>0</v>
      </c>
      <c r="K1327" s="3">
        <v>3000</v>
      </c>
    </row>
    <row r="1328" spans="1:11" x14ac:dyDescent="0.2">
      <c r="A1328" s="1" t="s">
        <v>4994</v>
      </c>
      <c r="B1328" s="1" t="s">
        <v>1698</v>
      </c>
      <c r="C1328" s="1"/>
      <c r="D1328" s="1"/>
      <c r="E1328" s="1"/>
      <c r="F1328" s="1"/>
      <c r="G1328" s="1"/>
      <c r="H1328" s="1" t="str">
        <f>"10030714"</f>
        <v>10030714</v>
      </c>
      <c r="I1328" s="3">
        <v>0</v>
      </c>
      <c r="J1328" s="3">
        <v>0</v>
      </c>
      <c r="K1328" s="3">
        <v>3000</v>
      </c>
    </row>
    <row r="1329" spans="1:11" x14ac:dyDescent="0.2">
      <c r="A1329" s="1" t="s">
        <v>4994</v>
      </c>
      <c r="B1329" s="1" t="s">
        <v>1699</v>
      </c>
      <c r="C1329" s="1"/>
      <c r="D1329" s="1"/>
      <c r="E1329" s="1"/>
      <c r="F1329" s="1"/>
      <c r="G1329" s="1"/>
      <c r="H1329" s="1" t="str">
        <f>"7800045000910"</f>
        <v>7800045000910</v>
      </c>
      <c r="I1329" s="3">
        <v>0</v>
      </c>
      <c r="J1329" s="3">
        <v>0</v>
      </c>
      <c r="K1329" s="3">
        <v>1000</v>
      </c>
    </row>
    <row r="1330" spans="1:11" x14ac:dyDescent="0.2">
      <c r="A1330" s="1" t="s">
        <v>4994</v>
      </c>
      <c r="B1330" s="1" t="s">
        <v>1700</v>
      </c>
      <c r="C1330" s="1"/>
      <c r="D1330" s="1"/>
      <c r="E1330" s="1"/>
      <c r="F1330" s="1"/>
      <c r="G1330" s="1"/>
      <c r="H1330" s="1" t="str">
        <f>"7800045001740"</f>
        <v>7800045001740</v>
      </c>
      <c r="I1330" s="3">
        <v>0</v>
      </c>
      <c r="J1330" s="3">
        <v>0</v>
      </c>
      <c r="K1330" s="3">
        <v>3500</v>
      </c>
    </row>
    <row r="1331" spans="1:11" x14ac:dyDescent="0.2">
      <c r="A1331" s="1" t="s">
        <v>4994</v>
      </c>
      <c r="B1331" s="1" t="s">
        <v>1701</v>
      </c>
      <c r="C1331" s="1"/>
      <c r="D1331" s="1"/>
      <c r="E1331" s="1"/>
      <c r="F1331" s="1"/>
      <c r="G1331" s="1"/>
      <c r="H1331" s="1" t="str">
        <f>"7800063330495"</f>
        <v>7800063330495</v>
      </c>
      <c r="I1331" s="3">
        <v>0</v>
      </c>
      <c r="J1331" s="3">
        <v>0</v>
      </c>
      <c r="K1331" s="3">
        <v>3000</v>
      </c>
    </row>
    <row r="1332" spans="1:11" x14ac:dyDescent="0.2">
      <c r="A1332" s="1" t="s">
        <v>4994</v>
      </c>
      <c r="B1332" s="1" t="s">
        <v>1702</v>
      </c>
      <c r="C1332" s="1"/>
      <c r="D1332" s="1"/>
      <c r="E1332" s="1"/>
      <c r="F1332" s="1"/>
      <c r="G1332" s="1"/>
      <c r="H1332" s="1" t="str">
        <f>"7800060008458"</f>
        <v>7800060008458</v>
      </c>
      <c r="I1332" s="3">
        <v>0</v>
      </c>
      <c r="J1332" s="3">
        <v>0</v>
      </c>
      <c r="K1332" s="3">
        <v>29000</v>
      </c>
    </row>
    <row r="1333" spans="1:11" x14ac:dyDescent="0.2">
      <c r="A1333" s="1" t="s">
        <v>4994</v>
      </c>
      <c r="B1333" s="1" t="s">
        <v>1703</v>
      </c>
      <c r="C1333" s="1"/>
      <c r="D1333" s="1"/>
      <c r="E1333" s="1"/>
      <c r="F1333" s="1"/>
      <c r="G1333" s="1"/>
      <c r="H1333" s="1" t="str">
        <f>"8718951658240"</f>
        <v>8718951658240</v>
      </c>
      <c r="I1333" s="3">
        <v>14</v>
      </c>
      <c r="J1333" s="3">
        <v>0</v>
      </c>
      <c r="K1333" s="3">
        <v>5000</v>
      </c>
    </row>
    <row r="1334" spans="1:11" x14ac:dyDescent="0.2">
      <c r="A1334" s="1" t="s">
        <v>4994</v>
      </c>
      <c r="B1334" s="1" t="s">
        <v>1704</v>
      </c>
      <c r="C1334" s="1"/>
      <c r="D1334" s="1"/>
      <c r="E1334" s="1"/>
      <c r="F1334" s="1"/>
      <c r="G1334" s="1"/>
      <c r="H1334" s="1" t="str">
        <f>"8718951456440"</f>
        <v>8718951456440</v>
      </c>
      <c r="I1334" s="3">
        <v>3</v>
      </c>
      <c r="J1334" s="3">
        <v>0</v>
      </c>
      <c r="K1334" s="3">
        <v>4000</v>
      </c>
    </row>
    <row r="1335" spans="1:11" x14ac:dyDescent="0.2">
      <c r="A1335" s="1" t="s">
        <v>4994</v>
      </c>
      <c r="B1335" s="1" t="s">
        <v>1705</v>
      </c>
      <c r="C1335" s="1"/>
      <c r="D1335" s="1"/>
      <c r="E1335" s="1"/>
      <c r="F1335" s="1"/>
      <c r="G1335" s="1"/>
      <c r="H1335" s="1" t="str">
        <f>"8718951213524"</f>
        <v>8718951213524</v>
      </c>
      <c r="I1335" s="3">
        <v>26</v>
      </c>
      <c r="J1335" s="3">
        <v>0</v>
      </c>
      <c r="K1335" s="3">
        <v>5000</v>
      </c>
    </row>
    <row r="1336" spans="1:11" x14ac:dyDescent="0.2">
      <c r="A1336" s="1" t="s">
        <v>4994</v>
      </c>
      <c r="B1336" s="1" t="s">
        <v>1706</v>
      </c>
      <c r="C1336" s="1"/>
      <c r="D1336" s="1"/>
      <c r="E1336" s="1"/>
      <c r="F1336" s="1"/>
      <c r="G1336" s="1"/>
      <c r="H1336" s="1" t="str">
        <f>"7800030078207"</f>
        <v>7800030078207</v>
      </c>
      <c r="I1336" s="3">
        <v>1</v>
      </c>
      <c r="J1336" s="3">
        <v>0</v>
      </c>
      <c r="K1336" s="3">
        <v>46000</v>
      </c>
    </row>
    <row r="1337" spans="1:11" x14ac:dyDescent="0.2">
      <c r="A1337" s="1" t="s">
        <v>4994</v>
      </c>
      <c r="B1337" s="1" t="s">
        <v>1707</v>
      </c>
      <c r="C1337" s="1"/>
      <c r="D1337" s="1"/>
      <c r="E1337" s="1"/>
      <c r="F1337" s="1"/>
      <c r="G1337" s="1"/>
      <c r="H1337" s="1" t="str">
        <f>"7730698005676"</f>
        <v>7730698005676</v>
      </c>
      <c r="I1337" s="3">
        <v>0</v>
      </c>
      <c r="J1337" s="3">
        <v>0</v>
      </c>
      <c r="K1337" s="3">
        <v>20000</v>
      </c>
    </row>
    <row r="1338" spans="1:11" x14ac:dyDescent="0.2">
      <c r="A1338" s="1" t="s">
        <v>4994</v>
      </c>
      <c r="B1338" s="1" t="s">
        <v>1708</v>
      </c>
      <c r="C1338" s="1"/>
      <c r="D1338" s="1"/>
      <c r="E1338" s="1"/>
      <c r="F1338" s="1"/>
      <c r="G1338" s="1"/>
      <c r="H1338" s="1" t="str">
        <f>"7800026254790"</f>
        <v>7800026254790</v>
      </c>
      <c r="I1338" s="3">
        <v>11</v>
      </c>
      <c r="J1338" s="3">
        <v>0</v>
      </c>
      <c r="K1338" s="3">
        <v>27000</v>
      </c>
    </row>
    <row r="1339" spans="1:11" x14ac:dyDescent="0.2">
      <c r="A1339" s="1" t="s">
        <v>4994</v>
      </c>
      <c r="B1339" s="1" t="s">
        <v>1709</v>
      </c>
      <c r="C1339" s="1"/>
      <c r="D1339" s="1"/>
      <c r="E1339" s="1"/>
      <c r="F1339" s="1"/>
      <c r="G1339" s="1"/>
      <c r="H1339" s="1" t="str">
        <f>"7509552904819"</f>
        <v>7509552904819</v>
      </c>
      <c r="I1339" s="3">
        <v>0</v>
      </c>
      <c r="J1339" s="3">
        <v>0</v>
      </c>
      <c r="K1339" s="3">
        <v>7500</v>
      </c>
    </row>
    <row r="1340" spans="1:11" x14ac:dyDescent="0.2">
      <c r="A1340" s="1" t="s">
        <v>4994</v>
      </c>
      <c r="B1340" s="1" t="s">
        <v>1710</v>
      </c>
      <c r="C1340" s="1"/>
      <c r="D1340" s="1"/>
      <c r="E1340" s="1"/>
      <c r="F1340" s="1"/>
      <c r="G1340" s="1"/>
      <c r="H1340" s="1" t="str">
        <f>"7509552889574"</f>
        <v>7509552889574</v>
      </c>
      <c r="I1340" s="3">
        <v>0</v>
      </c>
      <c r="J1340" s="3">
        <v>0</v>
      </c>
      <c r="K1340" s="3">
        <v>3500</v>
      </c>
    </row>
    <row r="1341" spans="1:11" x14ac:dyDescent="0.2">
      <c r="A1341" s="1" t="s">
        <v>4994</v>
      </c>
      <c r="B1341" s="1" t="s">
        <v>1711</v>
      </c>
      <c r="C1341" s="1"/>
      <c r="D1341" s="1"/>
      <c r="E1341" s="1"/>
      <c r="F1341" s="1"/>
      <c r="G1341" s="1"/>
      <c r="H1341" s="1" t="str">
        <f>"7509552961515"</f>
        <v>7509552961515</v>
      </c>
      <c r="I1341" s="3">
        <v>0</v>
      </c>
      <c r="J1341" s="3">
        <v>0</v>
      </c>
      <c r="K1341" s="3">
        <v>3500</v>
      </c>
    </row>
    <row r="1342" spans="1:11" x14ac:dyDescent="0.2">
      <c r="A1342" s="1" t="s">
        <v>4994</v>
      </c>
      <c r="B1342" s="1" t="s">
        <v>1712</v>
      </c>
      <c r="C1342" s="1"/>
      <c r="D1342" s="1"/>
      <c r="E1342" s="1"/>
      <c r="F1342" s="1"/>
      <c r="G1342" s="1"/>
      <c r="H1342" s="1" t="str">
        <f>"7509552928617"</f>
        <v>7509552928617</v>
      </c>
      <c r="I1342" s="3">
        <v>0</v>
      </c>
      <c r="J1342" s="3">
        <v>0</v>
      </c>
      <c r="K1342" s="3">
        <v>4000</v>
      </c>
    </row>
    <row r="1343" spans="1:11" x14ac:dyDescent="0.2">
      <c r="A1343" s="1" t="s">
        <v>4994</v>
      </c>
      <c r="B1343" s="1" t="s">
        <v>1713</v>
      </c>
      <c r="C1343" s="1"/>
      <c r="D1343" s="1"/>
      <c r="E1343" s="1"/>
      <c r="F1343" s="1"/>
      <c r="G1343" s="1"/>
      <c r="H1343" s="1" t="str">
        <f>"7509552875010"</f>
        <v>7509552875010</v>
      </c>
      <c r="I1343" s="3">
        <v>0</v>
      </c>
      <c r="J1343" s="3">
        <v>0</v>
      </c>
      <c r="K1343" s="3">
        <v>4000</v>
      </c>
    </row>
    <row r="1344" spans="1:11" x14ac:dyDescent="0.2">
      <c r="A1344" s="1" t="s">
        <v>4994</v>
      </c>
      <c r="B1344" s="1" t="s">
        <v>1714</v>
      </c>
      <c r="C1344" s="1"/>
      <c r="D1344" s="1"/>
      <c r="E1344" s="1"/>
      <c r="F1344" s="1"/>
      <c r="G1344" s="1"/>
      <c r="H1344" s="1" t="str">
        <f>"7509552845914"</f>
        <v>7509552845914</v>
      </c>
      <c r="I1344" s="3">
        <v>5</v>
      </c>
      <c r="J1344" s="3">
        <v>0</v>
      </c>
      <c r="K1344" s="3">
        <v>3800</v>
      </c>
    </row>
    <row r="1345" spans="1:11" x14ac:dyDescent="0.2">
      <c r="A1345" s="1" t="s">
        <v>4994</v>
      </c>
      <c r="B1345" s="1" t="s">
        <v>1715</v>
      </c>
      <c r="C1345" s="1"/>
      <c r="D1345" s="1"/>
      <c r="E1345" s="1"/>
      <c r="F1345" s="1"/>
      <c r="G1345" s="1"/>
      <c r="H1345" s="1" t="str">
        <f>"7509552847994"</f>
        <v>7509552847994</v>
      </c>
      <c r="I1345" s="3">
        <v>0</v>
      </c>
      <c r="J1345" s="3">
        <v>0</v>
      </c>
      <c r="K1345" s="3">
        <v>4000</v>
      </c>
    </row>
    <row r="1346" spans="1:11" x14ac:dyDescent="0.2">
      <c r="A1346" s="1" t="s">
        <v>4994</v>
      </c>
      <c r="B1346" s="1" t="s">
        <v>1716</v>
      </c>
      <c r="C1346" s="1"/>
      <c r="D1346" s="1"/>
      <c r="E1346" s="1"/>
      <c r="F1346" s="1"/>
      <c r="G1346" s="1"/>
      <c r="H1346" s="1" t="str">
        <f>"SDNFJS"</f>
        <v>SDNFJS</v>
      </c>
      <c r="I1346" s="3">
        <v>0</v>
      </c>
      <c r="J1346" s="3">
        <v>0</v>
      </c>
      <c r="K1346" s="3">
        <v>3500</v>
      </c>
    </row>
    <row r="1347" spans="1:11" x14ac:dyDescent="0.2">
      <c r="A1347" s="1" t="s">
        <v>4994</v>
      </c>
      <c r="B1347" s="1" t="s">
        <v>1717</v>
      </c>
      <c r="C1347" s="1"/>
      <c r="D1347" s="1"/>
      <c r="E1347" s="1"/>
      <c r="F1347" s="1"/>
      <c r="G1347" s="1"/>
      <c r="H1347" s="1" t="str">
        <f>"7509552889543"</f>
        <v>7509552889543</v>
      </c>
      <c r="I1347" s="3">
        <v>0</v>
      </c>
      <c r="J1347" s="3">
        <v>0</v>
      </c>
      <c r="K1347" s="3">
        <v>3500</v>
      </c>
    </row>
    <row r="1348" spans="1:11" x14ac:dyDescent="0.2">
      <c r="A1348" s="1" t="s">
        <v>4994</v>
      </c>
      <c r="B1348" s="1" t="s">
        <v>1718</v>
      </c>
      <c r="C1348" s="1"/>
      <c r="D1348" s="1"/>
      <c r="E1348" s="1"/>
      <c r="F1348" s="1"/>
      <c r="G1348" s="1"/>
      <c r="H1348" s="1" t="str">
        <f>"7509552902082"</f>
        <v>7509552902082</v>
      </c>
      <c r="I1348" s="3">
        <v>0</v>
      </c>
      <c r="J1348" s="3">
        <v>0</v>
      </c>
      <c r="K1348" s="3">
        <v>5000</v>
      </c>
    </row>
    <row r="1349" spans="1:11" x14ac:dyDescent="0.2">
      <c r="A1349" s="1" t="s">
        <v>4994</v>
      </c>
      <c r="B1349" s="1" t="s">
        <v>1719</v>
      </c>
      <c r="C1349" s="1"/>
      <c r="D1349" s="1"/>
      <c r="E1349" s="1"/>
      <c r="F1349" s="1"/>
      <c r="G1349" s="1"/>
      <c r="H1349" s="1" t="str">
        <f>"7509552848076"</f>
        <v>7509552848076</v>
      </c>
      <c r="I1349" s="3">
        <v>16</v>
      </c>
      <c r="J1349" s="3">
        <v>0</v>
      </c>
      <c r="K1349" s="3">
        <v>3800</v>
      </c>
    </row>
    <row r="1350" spans="1:11" x14ac:dyDescent="0.2">
      <c r="A1350" s="1" t="s">
        <v>4994</v>
      </c>
      <c r="B1350" s="1" t="s">
        <v>1720</v>
      </c>
      <c r="C1350" s="1"/>
      <c r="D1350" s="1"/>
      <c r="E1350" s="1"/>
      <c r="F1350" s="1"/>
      <c r="G1350" s="1"/>
      <c r="H1350" s="1" t="str">
        <f>"7509552847499"</f>
        <v>7509552847499</v>
      </c>
      <c r="I1350" s="3">
        <v>13</v>
      </c>
      <c r="J1350" s="3">
        <v>0</v>
      </c>
      <c r="K1350" s="3">
        <v>3800</v>
      </c>
    </row>
    <row r="1351" spans="1:11" x14ac:dyDescent="0.2">
      <c r="A1351" s="1" t="s">
        <v>4994</v>
      </c>
      <c r="B1351" s="1" t="s">
        <v>1721</v>
      </c>
      <c r="C1351" s="1"/>
      <c r="D1351" s="1"/>
      <c r="E1351" s="1"/>
      <c r="F1351" s="1"/>
      <c r="G1351" s="1"/>
      <c r="H1351" s="1" t="str">
        <f>"7509552845938"</f>
        <v>7509552845938</v>
      </c>
      <c r="I1351" s="3">
        <v>0</v>
      </c>
      <c r="J1351" s="3">
        <v>0</v>
      </c>
      <c r="K1351" s="3">
        <v>5000</v>
      </c>
    </row>
    <row r="1352" spans="1:11" x14ac:dyDescent="0.2">
      <c r="A1352" s="1" t="s">
        <v>4994</v>
      </c>
      <c r="B1352" s="1" t="s">
        <v>1722</v>
      </c>
      <c r="C1352" s="1"/>
      <c r="D1352" s="1"/>
      <c r="E1352" s="1"/>
      <c r="F1352" s="1"/>
      <c r="G1352" s="1"/>
      <c r="H1352" s="1" t="str">
        <f>"7509552836677"</f>
        <v>7509552836677</v>
      </c>
      <c r="I1352" s="3">
        <v>0</v>
      </c>
      <c r="J1352" s="3">
        <v>0</v>
      </c>
      <c r="K1352" s="3">
        <v>5000</v>
      </c>
    </row>
    <row r="1353" spans="1:11" x14ac:dyDescent="0.2">
      <c r="A1353" s="1" t="s">
        <v>4994</v>
      </c>
      <c r="B1353" s="1" t="s">
        <v>1723</v>
      </c>
      <c r="C1353" s="1"/>
      <c r="D1353" s="1"/>
      <c r="E1353" s="1"/>
      <c r="F1353" s="1"/>
      <c r="G1353" s="1"/>
      <c r="H1353" s="1" t="str">
        <f>"7509552911473"</f>
        <v>7509552911473</v>
      </c>
      <c r="I1353" s="3">
        <v>0</v>
      </c>
      <c r="J1353" s="3">
        <v>0</v>
      </c>
      <c r="K1353" s="3">
        <v>5000</v>
      </c>
    </row>
    <row r="1354" spans="1:11" x14ac:dyDescent="0.2">
      <c r="A1354" s="1" t="s">
        <v>4994</v>
      </c>
      <c r="B1354" s="1" t="s">
        <v>1724</v>
      </c>
      <c r="C1354" s="1"/>
      <c r="D1354" s="1"/>
      <c r="E1354" s="1"/>
      <c r="F1354" s="1"/>
      <c r="G1354" s="1"/>
      <c r="H1354" s="1" t="str">
        <f>"3600523817481"</f>
        <v>3600523817481</v>
      </c>
      <c r="I1354" s="3">
        <v>6</v>
      </c>
      <c r="J1354" s="3">
        <v>0</v>
      </c>
      <c r="K1354" s="3">
        <v>8000</v>
      </c>
    </row>
    <row r="1355" spans="1:11" x14ac:dyDescent="0.2">
      <c r="A1355" s="1" t="s">
        <v>4994</v>
      </c>
      <c r="B1355" s="1" t="s">
        <v>1725</v>
      </c>
      <c r="C1355" s="1"/>
      <c r="D1355" s="1"/>
      <c r="E1355" s="1"/>
      <c r="F1355" s="1"/>
      <c r="G1355" s="1"/>
      <c r="H1355" s="1" t="str">
        <f>"7509552845884"</f>
        <v>7509552845884</v>
      </c>
      <c r="I1355" s="3">
        <v>1</v>
      </c>
      <c r="J1355" s="3">
        <v>0</v>
      </c>
      <c r="K1355" s="3">
        <v>4000</v>
      </c>
    </row>
    <row r="1356" spans="1:11" x14ac:dyDescent="0.2">
      <c r="A1356" s="1" t="s">
        <v>4994</v>
      </c>
      <c r="B1356" s="1" t="s">
        <v>1726</v>
      </c>
      <c r="C1356" s="1"/>
      <c r="D1356" s="1"/>
      <c r="E1356" s="1"/>
      <c r="F1356" s="1"/>
      <c r="G1356" s="1"/>
      <c r="H1356" s="1" t="str">
        <f>"7509552847505AAAAA"</f>
        <v>7509552847505AAAAA</v>
      </c>
      <c r="I1356" s="3">
        <v>0</v>
      </c>
      <c r="J1356" s="3">
        <v>0</v>
      </c>
      <c r="K1356" s="3">
        <v>3500</v>
      </c>
    </row>
    <row r="1357" spans="1:11" x14ac:dyDescent="0.2">
      <c r="A1357" s="1" t="s">
        <v>4994</v>
      </c>
      <c r="B1357" s="1" t="s">
        <v>1729</v>
      </c>
      <c r="C1357" s="1"/>
      <c r="D1357" s="1"/>
      <c r="E1357" s="1"/>
      <c r="F1357" s="1"/>
      <c r="G1357" s="1"/>
      <c r="H1357" s="1" t="str">
        <f>"7804603542010"</f>
        <v>7804603542010</v>
      </c>
      <c r="I1357" s="3">
        <v>0</v>
      </c>
      <c r="J1357" s="3">
        <v>0</v>
      </c>
      <c r="K1357" s="3">
        <v>4500</v>
      </c>
    </row>
    <row r="1358" spans="1:11" x14ac:dyDescent="0.2">
      <c r="A1358" s="1" t="s">
        <v>4994</v>
      </c>
      <c r="B1358" s="1" t="s">
        <v>1730</v>
      </c>
      <c r="C1358" s="1"/>
      <c r="D1358" s="1"/>
      <c r="E1358" s="1"/>
      <c r="F1358" s="1"/>
      <c r="G1358" s="1"/>
      <c r="H1358" s="1" t="str">
        <f>"7804603542027"</f>
        <v>7804603542027</v>
      </c>
      <c r="I1358" s="3">
        <v>0</v>
      </c>
      <c r="J1358" s="3">
        <v>0</v>
      </c>
      <c r="K1358" s="3">
        <v>4000</v>
      </c>
    </row>
    <row r="1359" spans="1:11" x14ac:dyDescent="0.2">
      <c r="A1359" s="1" t="s">
        <v>4994</v>
      </c>
      <c r="B1359" s="1" t="s">
        <v>1731</v>
      </c>
      <c r="C1359" s="1"/>
      <c r="D1359" s="1"/>
      <c r="E1359" s="1"/>
      <c r="F1359" s="1"/>
      <c r="G1359" s="1"/>
      <c r="H1359" s="1" t="str">
        <f>"7804603540900"</f>
        <v>7804603540900</v>
      </c>
      <c r="I1359" s="3">
        <v>20</v>
      </c>
      <c r="J1359" s="3">
        <v>0</v>
      </c>
      <c r="K1359" s="3">
        <v>1500</v>
      </c>
    </row>
    <row r="1360" spans="1:11" x14ac:dyDescent="0.2">
      <c r="A1360" s="1" t="s">
        <v>4994</v>
      </c>
      <c r="B1360" s="1" t="s">
        <v>1732</v>
      </c>
      <c r="C1360" s="1"/>
      <c r="D1360" s="1"/>
      <c r="E1360" s="1"/>
      <c r="F1360" s="1"/>
      <c r="G1360" s="1"/>
      <c r="H1360" s="1" t="str">
        <f>"7804603541419"</f>
        <v>7804603541419</v>
      </c>
      <c r="I1360" s="3">
        <v>5</v>
      </c>
      <c r="J1360" s="3">
        <v>0</v>
      </c>
      <c r="K1360" s="3">
        <v>3500</v>
      </c>
    </row>
    <row r="1361" spans="1:11" x14ac:dyDescent="0.2">
      <c r="A1361" s="1" t="s">
        <v>4994</v>
      </c>
      <c r="B1361" s="1" t="s">
        <v>1733</v>
      </c>
      <c r="C1361" s="1"/>
      <c r="D1361" s="1"/>
      <c r="E1361" s="1"/>
      <c r="F1361" s="1"/>
      <c r="G1361" s="1"/>
      <c r="H1361" s="1" t="str">
        <f>"7804625951692"</f>
        <v>7804625951692</v>
      </c>
      <c r="I1361" s="3">
        <v>0</v>
      </c>
      <c r="J1361" s="3">
        <v>0</v>
      </c>
      <c r="K1361" s="3">
        <v>8500</v>
      </c>
    </row>
    <row r="1362" spans="1:11" x14ac:dyDescent="0.2">
      <c r="A1362" s="1" t="s">
        <v>4994</v>
      </c>
      <c r="B1362" s="1" t="s">
        <v>1734</v>
      </c>
      <c r="C1362" s="1"/>
      <c r="D1362" s="1"/>
      <c r="E1362" s="1"/>
      <c r="F1362" s="1"/>
      <c r="G1362" s="1"/>
      <c r="H1362" s="1" t="str">
        <f>"7804945007314"</f>
        <v>7804945007314</v>
      </c>
      <c r="I1362" s="3">
        <v>0</v>
      </c>
      <c r="J1362" s="3">
        <v>0</v>
      </c>
      <c r="K1362" s="3">
        <v>3200</v>
      </c>
    </row>
    <row r="1363" spans="1:11" x14ac:dyDescent="0.2">
      <c r="A1363" s="1" t="s">
        <v>4994</v>
      </c>
      <c r="B1363" s="1" t="s">
        <v>1735</v>
      </c>
      <c r="C1363" s="1"/>
      <c r="D1363" s="1"/>
      <c r="E1363" s="1"/>
      <c r="F1363" s="1"/>
      <c r="G1363" s="1"/>
      <c r="H1363" s="1" t="str">
        <f>"7804945007307"</f>
        <v>7804945007307</v>
      </c>
      <c r="I1363" s="3">
        <v>4</v>
      </c>
      <c r="J1363" s="3">
        <v>0</v>
      </c>
      <c r="K1363" s="3">
        <v>2000</v>
      </c>
    </row>
    <row r="1364" spans="1:11" x14ac:dyDescent="0.2">
      <c r="A1364" s="1" t="s">
        <v>4994</v>
      </c>
      <c r="B1364" s="1" t="s">
        <v>1736</v>
      </c>
      <c r="C1364" s="1"/>
      <c r="D1364" s="1"/>
      <c r="E1364" s="1"/>
      <c r="F1364" s="1"/>
      <c r="G1364" s="1"/>
      <c r="H1364" s="1" t="str">
        <f>"7804603542218"</f>
        <v>7804603542218</v>
      </c>
      <c r="I1364" s="3">
        <v>0</v>
      </c>
      <c r="J1364" s="3">
        <v>0</v>
      </c>
      <c r="K1364" s="3">
        <v>11000</v>
      </c>
    </row>
    <row r="1365" spans="1:11" x14ac:dyDescent="0.2">
      <c r="A1365" s="1" t="s">
        <v>4994</v>
      </c>
      <c r="B1365" s="1" t="s">
        <v>1737</v>
      </c>
      <c r="C1365" s="1"/>
      <c r="D1365" s="1"/>
      <c r="E1365" s="1"/>
      <c r="F1365" s="1"/>
      <c r="G1365" s="1"/>
      <c r="H1365" s="1" t="str">
        <f>"7804603541723"</f>
        <v>7804603541723</v>
      </c>
      <c r="I1365" s="3">
        <v>0</v>
      </c>
      <c r="J1365" s="3">
        <v>0</v>
      </c>
      <c r="K1365" s="3">
        <v>2500</v>
      </c>
    </row>
    <row r="1366" spans="1:11" x14ac:dyDescent="0.2">
      <c r="A1366" s="1" t="s">
        <v>4994</v>
      </c>
      <c r="B1366" s="1" t="s">
        <v>1739</v>
      </c>
      <c r="C1366" s="1"/>
      <c r="D1366" s="1"/>
      <c r="E1366" s="1"/>
      <c r="F1366" s="1"/>
      <c r="G1366" s="1"/>
      <c r="H1366" s="1" t="str">
        <f>"7800018001166"</f>
        <v>7800018001166</v>
      </c>
      <c r="I1366" s="3">
        <v>0</v>
      </c>
      <c r="J1366" s="3">
        <v>0</v>
      </c>
      <c r="K1366" s="3">
        <v>500</v>
      </c>
    </row>
    <row r="1367" spans="1:11" x14ac:dyDescent="0.2">
      <c r="A1367" s="1" t="s">
        <v>4994</v>
      </c>
      <c r="B1367" s="1" t="s">
        <v>1743</v>
      </c>
      <c r="C1367" s="1"/>
      <c r="D1367" s="1"/>
      <c r="E1367" s="1"/>
      <c r="F1367" s="1"/>
      <c r="G1367" s="1"/>
      <c r="H1367" s="1" t="str">
        <f>"7709990596625"</f>
        <v>7709990596625</v>
      </c>
      <c r="I1367" s="3">
        <v>0</v>
      </c>
      <c r="J1367" s="3">
        <v>0</v>
      </c>
      <c r="K1367" s="3">
        <v>3000</v>
      </c>
    </row>
    <row r="1368" spans="1:11" x14ac:dyDescent="0.2">
      <c r="A1368" s="1" t="s">
        <v>4994</v>
      </c>
      <c r="B1368" s="1" t="s">
        <v>1744</v>
      </c>
      <c r="C1368" s="1"/>
      <c r="D1368" s="1"/>
      <c r="E1368" s="1"/>
      <c r="F1368" s="1"/>
      <c r="G1368" s="1"/>
      <c r="H1368" s="1" t="str">
        <f>"8424559087060"</f>
        <v>8424559087060</v>
      </c>
      <c r="I1368" s="3">
        <v>0</v>
      </c>
      <c r="J1368" s="3">
        <v>0</v>
      </c>
      <c r="K1368" s="3">
        <v>2000</v>
      </c>
    </row>
    <row r="1369" spans="1:11" x14ac:dyDescent="0.2">
      <c r="A1369" s="1" t="s">
        <v>4994</v>
      </c>
      <c r="B1369" s="1" t="s">
        <v>1745</v>
      </c>
      <c r="C1369" s="1"/>
      <c r="D1369" s="1"/>
      <c r="E1369" s="1"/>
      <c r="F1369" s="1"/>
      <c r="G1369" s="1"/>
      <c r="H1369" s="1" t="str">
        <f>"7809558101725"</f>
        <v>7809558101725</v>
      </c>
      <c r="I1369" s="3">
        <v>5</v>
      </c>
      <c r="J1369" s="3">
        <v>0</v>
      </c>
      <c r="K1369" s="3">
        <v>6000</v>
      </c>
    </row>
    <row r="1370" spans="1:11" x14ac:dyDescent="0.2">
      <c r="A1370" s="1" t="s">
        <v>4994</v>
      </c>
      <c r="B1370" s="1" t="s">
        <v>1746</v>
      </c>
      <c r="C1370" s="1"/>
      <c r="D1370" s="1"/>
      <c r="E1370" s="1"/>
      <c r="F1370" s="1"/>
      <c r="G1370" s="1"/>
      <c r="H1370" s="1" t="str">
        <f>"7809558100629"</f>
        <v>7809558100629</v>
      </c>
      <c r="I1370" s="3">
        <v>0</v>
      </c>
      <c r="J1370" s="3">
        <v>0</v>
      </c>
      <c r="K1370" s="3">
        <v>1500</v>
      </c>
    </row>
    <row r="1371" spans="1:11" x14ac:dyDescent="0.2">
      <c r="A1371" s="1" t="s">
        <v>4994</v>
      </c>
      <c r="B1371" s="1" t="s">
        <v>1747</v>
      </c>
      <c r="C1371" s="1"/>
      <c r="D1371" s="1"/>
      <c r="E1371" s="1"/>
      <c r="F1371" s="1"/>
      <c r="G1371" s="1"/>
      <c r="H1371" s="1" t="str">
        <f>"7809558100902"</f>
        <v>7809558100902</v>
      </c>
      <c r="I1371" s="3">
        <v>0</v>
      </c>
      <c r="J1371" s="3">
        <v>0</v>
      </c>
      <c r="K1371" s="3">
        <v>2000</v>
      </c>
    </row>
    <row r="1372" spans="1:11" x14ac:dyDescent="0.2">
      <c r="A1372" s="1" t="s">
        <v>4994</v>
      </c>
      <c r="B1372" s="1" t="s">
        <v>1748</v>
      </c>
      <c r="C1372" s="1"/>
      <c r="D1372" s="1"/>
      <c r="E1372" s="1"/>
      <c r="F1372" s="1"/>
      <c r="G1372" s="1"/>
      <c r="H1372" s="1" t="str">
        <f>"7809558101930"</f>
        <v>7809558101930</v>
      </c>
      <c r="I1372" s="3">
        <v>0</v>
      </c>
      <c r="J1372" s="3">
        <v>0</v>
      </c>
      <c r="K1372" s="3">
        <v>2000</v>
      </c>
    </row>
    <row r="1373" spans="1:11" x14ac:dyDescent="0.2">
      <c r="A1373" s="1" t="s">
        <v>4994</v>
      </c>
      <c r="B1373" s="1" t="s">
        <v>1749</v>
      </c>
      <c r="C1373" s="1"/>
      <c r="D1373" s="1"/>
      <c r="E1373" s="1"/>
      <c r="F1373" s="1"/>
      <c r="G1373" s="1"/>
      <c r="H1373" s="1" t="str">
        <f>"7809558100599"</f>
        <v>7809558100599</v>
      </c>
      <c r="I1373" s="3">
        <v>14</v>
      </c>
      <c r="J1373" s="3">
        <v>0</v>
      </c>
      <c r="K1373" s="3">
        <v>3000</v>
      </c>
    </row>
    <row r="1374" spans="1:11" x14ac:dyDescent="0.2">
      <c r="A1374" s="1" t="s">
        <v>4994</v>
      </c>
      <c r="B1374" s="1" t="s">
        <v>1750</v>
      </c>
      <c r="C1374" s="1"/>
      <c r="D1374" s="1"/>
      <c r="E1374" s="1"/>
      <c r="F1374" s="1"/>
      <c r="G1374" s="1"/>
      <c r="H1374" s="1" t="str">
        <f>"7809558101732"</f>
        <v>7809558101732</v>
      </c>
      <c r="I1374" s="3">
        <v>0</v>
      </c>
      <c r="J1374" s="3">
        <v>0</v>
      </c>
      <c r="K1374" s="3">
        <v>1500</v>
      </c>
    </row>
    <row r="1375" spans="1:11" x14ac:dyDescent="0.2">
      <c r="A1375" s="1" t="s">
        <v>4994</v>
      </c>
      <c r="B1375" s="1" t="s">
        <v>1751</v>
      </c>
      <c r="C1375" s="1"/>
      <c r="D1375" s="1"/>
      <c r="E1375" s="1"/>
      <c r="F1375" s="1"/>
      <c r="G1375" s="1"/>
      <c r="H1375" s="1" t="str">
        <f>"7804620835683"</f>
        <v>7804620835683</v>
      </c>
      <c r="I1375" s="3">
        <v>12</v>
      </c>
      <c r="J1375" s="3">
        <v>0</v>
      </c>
      <c r="K1375" s="3">
        <v>5000</v>
      </c>
    </row>
    <row r="1376" spans="1:11" x14ac:dyDescent="0.2">
      <c r="A1376" s="1" t="s">
        <v>4994</v>
      </c>
      <c r="B1376" s="1" t="s">
        <v>1752</v>
      </c>
      <c r="C1376" s="1"/>
      <c r="D1376" s="1"/>
      <c r="E1376" s="1"/>
      <c r="F1376" s="1"/>
      <c r="G1376" s="1"/>
      <c r="H1376" s="1" t="str">
        <f>"7804620832866"</f>
        <v>7804620832866</v>
      </c>
      <c r="I1376" s="3">
        <v>17</v>
      </c>
      <c r="J1376" s="3">
        <v>0</v>
      </c>
      <c r="K1376" s="3">
        <v>3000</v>
      </c>
    </row>
    <row r="1377" spans="1:11" x14ac:dyDescent="0.2">
      <c r="A1377" s="1" t="s">
        <v>4994</v>
      </c>
      <c r="B1377" s="1" t="s">
        <v>1753</v>
      </c>
      <c r="C1377" s="1"/>
      <c r="D1377" s="1"/>
      <c r="E1377" s="1"/>
      <c r="F1377" s="1"/>
      <c r="G1377" s="1"/>
      <c r="H1377" s="1" t="str">
        <f>"7804620835690"</f>
        <v>7804620835690</v>
      </c>
      <c r="I1377" s="3">
        <v>7</v>
      </c>
      <c r="J1377" s="3">
        <v>0</v>
      </c>
      <c r="K1377" s="3">
        <v>4000</v>
      </c>
    </row>
    <row r="1378" spans="1:11" x14ac:dyDescent="0.2">
      <c r="A1378" s="1" t="s">
        <v>4994</v>
      </c>
      <c r="B1378" s="1" t="s">
        <v>1754</v>
      </c>
      <c r="C1378" s="1"/>
      <c r="D1378" s="1"/>
      <c r="E1378" s="1"/>
      <c r="F1378" s="1"/>
      <c r="G1378" s="1"/>
      <c r="H1378" s="1" t="str">
        <f>"8427426046290"</f>
        <v>8427426046290</v>
      </c>
      <c r="I1378" s="3">
        <v>0</v>
      </c>
      <c r="J1378" s="3">
        <v>0</v>
      </c>
      <c r="K1378" s="3">
        <v>7500</v>
      </c>
    </row>
    <row r="1379" spans="1:11" x14ac:dyDescent="0.2">
      <c r="A1379" s="1" t="s">
        <v>4994</v>
      </c>
      <c r="B1379" s="1" t="s">
        <v>1755</v>
      </c>
      <c r="C1379" s="1"/>
      <c r="D1379" s="1"/>
      <c r="E1379" s="1"/>
      <c r="F1379" s="1"/>
      <c r="G1379" s="1"/>
      <c r="H1379" s="1" t="str">
        <f>"7794640170911"</f>
        <v>7794640170911</v>
      </c>
      <c r="I1379" s="3">
        <v>0</v>
      </c>
      <c r="J1379" s="3">
        <v>0</v>
      </c>
      <c r="K1379" s="3">
        <v>6000</v>
      </c>
    </row>
    <row r="1380" spans="1:11" x14ac:dyDescent="0.2">
      <c r="A1380" s="1" t="s">
        <v>4994</v>
      </c>
      <c r="B1380" s="1" t="s">
        <v>1756</v>
      </c>
      <c r="C1380" s="1"/>
      <c r="D1380" s="1"/>
      <c r="E1380" s="1"/>
      <c r="F1380" s="1"/>
      <c r="G1380" s="1"/>
      <c r="H1380" s="1" t="str">
        <f>"78011922"</f>
        <v>78011922</v>
      </c>
      <c r="I1380" s="3">
        <v>2</v>
      </c>
      <c r="J1380" s="3">
        <v>0</v>
      </c>
      <c r="K1380" s="3">
        <v>3500</v>
      </c>
    </row>
    <row r="1381" spans="1:11" x14ac:dyDescent="0.2">
      <c r="A1381" s="1" t="s">
        <v>4994</v>
      </c>
      <c r="B1381" s="1" t="s">
        <v>1757</v>
      </c>
      <c r="C1381" s="1"/>
      <c r="D1381" s="1"/>
      <c r="E1381" s="1"/>
      <c r="F1381" s="1"/>
      <c r="G1381" s="1"/>
      <c r="H1381" s="1" t="str">
        <f>"7794640170904"</f>
        <v>7794640170904</v>
      </c>
      <c r="I1381" s="3">
        <v>0</v>
      </c>
      <c r="J1381" s="3">
        <v>0</v>
      </c>
      <c r="K1381" s="3">
        <v>1000</v>
      </c>
    </row>
    <row r="1382" spans="1:11" x14ac:dyDescent="0.2">
      <c r="A1382" s="1" t="s">
        <v>4994</v>
      </c>
      <c r="B1382" s="1" t="s">
        <v>1758</v>
      </c>
      <c r="C1382" s="1"/>
      <c r="D1382" s="1"/>
      <c r="E1382" s="1"/>
      <c r="F1382" s="1"/>
      <c r="G1382" s="1"/>
      <c r="H1382" s="1" t="str">
        <f>"7804900000992"</f>
        <v>7804900000992</v>
      </c>
      <c r="I1382" s="3">
        <v>0</v>
      </c>
      <c r="J1382" s="3">
        <v>0</v>
      </c>
      <c r="K1382" s="3">
        <v>6000</v>
      </c>
    </row>
    <row r="1383" spans="1:11" x14ac:dyDescent="0.2">
      <c r="A1383" s="1" t="s">
        <v>4994</v>
      </c>
      <c r="B1383" s="1" t="s">
        <v>1759</v>
      </c>
      <c r="C1383" s="1"/>
      <c r="D1383" s="1"/>
      <c r="E1383" s="1"/>
      <c r="F1383" s="1"/>
      <c r="G1383" s="1"/>
      <c r="H1383" s="1" t="str">
        <f>"7794640170898"</f>
        <v>7794640170898</v>
      </c>
      <c r="I1383" s="3">
        <v>0</v>
      </c>
      <c r="J1383" s="3">
        <v>0</v>
      </c>
      <c r="K1383" s="3">
        <v>6000</v>
      </c>
    </row>
    <row r="1384" spans="1:11" x14ac:dyDescent="0.2">
      <c r="A1384" s="1" t="s">
        <v>4994</v>
      </c>
      <c r="B1384" s="1" t="s">
        <v>1760</v>
      </c>
      <c r="C1384" s="1"/>
      <c r="D1384" s="1"/>
      <c r="E1384" s="1"/>
      <c r="F1384" s="1"/>
      <c r="G1384" s="1"/>
      <c r="H1384" s="1" t="str">
        <f>"78011915"</f>
        <v>78011915</v>
      </c>
      <c r="I1384" s="3">
        <v>0</v>
      </c>
      <c r="J1384" s="3">
        <v>0</v>
      </c>
      <c r="K1384" s="3">
        <v>3000</v>
      </c>
    </row>
    <row r="1385" spans="1:11" x14ac:dyDescent="0.2">
      <c r="A1385" s="1" t="s">
        <v>4994</v>
      </c>
      <c r="B1385" s="1" t="s">
        <v>1761</v>
      </c>
      <c r="C1385" s="1"/>
      <c r="D1385" s="1"/>
      <c r="E1385" s="1"/>
      <c r="F1385" s="1"/>
      <c r="G1385" s="1"/>
      <c r="H1385" s="1" t="str">
        <f>"7794640170881"</f>
        <v>7794640170881</v>
      </c>
      <c r="I1385" s="3">
        <v>0</v>
      </c>
      <c r="J1385" s="3">
        <v>0</v>
      </c>
      <c r="K1385" s="3">
        <v>1000</v>
      </c>
    </row>
    <row r="1386" spans="1:11" x14ac:dyDescent="0.2">
      <c r="A1386" s="1" t="s">
        <v>4994</v>
      </c>
      <c r="B1386" s="1" t="s">
        <v>1762</v>
      </c>
      <c r="C1386" s="1"/>
      <c r="D1386" s="1"/>
      <c r="E1386" s="1"/>
      <c r="F1386" s="1"/>
      <c r="G1386" s="1"/>
      <c r="H1386" s="1" t="str">
        <f>"78032484"</f>
        <v>78032484</v>
      </c>
      <c r="I1386" s="3">
        <v>276</v>
      </c>
      <c r="J1386" s="3">
        <v>0</v>
      </c>
      <c r="K1386" s="3">
        <v>125</v>
      </c>
    </row>
    <row r="1387" spans="1:11" x14ac:dyDescent="0.2">
      <c r="A1387" s="1" t="s">
        <v>4994</v>
      </c>
      <c r="B1387" s="1" t="s">
        <v>1763</v>
      </c>
      <c r="C1387" s="1"/>
      <c r="D1387" s="1"/>
      <c r="E1387" s="1"/>
      <c r="F1387" s="1"/>
      <c r="G1387" s="1"/>
      <c r="H1387" s="1" t="str">
        <f>"8427030006468"</f>
        <v>8427030006468</v>
      </c>
      <c r="I1387" s="3">
        <v>0</v>
      </c>
      <c r="J1387" s="3">
        <v>0</v>
      </c>
      <c r="K1387" s="3">
        <v>27000</v>
      </c>
    </row>
    <row r="1388" spans="1:11" x14ac:dyDescent="0.2">
      <c r="A1388" s="1" t="s">
        <v>4994</v>
      </c>
      <c r="B1388" s="1" t="s">
        <v>1764</v>
      </c>
      <c r="C1388" s="1"/>
      <c r="D1388" s="1"/>
      <c r="E1388" s="1"/>
      <c r="F1388" s="1"/>
      <c r="G1388" s="1"/>
      <c r="H1388" s="1" t="str">
        <f>"8427030008004"</f>
        <v>8427030008004</v>
      </c>
      <c r="I1388" s="3">
        <v>0</v>
      </c>
      <c r="J1388" s="3">
        <v>0</v>
      </c>
      <c r="K1388" s="3">
        <v>27000</v>
      </c>
    </row>
    <row r="1389" spans="1:11" x14ac:dyDescent="0.2">
      <c r="A1389" s="1" t="s">
        <v>4994</v>
      </c>
      <c r="B1389" s="1" t="s">
        <v>1765</v>
      </c>
      <c r="C1389" s="1"/>
      <c r="D1389" s="1"/>
      <c r="E1389" s="1"/>
      <c r="F1389" s="1"/>
      <c r="G1389" s="1"/>
      <c r="H1389" s="1" t="str">
        <f>"8710428999269"</f>
        <v>8710428999269</v>
      </c>
      <c r="I1389" s="3">
        <v>0</v>
      </c>
      <c r="J1389" s="3">
        <v>0</v>
      </c>
      <c r="K1389" s="3">
        <v>27000</v>
      </c>
    </row>
    <row r="1390" spans="1:11" x14ac:dyDescent="0.2">
      <c r="A1390" s="1" t="s">
        <v>4994</v>
      </c>
      <c r="B1390" s="1" t="s">
        <v>1766</v>
      </c>
      <c r="C1390" s="1"/>
      <c r="D1390" s="1"/>
      <c r="E1390" s="1"/>
      <c r="F1390" s="1"/>
      <c r="G1390" s="1"/>
      <c r="H1390" s="1" t="str">
        <f>"7807030006461"</f>
        <v>7807030006461</v>
      </c>
      <c r="I1390" s="3">
        <v>0</v>
      </c>
      <c r="J1390" s="3">
        <v>0</v>
      </c>
      <c r="K1390" s="3">
        <v>24000</v>
      </c>
    </row>
    <row r="1391" spans="1:11" x14ac:dyDescent="0.2">
      <c r="A1391" s="1" t="s">
        <v>4994</v>
      </c>
      <c r="B1391" s="1" t="s">
        <v>1767</v>
      </c>
      <c r="C1391" s="1"/>
      <c r="D1391" s="1"/>
      <c r="E1391" s="1"/>
      <c r="F1391" s="1"/>
      <c r="G1391" s="1"/>
      <c r="H1391" s="1" t="str">
        <f>"8710428013705"</f>
        <v>8710428013705</v>
      </c>
      <c r="I1391" s="3">
        <v>0</v>
      </c>
      <c r="J1391" s="3">
        <v>0</v>
      </c>
      <c r="K1391" s="3">
        <v>28000</v>
      </c>
    </row>
    <row r="1392" spans="1:11" x14ac:dyDescent="0.2">
      <c r="A1392" s="1" t="s">
        <v>4994</v>
      </c>
      <c r="B1392" s="1" t="s">
        <v>1768</v>
      </c>
      <c r="C1392" s="1"/>
      <c r="D1392" s="1"/>
      <c r="E1392" s="1"/>
      <c r="F1392" s="1"/>
      <c r="G1392" s="1"/>
      <c r="H1392" s="1" t="str">
        <f>"8710428999467"</f>
        <v>8710428999467</v>
      </c>
      <c r="I1392" s="3">
        <v>0</v>
      </c>
      <c r="J1392" s="3">
        <v>0</v>
      </c>
      <c r="K1392" s="3">
        <v>24000</v>
      </c>
    </row>
    <row r="1393" spans="1:11" x14ac:dyDescent="0.2">
      <c r="A1393" s="1" t="s">
        <v>4994</v>
      </c>
      <c r="B1393" s="1" t="s">
        <v>1769</v>
      </c>
      <c r="C1393" s="1"/>
      <c r="D1393" s="1"/>
      <c r="E1393" s="1"/>
      <c r="F1393" s="1"/>
      <c r="G1393" s="1"/>
      <c r="H1393" s="1" t="str">
        <f>"8710428999443"</f>
        <v>8710428999443</v>
      </c>
      <c r="I1393" s="3">
        <v>0</v>
      </c>
      <c r="J1393" s="3">
        <v>0</v>
      </c>
      <c r="K1393" s="3">
        <v>24000</v>
      </c>
    </row>
    <row r="1394" spans="1:11" x14ac:dyDescent="0.2">
      <c r="A1394" s="1" t="s">
        <v>4994</v>
      </c>
      <c r="B1394" s="1" t="s">
        <v>1770</v>
      </c>
      <c r="C1394" s="1"/>
      <c r="D1394" s="1"/>
      <c r="E1394" s="1"/>
      <c r="F1394" s="1"/>
      <c r="G1394" s="1"/>
      <c r="H1394" s="1" t="str">
        <f>"7800428999263"</f>
        <v>7800428999263</v>
      </c>
      <c r="I1394" s="3">
        <v>0</v>
      </c>
      <c r="J1394" s="3">
        <v>0</v>
      </c>
      <c r="K1394" s="3">
        <v>24000</v>
      </c>
    </row>
    <row r="1395" spans="1:11" x14ac:dyDescent="0.2">
      <c r="A1395" s="1" t="s">
        <v>4994</v>
      </c>
      <c r="B1395" s="1" t="s">
        <v>1771</v>
      </c>
      <c r="C1395" s="1"/>
      <c r="D1395" s="1"/>
      <c r="E1395" s="1"/>
      <c r="F1395" s="1"/>
      <c r="G1395" s="1"/>
      <c r="H1395" s="1" t="str">
        <f>"7800038042729"</f>
        <v>7800038042729</v>
      </c>
      <c r="I1395" s="3">
        <v>0</v>
      </c>
      <c r="J1395" s="3">
        <v>0</v>
      </c>
      <c r="K1395" s="3">
        <v>6000</v>
      </c>
    </row>
    <row r="1396" spans="1:11" x14ac:dyDescent="0.2">
      <c r="A1396" s="1" t="s">
        <v>4994</v>
      </c>
      <c r="B1396" s="1" t="s">
        <v>1774</v>
      </c>
      <c r="C1396" s="1"/>
      <c r="D1396" s="1"/>
      <c r="E1396" s="1"/>
      <c r="F1396" s="1"/>
      <c r="G1396" s="1"/>
      <c r="H1396" s="1" t="str">
        <f>"7800004284450"</f>
        <v>7800004284450</v>
      </c>
      <c r="I1396" s="3">
        <v>3</v>
      </c>
      <c r="J1396" s="3">
        <v>0</v>
      </c>
      <c r="K1396" s="3">
        <v>6800</v>
      </c>
    </row>
    <row r="1397" spans="1:11" x14ac:dyDescent="0.2">
      <c r="A1397" s="1" t="s">
        <v>4994</v>
      </c>
      <c r="B1397" s="1" t="s">
        <v>1775</v>
      </c>
      <c r="C1397" s="1"/>
      <c r="D1397" s="1"/>
      <c r="E1397" s="1"/>
      <c r="F1397" s="1"/>
      <c r="G1397" s="1"/>
      <c r="H1397" s="1" t="str">
        <f>"3499320007528"</f>
        <v>3499320007528</v>
      </c>
      <c r="I1397" s="3">
        <v>3</v>
      </c>
      <c r="J1397" s="3">
        <v>0</v>
      </c>
      <c r="K1397" s="3">
        <v>48000</v>
      </c>
    </row>
    <row r="1398" spans="1:11" x14ac:dyDescent="0.2">
      <c r="A1398" s="1" t="s">
        <v>4994</v>
      </c>
      <c r="B1398" s="1" t="s">
        <v>1776</v>
      </c>
      <c r="C1398" s="1"/>
      <c r="D1398" s="1"/>
      <c r="E1398" s="1"/>
      <c r="F1398" s="1"/>
      <c r="G1398" s="1"/>
      <c r="H1398" s="1" t="str">
        <f>"4006000077000"</f>
        <v>4006000077000</v>
      </c>
      <c r="I1398" s="3">
        <v>2</v>
      </c>
      <c r="J1398" s="3">
        <v>0</v>
      </c>
      <c r="K1398" s="3">
        <v>58000</v>
      </c>
    </row>
    <row r="1399" spans="1:11" x14ac:dyDescent="0.2">
      <c r="A1399" s="1" t="s">
        <v>4994</v>
      </c>
      <c r="B1399" s="1" t="s">
        <v>1777</v>
      </c>
      <c r="C1399" s="1"/>
      <c r="D1399" s="1"/>
      <c r="E1399" s="1"/>
      <c r="F1399" s="1"/>
      <c r="G1399" s="1"/>
      <c r="H1399" s="1" t="str">
        <f>"7795345121734"</f>
        <v>7795345121734</v>
      </c>
      <c r="I1399" s="3">
        <v>0</v>
      </c>
      <c r="J1399" s="3">
        <v>0</v>
      </c>
      <c r="K1399" s="3">
        <v>7000</v>
      </c>
    </row>
    <row r="1400" spans="1:11" x14ac:dyDescent="0.2">
      <c r="A1400" s="1" t="s">
        <v>4994</v>
      </c>
      <c r="B1400" s="1" t="s">
        <v>1778</v>
      </c>
      <c r="C1400" s="1"/>
      <c r="D1400" s="1"/>
      <c r="E1400" s="1"/>
      <c r="F1400" s="1"/>
      <c r="G1400" s="1"/>
      <c r="H1400" s="1" t="str">
        <f>"7800063110615"</f>
        <v>7800063110615</v>
      </c>
      <c r="I1400" s="3">
        <v>0</v>
      </c>
      <c r="J1400" s="3">
        <v>0</v>
      </c>
      <c r="K1400" s="3">
        <v>2500</v>
      </c>
    </row>
    <row r="1401" spans="1:11" x14ac:dyDescent="0.2">
      <c r="A1401" s="1" t="s">
        <v>4994</v>
      </c>
      <c r="B1401" s="1" t="s">
        <v>1779</v>
      </c>
      <c r="C1401" s="1"/>
      <c r="D1401" s="1"/>
      <c r="E1401" s="1"/>
      <c r="F1401" s="1"/>
      <c r="G1401" s="1"/>
      <c r="H1401" s="1" t="str">
        <f>"7804659070048"</f>
        <v>7804659070048</v>
      </c>
      <c r="I1401" s="3">
        <v>41</v>
      </c>
      <c r="J1401" s="3">
        <v>0</v>
      </c>
      <c r="K1401" s="3">
        <v>1500</v>
      </c>
    </row>
    <row r="1402" spans="1:11" x14ac:dyDescent="0.2">
      <c r="A1402" s="1" t="s">
        <v>4994</v>
      </c>
      <c r="B1402" s="1" t="s">
        <v>1780</v>
      </c>
      <c r="C1402" s="1"/>
      <c r="D1402" s="1"/>
      <c r="E1402" s="1"/>
      <c r="F1402" s="1"/>
      <c r="G1402" s="1"/>
      <c r="H1402" s="1" t="str">
        <f>"7800046005136"</f>
        <v>7800046005136</v>
      </c>
      <c r="I1402" s="3">
        <v>1</v>
      </c>
      <c r="J1402" s="3">
        <v>0</v>
      </c>
      <c r="K1402" s="3">
        <v>6500</v>
      </c>
    </row>
    <row r="1403" spans="1:11" x14ac:dyDescent="0.2">
      <c r="A1403" s="1" t="s">
        <v>4994</v>
      </c>
      <c r="B1403" s="1" t="s">
        <v>1781</v>
      </c>
      <c r="C1403" s="1"/>
      <c r="D1403" s="1"/>
      <c r="E1403" s="1"/>
      <c r="F1403" s="1"/>
      <c r="G1403" s="1"/>
      <c r="H1403" s="1" t="str">
        <f>"7804628610008"</f>
        <v>7804628610008</v>
      </c>
      <c r="I1403" s="3">
        <v>20</v>
      </c>
      <c r="J1403" s="3">
        <v>0</v>
      </c>
      <c r="K1403" s="3">
        <v>9000</v>
      </c>
    </row>
    <row r="1404" spans="1:11" x14ac:dyDescent="0.2">
      <c r="A1404" s="1" t="s">
        <v>4994</v>
      </c>
      <c r="B1404" s="1" t="s">
        <v>1782</v>
      </c>
      <c r="C1404" s="1"/>
      <c r="D1404" s="1"/>
      <c r="E1404" s="1"/>
      <c r="F1404" s="1"/>
      <c r="G1404" s="1"/>
      <c r="H1404" s="1" t="str">
        <f>"7804628610015"</f>
        <v>7804628610015</v>
      </c>
      <c r="I1404" s="3">
        <v>0</v>
      </c>
      <c r="J1404" s="3">
        <v>0</v>
      </c>
      <c r="K1404" s="3">
        <v>9500</v>
      </c>
    </row>
    <row r="1405" spans="1:11" x14ac:dyDescent="0.2">
      <c r="A1405" s="1" t="s">
        <v>4994</v>
      </c>
      <c r="B1405" s="1" t="s">
        <v>1785</v>
      </c>
      <c r="C1405" s="1"/>
      <c r="D1405" s="1"/>
      <c r="E1405" s="1"/>
      <c r="F1405" s="1"/>
      <c r="G1405" s="1"/>
      <c r="H1405" s="1" t="str">
        <f>"7804620834433"</f>
        <v>7804620834433</v>
      </c>
      <c r="I1405" s="3">
        <v>0</v>
      </c>
      <c r="J1405" s="3">
        <v>0</v>
      </c>
      <c r="K1405" s="3">
        <v>2000</v>
      </c>
    </row>
    <row r="1406" spans="1:11" x14ac:dyDescent="0.2">
      <c r="A1406" s="1" t="s">
        <v>4994</v>
      </c>
      <c r="B1406" s="1" t="s">
        <v>1786</v>
      </c>
      <c r="C1406" s="1"/>
      <c r="D1406" s="1"/>
      <c r="E1406" s="1"/>
      <c r="F1406" s="1"/>
      <c r="G1406" s="1"/>
      <c r="H1406" s="1" t="str">
        <f>"7800007783448"</f>
        <v>7800007783448</v>
      </c>
      <c r="I1406" s="3">
        <v>0</v>
      </c>
      <c r="J1406" s="3">
        <v>0</v>
      </c>
      <c r="K1406" s="3">
        <v>2000</v>
      </c>
    </row>
    <row r="1407" spans="1:11" x14ac:dyDescent="0.2">
      <c r="A1407" s="1" t="s">
        <v>4994</v>
      </c>
      <c r="B1407" s="1" t="s">
        <v>1788</v>
      </c>
      <c r="C1407" s="1"/>
      <c r="D1407" s="1"/>
      <c r="E1407" s="1"/>
      <c r="F1407" s="1"/>
      <c r="G1407" s="1"/>
      <c r="H1407" s="1" t="str">
        <f>"7804653720031"</f>
        <v>7804653720031</v>
      </c>
      <c r="I1407" s="3">
        <v>0</v>
      </c>
      <c r="J1407" s="3">
        <v>0</v>
      </c>
      <c r="K1407" s="3">
        <v>6500</v>
      </c>
    </row>
    <row r="1408" spans="1:11" x14ac:dyDescent="0.2">
      <c r="A1408" s="1" t="s">
        <v>4994</v>
      </c>
      <c r="B1408" s="1" t="s">
        <v>1789</v>
      </c>
      <c r="C1408" s="1"/>
      <c r="D1408" s="1"/>
      <c r="E1408" s="1"/>
      <c r="F1408" s="1"/>
      <c r="G1408" s="1"/>
      <c r="H1408" s="1" t="str">
        <f>"FVEAP"</f>
        <v>FVEAP</v>
      </c>
      <c r="I1408" s="3">
        <v>0</v>
      </c>
      <c r="J1408" s="3">
        <v>0</v>
      </c>
      <c r="K1408" s="3">
        <v>1500</v>
      </c>
    </row>
    <row r="1409" spans="1:11" x14ac:dyDescent="0.2">
      <c r="A1409" s="1" t="s">
        <v>4994</v>
      </c>
      <c r="B1409" s="1" t="s">
        <v>1790</v>
      </c>
      <c r="C1409" s="1"/>
      <c r="D1409" s="1"/>
      <c r="E1409" s="1"/>
      <c r="F1409" s="1"/>
      <c r="G1409" s="1"/>
      <c r="H1409" s="1" t="str">
        <f>"FVEDG"</f>
        <v>FVEDG</v>
      </c>
      <c r="I1409" s="3">
        <v>0</v>
      </c>
      <c r="J1409" s="3">
        <v>0</v>
      </c>
      <c r="K1409" s="3">
        <v>1500</v>
      </c>
    </row>
    <row r="1410" spans="1:11" x14ac:dyDescent="0.2">
      <c r="A1410" s="1" t="s">
        <v>4994</v>
      </c>
      <c r="B1410" s="1" t="s">
        <v>1791</v>
      </c>
      <c r="C1410" s="1"/>
      <c r="D1410" s="1"/>
      <c r="E1410" s="1"/>
      <c r="F1410" s="1"/>
      <c r="G1410" s="1"/>
      <c r="H1410" s="1" t="str">
        <f>"7509552789201"</f>
        <v>7509552789201</v>
      </c>
      <c r="I1410" s="3">
        <v>0</v>
      </c>
      <c r="J1410" s="3">
        <v>0</v>
      </c>
      <c r="K1410" s="3">
        <v>2000</v>
      </c>
    </row>
    <row r="1411" spans="1:11" x14ac:dyDescent="0.2">
      <c r="A1411" s="1" t="s">
        <v>4994</v>
      </c>
      <c r="B1411" s="1" t="s">
        <v>1792</v>
      </c>
      <c r="C1411" s="1"/>
      <c r="D1411" s="1"/>
      <c r="E1411" s="1"/>
      <c r="F1411" s="1"/>
      <c r="G1411" s="1"/>
      <c r="H1411" s="1" t="str">
        <f>"7703378010451"</f>
        <v>7703378010451</v>
      </c>
      <c r="I1411" s="3">
        <v>0</v>
      </c>
      <c r="J1411" s="3">
        <v>0</v>
      </c>
      <c r="K1411" s="3">
        <v>2000</v>
      </c>
    </row>
    <row r="1412" spans="1:11" x14ac:dyDescent="0.2">
      <c r="A1412" s="1" t="s">
        <v>4994</v>
      </c>
      <c r="B1412" s="1" t="s">
        <v>1793</v>
      </c>
      <c r="C1412" s="1"/>
      <c r="D1412" s="1"/>
      <c r="E1412" s="1"/>
      <c r="F1412" s="1"/>
      <c r="G1412" s="1"/>
      <c r="H1412" s="1" t="str">
        <f>"7703378011939"</f>
        <v>7703378011939</v>
      </c>
      <c r="I1412" s="3">
        <v>0</v>
      </c>
      <c r="J1412" s="3">
        <v>0</v>
      </c>
      <c r="K1412" s="3">
        <v>2000</v>
      </c>
    </row>
    <row r="1413" spans="1:11" x14ac:dyDescent="0.2">
      <c r="A1413" s="1" t="s">
        <v>4994</v>
      </c>
      <c r="B1413" s="1" t="s">
        <v>1794</v>
      </c>
      <c r="C1413" s="1"/>
      <c r="D1413" s="1"/>
      <c r="E1413" s="1"/>
      <c r="F1413" s="1"/>
      <c r="G1413" s="1"/>
      <c r="H1413" s="1" t="str">
        <f>"7509552924190"</f>
        <v>7509552924190</v>
      </c>
      <c r="I1413" s="3">
        <v>0</v>
      </c>
      <c r="J1413" s="3">
        <v>0</v>
      </c>
      <c r="K1413" s="3">
        <v>2500</v>
      </c>
    </row>
    <row r="1414" spans="1:11" x14ac:dyDescent="0.2">
      <c r="A1414" s="1" t="s">
        <v>4994</v>
      </c>
      <c r="B1414" s="1" t="s">
        <v>1796</v>
      </c>
      <c r="C1414" s="1"/>
      <c r="D1414" s="1"/>
      <c r="E1414" s="1"/>
      <c r="F1414" s="1"/>
      <c r="G1414" s="1"/>
      <c r="H1414" s="1" t="str">
        <f>"7804650884804"</f>
        <v>7804650884804</v>
      </c>
      <c r="I1414" s="3">
        <v>0</v>
      </c>
      <c r="J1414" s="3">
        <v>0</v>
      </c>
      <c r="K1414" s="3">
        <v>2500</v>
      </c>
    </row>
    <row r="1415" spans="1:11" x14ac:dyDescent="0.2">
      <c r="A1415" s="1" t="s">
        <v>4994</v>
      </c>
      <c r="B1415" s="1" t="s">
        <v>1799</v>
      </c>
      <c r="C1415" s="1"/>
      <c r="D1415" s="1"/>
      <c r="E1415" s="1"/>
      <c r="F1415" s="1"/>
      <c r="G1415" s="1"/>
      <c r="H1415" s="1" t="str">
        <f>"8904317830683"</f>
        <v>8904317830683</v>
      </c>
      <c r="I1415" s="3">
        <v>120</v>
      </c>
      <c r="J1415" s="3">
        <v>0</v>
      </c>
      <c r="K1415" s="3">
        <v>3500</v>
      </c>
    </row>
    <row r="1416" spans="1:11" x14ac:dyDescent="0.2">
      <c r="A1416" s="1" t="s">
        <v>4994</v>
      </c>
      <c r="B1416" s="1" t="s">
        <v>1801</v>
      </c>
      <c r="C1416" s="1"/>
      <c r="D1416" s="1"/>
      <c r="E1416" s="1"/>
      <c r="F1416" s="1"/>
      <c r="G1416" s="1"/>
      <c r="H1416" s="1" t="str">
        <f>"7800055000450"</f>
        <v>7800055000450</v>
      </c>
      <c r="I1416" s="3">
        <v>2</v>
      </c>
      <c r="J1416" s="3">
        <v>0</v>
      </c>
      <c r="K1416" s="3">
        <v>75000</v>
      </c>
    </row>
    <row r="1417" spans="1:11" x14ac:dyDescent="0.2">
      <c r="A1417" s="1" t="s">
        <v>4994</v>
      </c>
      <c r="B1417" s="1" t="s">
        <v>1804</v>
      </c>
      <c r="C1417" s="1"/>
      <c r="D1417" s="1"/>
      <c r="E1417" s="1"/>
      <c r="F1417" s="1"/>
      <c r="G1417" s="1"/>
      <c r="H1417" s="1" t="str">
        <f>"7795373000407"</f>
        <v>7795373000407</v>
      </c>
      <c r="I1417" s="3">
        <v>3</v>
      </c>
      <c r="J1417" s="3">
        <v>0</v>
      </c>
      <c r="K1417" s="3">
        <v>22000</v>
      </c>
    </row>
    <row r="1418" spans="1:11" x14ac:dyDescent="0.2">
      <c r="A1418" s="1" t="s">
        <v>4994</v>
      </c>
      <c r="B1418" s="1" t="s">
        <v>1805</v>
      </c>
      <c r="C1418" s="1"/>
      <c r="D1418" s="1"/>
      <c r="E1418" s="1"/>
      <c r="F1418" s="1"/>
      <c r="G1418" s="1"/>
      <c r="H1418" s="1" t="str">
        <f>"7506195144947"</f>
        <v>7506195144947</v>
      </c>
      <c r="I1418" s="3">
        <v>6</v>
      </c>
      <c r="J1418" s="3">
        <v>0</v>
      </c>
      <c r="K1418" s="3">
        <v>4000</v>
      </c>
    </row>
    <row r="1419" spans="1:11" x14ac:dyDescent="0.2">
      <c r="A1419" s="1" t="s">
        <v>4994</v>
      </c>
      <c r="B1419" s="1" t="s">
        <v>1806</v>
      </c>
      <c r="C1419" s="1"/>
      <c r="D1419" s="1"/>
      <c r="E1419" s="1"/>
      <c r="F1419" s="1"/>
      <c r="G1419" s="1"/>
      <c r="H1419" s="1" t="str">
        <f>"7800007807380"</f>
        <v>7800007807380</v>
      </c>
      <c r="I1419" s="3">
        <v>0</v>
      </c>
      <c r="J1419" s="3">
        <v>0</v>
      </c>
      <c r="K1419" s="3">
        <v>34000</v>
      </c>
    </row>
    <row r="1420" spans="1:11" x14ac:dyDescent="0.2">
      <c r="A1420" s="1" t="s">
        <v>4994</v>
      </c>
      <c r="B1420" s="1" t="s">
        <v>1807</v>
      </c>
      <c r="C1420" s="1"/>
      <c r="D1420" s="1"/>
      <c r="E1420" s="1"/>
      <c r="F1420" s="1"/>
      <c r="G1420" s="1"/>
      <c r="H1420" s="1" t="str">
        <f>"7804945005020"</f>
        <v>7804945005020</v>
      </c>
      <c r="I1420" s="3">
        <v>0</v>
      </c>
      <c r="J1420" s="3">
        <v>0</v>
      </c>
      <c r="K1420" s="3">
        <v>6000</v>
      </c>
    </row>
    <row r="1421" spans="1:11" x14ac:dyDescent="0.2">
      <c r="A1421" s="1" t="s">
        <v>4994</v>
      </c>
      <c r="B1421" s="1" t="s">
        <v>1808</v>
      </c>
      <c r="C1421" s="1"/>
      <c r="D1421" s="1"/>
      <c r="E1421" s="1"/>
      <c r="F1421" s="1"/>
      <c r="G1421" s="1"/>
      <c r="H1421" s="1" t="str">
        <f>"7804945001718"</f>
        <v>7804945001718</v>
      </c>
      <c r="I1421" s="3">
        <v>0</v>
      </c>
      <c r="J1421" s="3">
        <v>0</v>
      </c>
      <c r="K1421" s="3">
        <v>6000</v>
      </c>
    </row>
    <row r="1422" spans="1:11" x14ac:dyDescent="0.2">
      <c r="A1422" s="1" t="s">
        <v>4994</v>
      </c>
      <c r="B1422" s="1" t="s">
        <v>1809</v>
      </c>
      <c r="C1422" s="1"/>
      <c r="D1422" s="1"/>
      <c r="E1422" s="1"/>
      <c r="F1422" s="1"/>
      <c r="G1422" s="1"/>
      <c r="H1422" s="1" t="str">
        <f>"7800007811530"</f>
        <v>7800007811530</v>
      </c>
      <c r="I1422" s="3">
        <v>0</v>
      </c>
      <c r="J1422" s="3">
        <v>0</v>
      </c>
      <c r="K1422" s="3">
        <v>5000</v>
      </c>
    </row>
    <row r="1423" spans="1:11" x14ac:dyDescent="0.2">
      <c r="A1423" s="1" t="s">
        <v>4994</v>
      </c>
      <c r="B1423" s="1" t="s">
        <v>1810</v>
      </c>
      <c r="C1423" s="1"/>
      <c r="D1423" s="1"/>
      <c r="E1423" s="1"/>
      <c r="F1423" s="1"/>
      <c r="G1423" s="1"/>
      <c r="H1423" s="1" t="str">
        <f>"7804633500721"</f>
        <v>7804633500721</v>
      </c>
      <c r="I1423" s="3">
        <v>0</v>
      </c>
      <c r="J1423" s="3">
        <v>0</v>
      </c>
      <c r="K1423" s="3">
        <v>500</v>
      </c>
    </row>
    <row r="1424" spans="1:11" x14ac:dyDescent="0.2">
      <c r="A1424" s="1" t="s">
        <v>4994</v>
      </c>
      <c r="B1424" s="1" t="s">
        <v>1811</v>
      </c>
      <c r="C1424" s="1"/>
      <c r="D1424" s="1"/>
      <c r="E1424" s="1"/>
      <c r="F1424" s="1"/>
      <c r="G1424" s="1"/>
      <c r="H1424" s="1" t="str">
        <f>"7804902049104"</f>
        <v>7804902049104</v>
      </c>
      <c r="I1424" s="3">
        <v>0</v>
      </c>
      <c r="J1424" s="3">
        <v>0</v>
      </c>
      <c r="K1424" s="3">
        <v>4000</v>
      </c>
    </row>
    <row r="1425" spans="1:11" x14ac:dyDescent="0.2">
      <c r="A1425" s="1" t="s">
        <v>4994</v>
      </c>
      <c r="B1425" s="1" t="s">
        <v>1812</v>
      </c>
      <c r="C1425" s="1"/>
      <c r="D1425" s="1"/>
      <c r="E1425" s="1"/>
      <c r="F1425" s="1"/>
      <c r="G1425" s="1"/>
      <c r="H1425" s="1" t="str">
        <f>"7804902035510"</f>
        <v>7804902035510</v>
      </c>
      <c r="I1425" s="3">
        <v>0</v>
      </c>
      <c r="J1425" s="3">
        <v>0</v>
      </c>
      <c r="K1425" s="3">
        <v>4000</v>
      </c>
    </row>
    <row r="1426" spans="1:11" x14ac:dyDescent="0.2">
      <c r="A1426" s="1" t="s">
        <v>4994</v>
      </c>
      <c r="B1426" s="1" t="s">
        <v>1813</v>
      </c>
      <c r="C1426" s="1"/>
      <c r="D1426" s="1"/>
      <c r="E1426" s="1"/>
      <c r="F1426" s="1"/>
      <c r="G1426" s="1"/>
      <c r="H1426" s="1" t="str">
        <f>"7804902044345"</f>
        <v>7804902044345</v>
      </c>
      <c r="I1426" s="3">
        <v>0</v>
      </c>
      <c r="J1426" s="3">
        <v>0</v>
      </c>
      <c r="K1426" s="3">
        <v>5000</v>
      </c>
    </row>
    <row r="1427" spans="1:11" x14ac:dyDescent="0.2">
      <c r="A1427" s="1" t="s">
        <v>4994</v>
      </c>
      <c r="B1427" s="1" t="s">
        <v>1814</v>
      </c>
      <c r="C1427" s="1"/>
      <c r="D1427" s="1"/>
      <c r="E1427" s="1"/>
      <c r="F1427" s="1"/>
      <c r="G1427" s="1"/>
      <c r="H1427" s="1" t="str">
        <f>"7804900610887"</f>
        <v>7804900610887</v>
      </c>
      <c r="I1427" s="3">
        <v>0</v>
      </c>
      <c r="J1427" s="3">
        <v>0</v>
      </c>
      <c r="K1427" s="3">
        <v>3500</v>
      </c>
    </row>
    <row r="1428" spans="1:11" x14ac:dyDescent="0.2">
      <c r="A1428" s="1" t="s">
        <v>4994</v>
      </c>
      <c r="B1428" s="1" t="s">
        <v>1815</v>
      </c>
      <c r="C1428" s="1"/>
      <c r="D1428" s="1"/>
      <c r="E1428" s="1"/>
      <c r="F1428" s="1"/>
      <c r="G1428" s="1"/>
      <c r="H1428" s="1" t="str">
        <f>"7794640630491"</f>
        <v>7794640630491</v>
      </c>
      <c r="I1428" s="3">
        <v>6</v>
      </c>
      <c r="J1428" s="3">
        <v>0</v>
      </c>
      <c r="K1428" s="3">
        <v>2800</v>
      </c>
    </row>
    <row r="1429" spans="1:11" x14ac:dyDescent="0.2">
      <c r="A1429" s="1" t="s">
        <v>4994</v>
      </c>
      <c r="B1429" s="1" t="s">
        <v>1816</v>
      </c>
      <c r="C1429" s="1"/>
      <c r="D1429" s="1"/>
      <c r="E1429" s="1"/>
      <c r="F1429" s="1"/>
      <c r="G1429" s="1"/>
      <c r="H1429" s="1" t="str">
        <f>"7804900632506"</f>
        <v>7804900632506</v>
      </c>
      <c r="I1429" s="3">
        <v>23</v>
      </c>
      <c r="J1429" s="3">
        <v>0</v>
      </c>
      <c r="K1429" s="3">
        <v>3500</v>
      </c>
    </row>
    <row r="1430" spans="1:11" x14ac:dyDescent="0.2">
      <c r="A1430" s="1" t="s">
        <v>4994</v>
      </c>
      <c r="B1430" s="1" t="s">
        <v>1817</v>
      </c>
      <c r="C1430" s="1"/>
      <c r="D1430" s="1"/>
      <c r="E1430" s="1"/>
      <c r="F1430" s="1"/>
      <c r="G1430" s="1"/>
      <c r="H1430" s="1" t="str">
        <f>"7804900610955"</f>
        <v>7804900610955</v>
      </c>
      <c r="I1430" s="3">
        <v>3</v>
      </c>
      <c r="J1430" s="3">
        <v>0</v>
      </c>
      <c r="K1430" s="3">
        <v>2800</v>
      </c>
    </row>
    <row r="1431" spans="1:11" x14ac:dyDescent="0.2">
      <c r="A1431" s="1" t="s">
        <v>4994</v>
      </c>
      <c r="B1431" s="1" t="s">
        <v>1818</v>
      </c>
      <c r="C1431" s="1"/>
      <c r="D1431" s="1"/>
      <c r="E1431" s="1"/>
      <c r="F1431" s="1"/>
      <c r="G1431" s="1"/>
      <c r="H1431" s="1" t="str">
        <f>"8903726307861"</f>
        <v>8903726307861</v>
      </c>
      <c r="I1431" s="3">
        <v>0</v>
      </c>
      <c r="J1431" s="3">
        <v>0</v>
      </c>
      <c r="K1431" s="3">
        <v>3500</v>
      </c>
    </row>
    <row r="1432" spans="1:11" x14ac:dyDescent="0.2">
      <c r="A1432" s="1" t="s">
        <v>4994</v>
      </c>
      <c r="B1432" s="1" t="s">
        <v>1819</v>
      </c>
      <c r="C1432" s="1"/>
      <c r="D1432" s="1"/>
      <c r="E1432" s="1"/>
      <c r="F1432" s="1"/>
      <c r="G1432" s="1"/>
      <c r="H1432" s="1" t="str">
        <f>"7804653720581"</f>
        <v>7804653720581</v>
      </c>
      <c r="I1432" s="3">
        <v>0</v>
      </c>
      <c r="J1432" s="3">
        <v>0</v>
      </c>
      <c r="K1432" s="3">
        <v>9000</v>
      </c>
    </row>
    <row r="1433" spans="1:11" x14ac:dyDescent="0.2">
      <c r="A1433" s="1" t="s">
        <v>4994</v>
      </c>
      <c r="B1433" s="1" t="s">
        <v>1820</v>
      </c>
      <c r="C1433" s="1"/>
      <c r="D1433" s="1"/>
      <c r="E1433" s="1"/>
      <c r="F1433" s="1"/>
      <c r="G1433" s="1"/>
      <c r="H1433" s="1" t="str">
        <f>"7804653720574"</f>
        <v>7804653720574</v>
      </c>
      <c r="I1433" s="3">
        <v>0</v>
      </c>
      <c r="J1433" s="3">
        <v>0</v>
      </c>
      <c r="K1433" s="3">
        <v>4800</v>
      </c>
    </row>
    <row r="1434" spans="1:11" x14ac:dyDescent="0.2">
      <c r="A1434" s="1" t="s">
        <v>4994</v>
      </c>
      <c r="B1434" s="1" t="s">
        <v>1821</v>
      </c>
      <c r="C1434" s="1"/>
      <c r="D1434" s="1"/>
      <c r="E1434" s="1"/>
      <c r="F1434" s="1"/>
      <c r="G1434" s="1"/>
      <c r="H1434" s="1" t="str">
        <f>"4005800631788"</f>
        <v>4005800631788</v>
      </c>
      <c r="I1434" s="3">
        <v>0</v>
      </c>
      <c r="J1434" s="3">
        <v>0</v>
      </c>
      <c r="K1434" s="3">
        <v>18000</v>
      </c>
    </row>
    <row r="1435" spans="1:11" x14ac:dyDescent="0.2">
      <c r="A1435" s="1" t="s">
        <v>4994</v>
      </c>
      <c r="B1435" s="1" t="s">
        <v>1822</v>
      </c>
      <c r="C1435" s="1"/>
      <c r="D1435" s="1"/>
      <c r="E1435" s="1"/>
      <c r="F1435" s="1"/>
      <c r="G1435" s="1"/>
      <c r="H1435" s="1" t="str">
        <f>"4005800223136"</f>
        <v>4005800223136</v>
      </c>
      <c r="I1435" s="3">
        <v>42</v>
      </c>
      <c r="J1435" s="3">
        <v>0</v>
      </c>
      <c r="K1435" s="3">
        <v>10000</v>
      </c>
    </row>
    <row r="1436" spans="1:11" x14ac:dyDescent="0.2">
      <c r="A1436" s="1" t="s">
        <v>4994</v>
      </c>
      <c r="B1436" s="1" t="s">
        <v>1823</v>
      </c>
      <c r="C1436" s="1"/>
      <c r="D1436" s="1"/>
      <c r="E1436" s="1"/>
      <c r="F1436" s="1"/>
      <c r="G1436" s="1"/>
      <c r="H1436" s="1" t="str">
        <f>"75923722809710"</f>
        <v>75923722809710</v>
      </c>
      <c r="I1436" s="3">
        <v>5</v>
      </c>
      <c r="J1436" s="3">
        <v>0</v>
      </c>
      <c r="K1436" s="3">
        <v>1500</v>
      </c>
    </row>
    <row r="1437" spans="1:11" x14ac:dyDescent="0.2">
      <c r="A1437" s="1" t="s">
        <v>4994</v>
      </c>
      <c r="B1437" s="1" t="s">
        <v>1824</v>
      </c>
      <c r="C1437" s="1"/>
      <c r="D1437" s="1"/>
      <c r="E1437" s="1"/>
      <c r="F1437" s="1"/>
      <c r="G1437" s="1"/>
      <c r="H1437" s="1" t="str">
        <f>"4005800348433"</f>
        <v>4005800348433</v>
      </c>
      <c r="I1437" s="3">
        <v>0</v>
      </c>
      <c r="J1437" s="3">
        <v>0</v>
      </c>
      <c r="K1437" s="3">
        <v>16000</v>
      </c>
    </row>
    <row r="1438" spans="1:11" x14ac:dyDescent="0.2">
      <c r="A1438" s="1" t="s">
        <v>4994</v>
      </c>
      <c r="B1438" s="1" t="s">
        <v>1825</v>
      </c>
      <c r="C1438" s="1"/>
      <c r="D1438" s="1"/>
      <c r="E1438" s="1"/>
      <c r="F1438" s="1"/>
      <c r="G1438" s="1"/>
      <c r="H1438" s="1" t="str">
        <f>"4005900259646"</f>
        <v>4005900259646</v>
      </c>
      <c r="I1438" s="3">
        <v>0</v>
      </c>
      <c r="J1438" s="3">
        <v>0</v>
      </c>
      <c r="K1438" s="3">
        <v>17000</v>
      </c>
    </row>
    <row r="1439" spans="1:11" x14ac:dyDescent="0.2">
      <c r="A1439" s="1" t="s">
        <v>4994</v>
      </c>
      <c r="B1439" s="1" t="s">
        <v>1826</v>
      </c>
      <c r="C1439" s="1"/>
      <c r="D1439" s="1"/>
      <c r="E1439" s="1"/>
      <c r="F1439" s="1"/>
      <c r="G1439" s="1"/>
      <c r="H1439" s="1" t="str">
        <f>"4005800266409"</f>
        <v>4005800266409</v>
      </c>
      <c r="I1439" s="3">
        <v>0</v>
      </c>
      <c r="J1439" s="3">
        <v>0</v>
      </c>
      <c r="K1439" s="3">
        <v>17000</v>
      </c>
    </row>
    <row r="1440" spans="1:11" x14ac:dyDescent="0.2">
      <c r="A1440" s="1" t="s">
        <v>4994</v>
      </c>
      <c r="B1440" s="1" t="s">
        <v>1827</v>
      </c>
      <c r="C1440" s="1"/>
      <c r="D1440" s="1"/>
      <c r="E1440" s="1"/>
      <c r="F1440" s="1"/>
      <c r="G1440" s="1"/>
      <c r="H1440" s="1" t="str">
        <f>"4005800027697"</f>
        <v>4005800027697</v>
      </c>
      <c r="I1440" s="3">
        <v>7</v>
      </c>
      <c r="J1440" s="3">
        <v>0</v>
      </c>
      <c r="K1440" s="3">
        <v>15000</v>
      </c>
    </row>
    <row r="1441" spans="1:11" x14ac:dyDescent="0.2">
      <c r="A1441" s="1" t="s">
        <v>4994</v>
      </c>
      <c r="B1441" s="1" t="s">
        <v>1828</v>
      </c>
      <c r="C1441" s="1"/>
      <c r="D1441" s="1"/>
      <c r="E1441" s="1"/>
      <c r="F1441" s="1"/>
      <c r="G1441" s="1"/>
      <c r="H1441" s="1" t="str">
        <f>"4005900436962"</f>
        <v>4005900436962</v>
      </c>
      <c r="I1441" s="3">
        <v>4</v>
      </c>
      <c r="J1441" s="3">
        <v>0</v>
      </c>
      <c r="K1441" s="3">
        <v>22000</v>
      </c>
    </row>
    <row r="1442" spans="1:11" x14ac:dyDescent="0.2">
      <c r="A1442" s="1" t="s">
        <v>4994</v>
      </c>
      <c r="B1442" s="1" t="s">
        <v>1829</v>
      </c>
      <c r="C1442" s="1"/>
      <c r="D1442" s="1"/>
      <c r="E1442" s="1"/>
      <c r="F1442" s="1"/>
      <c r="G1442" s="1"/>
      <c r="H1442" s="1" t="str">
        <f>"4005800040573"</f>
        <v>4005800040573</v>
      </c>
      <c r="I1442" s="3">
        <v>0</v>
      </c>
      <c r="J1442" s="3">
        <v>0</v>
      </c>
      <c r="K1442" s="3">
        <v>16000</v>
      </c>
    </row>
    <row r="1443" spans="1:11" x14ac:dyDescent="0.2">
      <c r="A1443" s="1" t="s">
        <v>4994</v>
      </c>
      <c r="B1443" s="1" t="s">
        <v>1830</v>
      </c>
      <c r="C1443" s="1"/>
      <c r="D1443" s="1"/>
      <c r="E1443" s="1"/>
      <c r="F1443" s="1"/>
      <c r="G1443" s="1"/>
      <c r="H1443" s="1" t="str">
        <f>"4005800036842"</f>
        <v>4005800036842</v>
      </c>
      <c r="I1443" s="3">
        <v>0</v>
      </c>
      <c r="J1443" s="3">
        <v>0</v>
      </c>
      <c r="K1443" s="3">
        <v>17000</v>
      </c>
    </row>
    <row r="1444" spans="1:11" x14ac:dyDescent="0.2">
      <c r="A1444" s="1" t="s">
        <v>4994</v>
      </c>
      <c r="B1444" s="1" t="s">
        <v>1831</v>
      </c>
      <c r="C1444" s="1"/>
      <c r="D1444" s="1"/>
      <c r="E1444" s="1"/>
      <c r="F1444" s="1"/>
      <c r="G1444" s="1"/>
      <c r="H1444" s="1" t="str">
        <f>"4005900264282"</f>
        <v>4005900264282</v>
      </c>
      <c r="I1444" s="3">
        <v>19</v>
      </c>
      <c r="J1444" s="3">
        <v>0</v>
      </c>
      <c r="K1444" s="3">
        <v>25000</v>
      </c>
    </row>
    <row r="1445" spans="1:11" x14ac:dyDescent="0.2">
      <c r="A1445" s="1" t="s">
        <v>4994</v>
      </c>
      <c r="B1445" s="1" t="s">
        <v>1832</v>
      </c>
      <c r="C1445" s="1"/>
      <c r="D1445" s="1"/>
      <c r="E1445" s="1"/>
      <c r="F1445" s="1"/>
      <c r="G1445" s="1"/>
      <c r="H1445" s="1" t="str">
        <f>"4005800024023"</f>
        <v>4005800024023</v>
      </c>
      <c r="I1445" s="3">
        <v>0</v>
      </c>
      <c r="J1445" s="3">
        <v>0</v>
      </c>
      <c r="K1445" s="3">
        <v>30000</v>
      </c>
    </row>
    <row r="1446" spans="1:11" x14ac:dyDescent="0.2">
      <c r="A1446" s="1" t="s">
        <v>4994</v>
      </c>
      <c r="B1446" s="1" t="s">
        <v>1833</v>
      </c>
      <c r="C1446" s="1"/>
      <c r="D1446" s="1"/>
      <c r="E1446" s="1"/>
      <c r="F1446" s="1"/>
      <c r="G1446" s="1"/>
      <c r="H1446" s="1" t="str">
        <f>"4005900140906"</f>
        <v>4005900140906</v>
      </c>
      <c r="I1446" s="3">
        <v>7</v>
      </c>
      <c r="J1446" s="3">
        <v>0</v>
      </c>
      <c r="K1446" s="3">
        <v>17000</v>
      </c>
    </row>
    <row r="1447" spans="1:11" x14ac:dyDescent="0.2">
      <c r="A1447" s="1" t="s">
        <v>4994</v>
      </c>
      <c r="B1447" s="1" t="s">
        <v>1834</v>
      </c>
      <c r="C1447" s="1"/>
      <c r="D1447" s="1"/>
      <c r="E1447" s="1"/>
      <c r="F1447" s="1"/>
      <c r="G1447" s="1"/>
      <c r="H1447" s="1" t="str">
        <f>"4005800372452"</f>
        <v>4005800372452</v>
      </c>
      <c r="I1447" s="3">
        <v>2</v>
      </c>
      <c r="J1447" s="3">
        <v>0</v>
      </c>
      <c r="K1447" s="3">
        <v>35000</v>
      </c>
    </row>
    <row r="1448" spans="1:11" x14ac:dyDescent="0.2">
      <c r="A1448" s="1" t="s">
        <v>4994</v>
      </c>
      <c r="B1448" s="1" t="s">
        <v>1835</v>
      </c>
      <c r="C1448" s="1"/>
      <c r="D1448" s="1"/>
      <c r="E1448" s="1"/>
      <c r="F1448" s="1"/>
      <c r="G1448" s="1"/>
      <c r="H1448" s="1" t="str">
        <f>"4005800204975"</f>
        <v>4005800204975</v>
      </c>
      <c r="I1448" s="3">
        <v>0</v>
      </c>
      <c r="J1448" s="3">
        <v>0</v>
      </c>
      <c r="K1448" s="3">
        <v>20000</v>
      </c>
    </row>
    <row r="1449" spans="1:11" x14ac:dyDescent="0.2">
      <c r="A1449" s="1" t="s">
        <v>4994</v>
      </c>
      <c r="B1449" s="1" t="s">
        <v>1836</v>
      </c>
      <c r="C1449" s="1"/>
      <c r="D1449" s="1"/>
      <c r="E1449" s="1"/>
      <c r="F1449" s="1"/>
      <c r="G1449" s="1"/>
      <c r="H1449" s="1" t="str">
        <f>"75917615129248"</f>
        <v>75917615129248</v>
      </c>
      <c r="I1449" s="3">
        <v>3</v>
      </c>
      <c r="J1449" s="3">
        <v>0</v>
      </c>
      <c r="K1449" s="3">
        <v>22000</v>
      </c>
    </row>
    <row r="1450" spans="1:11" x14ac:dyDescent="0.2">
      <c r="A1450" s="1" t="s">
        <v>4994</v>
      </c>
      <c r="B1450" s="1" t="s">
        <v>1837</v>
      </c>
      <c r="C1450" s="1"/>
      <c r="D1450" s="1"/>
      <c r="E1450" s="1"/>
      <c r="F1450" s="1"/>
      <c r="G1450" s="1"/>
      <c r="H1450" s="1" t="str">
        <f>"4005800241901"</f>
        <v>4005800241901</v>
      </c>
      <c r="I1450" s="3">
        <v>1</v>
      </c>
      <c r="J1450" s="3">
        <v>0</v>
      </c>
      <c r="K1450" s="3">
        <v>19000</v>
      </c>
    </row>
    <row r="1451" spans="1:11" x14ac:dyDescent="0.2">
      <c r="A1451" s="1" t="s">
        <v>4994</v>
      </c>
      <c r="B1451" s="1" t="s">
        <v>1838</v>
      </c>
      <c r="C1451" s="1"/>
      <c r="D1451" s="1"/>
      <c r="E1451" s="1"/>
      <c r="F1451" s="1"/>
      <c r="G1451" s="1"/>
      <c r="H1451" s="1" t="str">
        <f>"4005800220012"</f>
        <v>4005800220012</v>
      </c>
      <c r="I1451" s="3">
        <v>0</v>
      </c>
      <c r="J1451" s="3">
        <v>0</v>
      </c>
      <c r="K1451" s="3">
        <v>5000</v>
      </c>
    </row>
    <row r="1452" spans="1:11" x14ac:dyDescent="0.2">
      <c r="A1452" s="1" t="s">
        <v>4994</v>
      </c>
      <c r="B1452" s="1" t="s">
        <v>1839</v>
      </c>
      <c r="C1452" s="1"/>
      <c r="D1452" s="1"/>
      <c r="E1452" s="1"/>
      <c r="F1452" s="1"/>
      <c r="G1452" s="1"/>
      <c r="H1452" s="1" t="str">
        <f>"4005900839626"</f>
        <v>4005900839626</v>
      </c>
      <c r="I1452" s="3">
        <v>0</v>
      </c>
      <c r="J1452" s="3">
        <v>0</v>
      </c>
      <c r="K1452" s="3">
        <v>23500</v>
      </c>
    </row>
    <row r="1453" spans="1:11" x14ac:dyDescent="0.2">
      <c r="A1453" s="1" t="s">
        <v>4994</v>
      </c>
      <c r="B1453" s="1" t="s">
        <v>1840</v>
      </c>
      <c r="C1453" s="1"/>
      <c r="D1453" s="1"/>
      <c r="E1453" s="1"/>
      <c r="F1453" s="1"/>
      <c r="G1453" s="1"/>
      <c r="H1453" s="1" t="str">
        <f>"4005800066627"</f>
        <v>4005800066627</v>
      </c>
      <c r="I1453" s="3">
        <v>0</v>
      </c>
      <c r="J1453" s="3">
        <v>0</v>
      </c>
      <c r="K1453" s="3">
        <v>21000</v>
      </c>
    </row>
    <row r="1454" spans="1:11" x14ac:dyDescent="0.2">
      <c r="A1454" s="1" t="s">
        <v>4994</v>
      </c>
      <c r="B1454" s="1" t="s">
        <v>1841</v>
      </c>
      <c r="C1454" s="1"/>
      <c r="D1454" s="1"/>
      <c r="E1454" s="1"/>
      <c r="F1454" s="1"/>
      <c r="G1454" s="1"/>
      <c r="H1454" s="1" t="str">
        <f>"4005900265227"</f>
        <v>4005900265227</v>
      </c>
      <c r="I1454" s="3">
        <v>11</v>
      </c>
      <c r="J1454" s="3">
        <v>0</v>
      </c>
      <c r="K1454" s="3">
        <v>22000</v>
      </c>
    </row>
    <row r="1455" spans="1:11" x14ac:dyDescent="0.2">
      <c r="A1455" s="1" t="s">
        <v>4994</v>
      </c>
      <c r="B1455" s="1" t="s">
        <v>1842</v>
      </c>
      <c r="C1455" s="1"/>
      <c r="D1455" s="1"/>
      <c r="E1455" s="1"/>
      <c r="F1455" s="1"/>
      <c r="G1455" s="1"/>
      <c r="H1455" s="1" t="str">
        <f>"4005800164361"</f>
        <v>4005800164361</v>
      </c>
      <c r="I1455" s="3">
        <v>0</v>
      </c>
      <c r="J1455" s="3">
        <v>0</v>
      </c>
      <c r="K1455" s="3">
        <v>33000</v>
      </c>
    </row>
    <row r="1456" spans="1:11" x14ac:dyDescent="0.2">
      <c r="A1456" s="1" t="s">
        <v>4994</v>
      </c>
      <c r="B1456" s="1" t="s">
        <v>1843</v>
      </c>
      <c r="C1456" s="1"/>
      <c r="D1456" s="1"/>
      <c r="E1456" s="1"/>
      <c r="F1456" s="1"/>
      <c r="G1456" s="1"/>
      <c r="H1456" s="1" t="str">
        <f>"7800060402744"</f>
        <v>7800060402744</v>
      </c>
      <c r="I1456" s="3">
        <v>0</v>
      </c>
      <c r="J1456" s="3">
        <v>0</v>
      </c>
      <c r="K1456" s="3">
        <v>3000</v>
      </c>
    </row>
    <row r="1457" spans="1:11" x14ac:dyDescent="0.2">
      <c r="A1457" s="1" t="s">
        <v>4994</v>
      </c>
      <c r="B1457" s="1" t="s">
        <v>1844</v>
      </c>
      <c r="C1457" s="1"/>
      <c r="D1457" s="1"/>
      <c r="E1457" s="1"/>
      <c r="F1457" s="1"/>
      <c r="G1457" s="1"/>
      <c r="H1457" s="1" t="str">
        <f>"7800060403987"</f>
        <v>7800060403987</v>
      </c>
      <c r="I1457" s="3">
        <v>0</v>
      </c>
      <c r="J1457" s="3">
        <v>0</v>
      </c>
      <c r="K1457" s="3">
        <v>4000</v>
      </c>
    </row>
    <row r="1458" spans="1:11" x14ac:dyDescent="0.2">
      <c r="A1458" s="1" t="s">
        <v>4994</v>
      </c>
      <c r="B1458" s="1" t="s">
        <v>1845</v>
      </c>
      <c r="C1458" s="1"/>
      <c r="D1458" s="1"/>
      <c r="E1458" s="1"/>
      <c r="F1458" s="1"/>
      <c r="G1458" s="1"/>
      <c r="H1458" s="1" t="str">
        <f>"7800060404113"</f>
        <v>7800060404113</v>
      </c>
      <c r="I1458" s="3">
        <v>2</v>
      </c>
      <c r="J1458" s="3">
        <v>0</v>
      </c>
      <c r="K1458" s="3">
        <v>7500</v>
      </c>
    </row>
    <row r="1459" spans="1:11" x14ac:dyDescent="0.2">
      <c r="A1459" s="1" t="s">
        <v>4994</v>
      </c>
      <c r="B1459" s="1" t="s">
        <v>1846</v>
      </c>
      <c r="C1459" s="1"/>
      <c r="D1459" s="1"/>
      <c r="E1459" s="1"/>
      <c r="F1459" s="1"/>
      <c r="G1459" s="1"/>
      <c r="H1459" s="1" t="str">
        <f>"7800060404281"</f>
        <v>7800060404281</v>
      </c>
      <c r="I1459" s="3">
        <v>0</v>
      </c>
      <c r="J1459" s="3">
        <v>0</v>
      </c>
      <c r="K1459" s="3">
        <v>5000</v>
      </c>
    </row>
    <row r="1460" spans="1:11" x14ac:dyDescent="0.2">
      <c r="A1460" s="1" t="s">
        <v>4994</v>
      </c>
      <c r="B1460" s="1" t="s">
        <v>1847</v>
      </c>
      <c r="C1460" s="1"/>
      <c r="D1460" s="1"/>
      <c r="E1460" s="1"/>
      <c r="F1460" s="1"/>
      <c r="G1460" s="1"/>
      <c r="H1460" s="1" t="str">
        <f>"7800060402904"</f>
        <v>7800060402904</v>
      </c>
      <c r="I1460" s="3">
        <v>0</v>
      </c>
      <c r="J1460" s="3">
        <v>0</v>
      </c>
      <c r="K1460" s="3">
        <v>38000</v>
      </c>
    </row>
    <row r="1461" spans="1:11" x14ac:dyDescent="0.2">
      <c r="A1461" s="1" t="s">
        <v>4994</v>
      </c>
      <c r="B1461" s="1" t="s">
        <v>1853</v>
      </c>
      <c r="C1461" s="1"/>
      <c r="D1461" s="1"/>
      <c r="E1461" s="1"/>
      <c r="F1461" s="1"/>
      <c r="G1461" s="1"/>
      <c r="H1461" s="1" t="str">
        <f>"7501298222653"</f>
        <v>7501298222653</v>
      </c>
      <c r="I1461" s="3">
        <v>9</v>
      </c>
      <c r="J1461" s="3">
        <v>0</v>
      </c>
      <c r="K1461" s="3">
        <v>14000</v>
      </c>
    </row>
    <row r="1462" spans="1:11" x14ac:dyDescent="0.2">
      <c r="A1462" s="1" t="s">
        <v>4994</v>
      </c>
      <c r="B1462" s="1" t="s">
        <v>1854</v>
      </c>
      <c r="C1462" s="1"/>
      <c r="D1462" s="1"/>
      <c r="E1462" s="1"/>
      <c r="F1462" s="1"/>
      <c r="G1462" s="1"/>
      <c r="H1462" s="1" t="str">
        <f>"7501298222721"</f>
        <v>7501298222721</v>
      </c>
      <c r="I1462" s="3">
        <v>6</v>
      </c>
      <c r="J1462" s="3">
        <v>0</v>
      </c>
      <c r="K1462" s="3">
        <v>15000</v>
      </c>
    </row>
    <row r="1463" spans="1:11" x14ac:dyDescent="0.2">
      <c r="A1463" s="1" t="s">
        <v>4994</v>
      </c>
      <c r="B1463" s="1" t="s">
        <v>1859</v>
      </c>
      <c r="C1463" s="1"/>
      <c r="D1463" s="1"/>
      <c r="E1463" s="1"/>
      <c r="F1463" s="1"/>
      <c r="G1463" s="1"/>
      <c r="H1463" s="1" t="str">
        <f>"7891010253820"</f>
        <v>7891010253820</v>
      </c>
      <c r="I1463" s="3">
        <v>0</v>
      </c>
      <c r="J1463" s="3">
        <v>0</v>
      </c>
      <c r="K1463" s="3">
        <v>7000</v>
      </c>
    </row>
    <row r="1464" spans="1:11" x14ac:dyDescent="0.2">
      <c r="A1464" s="1" t="s">
        <v>4994</v>
      </c>
      <c r="B1464" s="1" t="s">
        <v>1860</v>
      </c>
      <c r="C1464" s="1"/>
      <c r="D1464" s="1"/>
      <c r="E1464" s="1"/>
      <c r="F1464" s="1"/>
      <c r="G1464" s="1"/>
      <c r="H1464" s="1" t="str">
        <f>"8681725025077"</f>
        <v>8681725025077</v>
      </c>
      <c r="I1464" s="3">
        <v>0</v>
      </c>
      <c r="J1464" s="3">
        <v>0</v>
      </c>
      <c r="K1464" s="3">
        <v>1500</v>
      </c>
    </row>
    <row r="1465" spans="1:11" x14ac:dyDescent="0.2">
      <c r="A1465" s="1" t="s">
        <v>4994</v>
      </c>
      <c r="B1465" s="1" t="s">
        <v>1861</v>
      </c>
      <c r="C1465" s="1"/>
      <c r="D1465" s="1"/>
      <c r="E1465" s="1"/>
      <c r="F1465" s="1"/>
      <c r="G1465" s="1"/>
      <c r="H1465" s="1" t="str">
        <f>"8681725025060"</f>
        <v>8681725025060</v>
      </c>
      <c r="I1465" s="3">
        <v>0</v>
      </c>
      <c r="J1465" s="3">
        <v>0</v>
      </c>
      <c r="K1465" s="3">
        <v>2000</v>
      </c>
    </row>
    <row r="1466" spans="1:11" x14ac:dyDescent="0.2">
      <c r="A1466" s="1" t="s">
        <v>4994</v>
      </c>
      <c r="B1466" s="1" t="s">
        <v>1862</v>
      </c>
      <c r="C1466" s="1"/>
      <c r="D1466" s="1"/>
      <c r="E1466" s="1"/>
      <c r="F1466" s="1"/>
      <c r="G1466" s="1"/>
      <c r="H1466" s="1" t="str">
        <f>"5997001360484"</f>
        <v>5997001360484</v>
      </c>
      <c r="I1466" s="3">
        <v>59</v>
      </c>
      <c r="J1466" s="3">
        <v>0</v>
      </c>
      <c r="K1466" s="3">
        <v>5000</v>
      </c>
    </row>
    <row r="1467" spans="1:11" x14ac:dyDescent="0.2">
      <c r="A1467" s="1" t="s">
        <v>4994</v>
      </c>
      <c r="B1467" s="1" t="s">
        <v>1863</v>
      </c>
      <c r="C1467" s="1"/>
      <c r="D1467" s="1"/>
      <c r="E1467" s="1"/>
      <c r="F1467" s="1"/>
      <c r="G1467" s="1"/>
      <c r="H1467" s="1" t="str">
        <f>"7591066681300"</f>
        <v>7591066681300</v>
      </c>
      <c r="I1467" s="3">
        <v>0</v>
      </c>
      <c r="J1467" s="3">
        <v>0</v>
      </c>
      <c r="K1467" s="3">
        <v>2500</v>
      </c>
    </row>
    <row r="1468" spans="1:11" x14ac:dyDescent="0.2">
      <c r="A1468" s="1" t="s">
        <v>4994</v>
      </c>
      <c r="B1468" s="1" t="s">
        <v>1864</v>
      </c>
      <c r="C1468" s="1"/>
      <c r="D1468" s="1"/>
      <c r="E1468" s="1"/>
      <c r="F1468" s="1"/>
      <c r="G1468" s="1"/>
      <c r="H1468" s="1" t="str">
        <f>"7804656600316"</f>
        <v>7804656600316</v>
      </c>
      <c r="I1468" s="3">
        <v>0</v>
      </c>
      <c r="J1468" s="3">
        <v>0</v>
      </c>
      <c r="K1468" s="3">
        <v>20000</v>
      </c>
    </row>
    <row r="1469" spans="1:11" x14ac:dyDescent="0.2">
      <c r="A1469" s="1" t="s">
        <v>4994</v>
      </c>
      <c r="B1469" s="1" t="s">
        <v>1865</v>
      </c>
      <c r="C1469" s="1"/>
      <c r="D1469" s="1"/>
      <c r="E1469" s="1"/>
      <c r="F1469" s="1"/>
      <c r="G1469" s="1"/>
      <c r="H1469" s="1" t="str">
        <f>"70501053607"</f>
        <v>70501053607</v>
      </c>
      <c r="I1469" s="3">
        <v>0</v>
      </c>
      <c r="J1469" s="3">
        <v>0</v>
      </c>
      <c r="K1469" s="3">
        <v>7500</v>
      </c>
    </row>
    <row r="1470" spans="1:11" x14ac:dyDescent="0.2">
      <c r="A1470" s="1" t="s">
        <v>4994</v>
      </c>
      <c r="B1470" s="1" t="s">
        <v>1866</v>
      </c>
      <c r="C1470" s="1"/>
      <c r="D1470" s="1"/>
      <c r="E1470" s="1"/>
      <c r="F1470" s="1"/>
      <c r="G1470" s="1"/>
      <c r="H1470" s="1" t="str">
        <f>"8429420175303"</f>
        <v>8429420175303</v>
      </c>
      <c r="I1470" s="3">
        <v>2</v>
      </c>
      <c r="J1470" s="3">
        <v>0</v>
      </c>
      <c r="K1470" s="3">
        <v>29000</v>
      </c>
    </row>
    <row r="1471" spans="1:11" x14ac:dyDescent="0.2">
      <c r="A1471" s="1" t="s">
        <v>4994</v>
      </c>
      <c r="B1471" s="1" t="s">
        <v>1867</v>
      </c>
      <c r="C1471" s="1"/>
      <c r="D1471" s="1"/>
      <c r="E1471" s="1"/>
      <c r="F1471" s="1"/>
      <c r="G1471" s="1"/>
      <c r="H1471" s="1" t="str">
        <f>"7891010038908"</f>
        <v>7891010038908</v>
      </c>
      <c r="I1471" s="3">
        <v>0</v>
      </c>
      <c r="J1471" s="3">
        <v>0</v>
      </c>
      <c r="K1471" s="3">
        <v>4000</v>
      </c>
    </row>
    <row r="1472" spans="1:11" x14ac:dyDescent="0.2">
      <c r="A1472" s="1" t="s">
        <v>4994</v>
      </c>
      <c r="B1472" s="1" t="s">
        <v>1868</v>
      </c>
      <c r="C1472" s="1"/>
      <c r="D1472" s="1"/>
      <c r="E1472" s="1"/>
      <c r="F1472" s="1"/>
      <c r="G1472" s="1"/>
      <c r="H1472" s="1" t="str">
        <f>"7800038042828"</f>
        <v>7800038042828</v>
      </c>
      <c r="I1472" s="3">
        <v>47</v>
      </c>
      <c r="J1472" s="3">
        <v>0</v>
      </c>
      <c r="K1472" s="3">
        <v>5000</v>
      </c>
    </row>
    <row r="1473" spans="1:11" x14ac:dyDescent="0.2">
      <c r="A1473" s="1" t="s">
        <v>4994</v>
      </c>
      <c r="B1473" s="1" t="s">
        <v>1869</v>
      </c>
      <c r="C1473" s="1"/>
      <c r="D1473" s="1"/>
      <c r="E1473" s="1"/>
      <c r="F1473" s="1"/>
      <c r="G1473" s="1"/>
      <c r="H1473" s="1" t="str">
        <f>"7804918402368"</f>
        <v>7804918402368</v>
      </c>
      <c r="I1473" s="3">
        <v>20</v>
      </c>
      <c r="J1473" s="3">
        <v>0</v>
      </c>
      <c r="K1473" s="3">
        <v>2500</v>
      </c>
    </row>
    <row r="1474" spans="1:11" x14ac:dyDescent="0.2">
      <c r="A1474" s="1" t="s">
        <v>4994</v>
      </c>
      <c r="B1474" s="1" t="s">
        <v>1870</v>
      </c>
      <c r="C1474" s="1"/>
      <c r="D1474" s="1"/>
      <c r="E1474" s="1"/>
      <c r="F1474" s="1"/>
      <c r="G1474" s="1"/>
      <c r="H1474" s="1" t="str">
        <f>"4902508174121"</f>
        <v>4902508174121</v>
      </c>
      <c r="I1474" s="3">
        <v>0</v>
      </c>
      <c r="J1474" s="3">
        <v>0</v>
      </c>
      <c r="K1474" s="3">
        <v>25000</v>
      </c>
    </row>
    <row r="1475" spans="1:11" x14ac:dyDescent="0.2">
      <c r="A1475" s="1" t="s">
        <v>4994</v>
      </c>
      <c r="B1475" s="1" t="s">
        <v>1871</v>
      </c>
      <c r="C1475" s="1"/>
      <c r="D1475" s="1"/>
      <c r="E1475" s="1"/>
      <c r="F1475" s="1"/>
      <c r="G1475" s="1"/>
      <c r="H1475" s="1" t="str">
        <f>"8850217604001"</f>
        <v>8850217604001</v>
      </c>
      <c r="I1475" s="3">
        <v>0</v>
      </c>
      <c r="J1475" s="3">
        <v>0</v>
      </c>
      <c r="K1475" s="3">
        <v>15000</v>
      </c>
    </row>
    <row r="1476" spans="1:11" x14ac:dyDescent="0.2">
      <c r="A1476" s="1" t="s">
        <v>4994</v>
      </c>
      <c r="B1476" s="1" t="s">
        <v>1872</v>
      </c>
      <c r="C1476" s="1"/>
      <c r="D1476" s="1"/>
      <c r="E1476" s="1"/>
      <c r="F1476" s="1"/>
      <c r="G1476" s="1"/>
      <c r="H1476" s="1" t="str">
        <f>"6925369898966"</f>
        <v>6925369898966</v>
      </c>
      <c r="I1476" s="3">
        <v>0</v>
      </c>
      <c r="J1476" s="3">
        <v>0</v>
      </c>
      <c r="K1476" s="3">
        <v>1500</v>
      </c>
    </row>
    <row r="1477" spans="1:11" x14ac:dyDescent="0.2">
      <c r="A1477" s="1" t="s">
        <v>4994</v>
      </c>
      <c r="B1477" s="1" t="s">
        <v>1873</v>
      </c>
      <c r="C1477" s="1"/>
      <c r="D1477" s="1"/>
      <c r="E1477" s="1"/>
      <c r="F1477" s="1"/>
      <c r="G1477" s="1"/>
      <c r="H1477" s="1" t="str">
        <f>"7709311289311"</f>
        <v>7709311289311</v>
      </c>
      <c r="I1477" s="3">
        <v>0</v>
      </c>
      <c r="J1477" s="3">
        <v>0</v>
      </c>
      <c r="K1477" s="3">
        <v>3000</v>
      </c>
    </row>
    <row r="1478" spans="1:11" x14ac:dyDescent="0.2">
      <c r="A1478" s="1" t="s">
        <v>4994</v>
      </c>
      <c r="B1478" s="1" t="s">
        <v>1874</v>
      </c>
      <c r="C1478" s="1"/>
      <c r="D1478" s="1"/>
      <c r="E1478" s="1"/>
      <c r="F1478" s="1"/>
      <c r="G1478" s="1"/>
      <c r="H1478" s="1" t="str">
        <f>"7803504000575"</f>
        <v>7803504000575</v>
      </c>
      <c r="I1478" s="3">
        <v>0</v>
      </c>
      <c r="J1478" s="3">
        <v>0</v>
      </c>
      <c r="K1478" s="3">
        <v>10000</v>
      </c>
    </row>
    <row r="1479" spans="1:11" x14ac:dyDescent="0.2">
      <c r="A1479" s="1" t="s">
        <v>4994</v>
      </c>
      <c r="B1479" s="1" t="s">
        <v>1875</v>
      </c>
      <c r="C1479" s="1"/>
      <c r="D1479" s="1"/>
      <c r="E1479" s="1"/>
      <c r="F1479" s="1"/>
      <c r="G1479" s="1"/>
      <c r="H1479" s="1" t="str">
        <f>"7803504421820"</f>
        <v>7803504421820</v>
      </c>
      <c r="I1479" s="3">
        <v>0</v>
      </c>
      <c r="J1479" s="3">
        <v>0</v>
      </c>
      <c r="K1479" s="3">
        <v>7000</v>
      </c>
    </row>
    <row r="1480" spans="1:11" x14ac:dyDescent="0.2">
      <c r="A1480" s="1" t="s">
        <v>4994</v>
      </c>
      <c r="B1480" s="1" t="s">
        <v>1876</v>
      </c>
      <c r="C1480" s="1"/>
      <c r="D1480" s="1"/>
      <c r="E1480" s="1"/>
      <c r="F1480" s="1"/>
      <c r="G1480" s="1"/>
      <c r="H1480" s="1" t="str">
        <f>"7501050604031"</f>
        <v>7501050604031</v>
      </c>
      <c r="I1480" s="3">
        <v>0</v>
      </c>
      <c r="J1480" s="3">
        <v>0</v>
      </c>
      <c r="K1480" s="3">
        <v>46000</v>
      </c>
    </row>
    <row r="1481" spans="1:11" x14ac:dyDescent="0.2">
      <c r="A1481" s="1" t="s">
        <v>4994</v>
      </c>
      <c r="B1481" s="1" t="s">
        <v>1878</v>
      </c>
      <c r="C1481" s="1"/>
      <c r="D1481" s="1"/>
      <c r="E1481" s="1"/>
      <c r="F1481" s="1"/>
      <c r="G1481" s="1"/>
      <c r="H1481" s="1" t="str">
        <f>"8903726249017"</f>
        <v>8903726249017</v>
      </c>
      <c r="I1481" s="3">
        <v>5</v>
      </c>
      <c r="J1481" s="3">
        <v>0</v>
      </c>
      <c r="K1481" s="3">
        <v>17000</v>
      </c>
    </row>
    <row r="1482" spans="1:11" x14ac:dyDescent="0.2">
      <c r="A1482" s="1" t="s">
        <v>4994</v>
      </c>
      <c r="B1482" s="1" t="s">
        <v>1881</v>
      </c>
      <c r="C1482" s="1"/>
      <c r="D1482" s="1"/>
      <c r="E1482" s="1"/>
      <c r="F1482" s="1"/>
      <c r="G1482" s="1"/>
      <c r="H1482" s="1" t="str">
        <f>"7805633013440"</f>
        <v>7805633013440</v>
      </c>
      <c r="I1482" s="3">
        <v>27</v>
      </c>
      <c r="J1482" s="3">
        <v>0</v>
      </c>
      <c r="K1482" s="3">
        <v>1500</v>
      </c>
    </row>
    <row r="1483" spans="1:11" x14ac:dyDescent="0.2">
      <c r="A1483" s="1" t="s">
        <v>4994</v>
      </c>
      <c r="B1483" s="1" t="s">
        <v>1882</v>
      </c>
      <c r="C1483" s="1"/>
      <c r="D1483" s="1"/>
      <c r="E1483" s="1"/>
      <c r="F1483" s="1"/>
      <c r="G1483" s="1"/>
      <c r="H1483" s="1" t="str">
        <f>"7805633013426"</f>
        <v>7805633013426</v>
      </c>
      <c r="I1483" s="3">
        <v>4</v>
      </c>
      <c r="J1483" s="3">
        <v>0</v>
      </c>
      <c r="K1483" s="3">
        <v>1500</v>
      </c>
    </row>
    <row r="1484" spans="1:11" x14ac:dyDescent="0.2">
      <c r="A1484" s="1" t="s">
        <v>4994</v>
      </c>
      <c r="B1484" s="1" t="s">
        <v>1883</v>
      </c>
      <c r="C1484" s="1"/>
      <c r="D1484" s="1"/>
      <c r="E1484" s="1"/>
      <c r="F1484" s="1"/>
      <c r="G1484" s="1"/>
      <c r="H1484" s="1" t="str">
        <f>"7805633012818"</f>
        <v>7805633012818</v>
      </c>
      <c r="I1484" s="3">
        <v>22</v>
      </c>
      <c r="J1484" s="3">
        <v>0</v>
      </c>
      <c r="K1484" s="3">
        <v>2500</v>
      </c>
    </row>
    <row r="1485" spans="1:11" x14ac:dyDescent="0.2">
      <c r="A1485" s="1" t="s">
        <v>4994</v>
      </c>
      <c r="B1485" s="1" t="s">
        <v>1884</v>
      </c>
      <c r="C1485" s="1"/>
      <c r="D1485" s="1"/>
      <c r="E1485" s="1"/>
      <c r="F1485" s="1"/>
      <c r="G1485" s="1"/>
      <c r="H1485" s="1" t="str">
        <f>"7805633014478"</f>
        <v>7805633014478</v>
      </c>
      <c r="I1485" s="3">
        <v>1</v>
      </c>
      <c r="J1485" s="3">
        <v>0</v>
      </c>
      <c r="K1485" s="3">
        <v>2000</v>
      </c>
    </row>
    <row r="1486" spans="1:11" x14ac:dyDescent="0.2">
      <c r="A1486" s="1" t="s">
        <v>4994</v>
      </c>
      <c r="B1486" s="1" t="s">
        <v>1885</v>
      </c>
      <c r="C1486" s="1"/>
      <c r="D1486" s="1"/>
      <c r="E1486" s="1"/>
      <c r="F1486" s="1"/>
      <c r="G1486" s="1"/>
      <c r="H1486" s="1" t="str">
        <f>"7861073970996"</f>
        <v>7861073970996</v>
      </c>
      <c r="I1486" s="3">
        <v>0</v>
      </c>
      <c r="J1486" s="3">
        <v>0</v>
      </c>
      <c r="K1486" s="3">
        <v>23000</v>
      </c>
    </row>
    <row r="1487" spans="1:11" x14ac:dyDescent="0.2">
      <c r="A1487" s="1" t="s">
        <v>4994</v>
      </c>
      <c r="B1487" s="1" t="s">
        <v>1886</v>
      </c>
      <c r="C1487" s="1"/>
      <c r="D1487" s="1"/>
      <c r="E1487" s="1"/>
      <c r="F1487" s="1"/>
      <c r="G1487" s="1"/>
      <c r="H1487" s="1" t="str">
        <f>"7804945062320FA"</f>
        <v>7804945062320FA</v>
      </c>
      <c r="I1487" s="3">
        <v>0</v>
      </c>
      <c r="J1487" s="3">
        <v>0</v>
      </c>
      <c r="K1487" s="3">
        <v>2000</v>
      </c>
    </row>
    <row r="1488" spans="1:11" x14ac:dyDescent="0.2">
      <c r="A1488" s="1" t="s">
        <v>4994</v>
      </c>
      <c r="B1488" s="1" t="s">
        <v>1887</v>
      </c>
      <c r="C1488" s="1"/>
      <c r="D1488" s="1"/>
      <c r="E1488" s="1"/>
      <c r="F1488" s="1"/>
      <c r="G1488" s="1"/>
      <c r="H1488" s="1" t="str">
        <f>"7804945062528"</f>
        <v>7804945062528</v>
      </c>
      <c r="I1488" s="3">
        <v>0</v>
      </c>
      <c r="J1488" s="3">
        <v>0</v>
      </c>
      <c r="K1488" s="3">
        <v>1500</v>
      </c>
    </row>
    <row r="1489" spans="1:11" x14ac:dyDescent="0.2">
      <c r="A1489" s="1" t="s">
        <v>4994</v>
      </c>
      <c r="B1489" s="1" t="s">
        <v>1888</v>
      </c>
      <c r="C1489" s="1"/>
      <c r="D1489" s="1"/>
      <c r="E1489" s="1"/>
      <c r="F1489" s="1"/>
      <c r="G1489" s="1"/>
      <c r="H1489" s="1" t="str">
        <f>"7804945062559"</f>
        <v>7804945062559</v>
      </c>
      <c r="I1489" s="3">
        <v>0</v>
      </c>
      <c r="J1489" s="3">
        <v>0</v>
      </c>
      <c r="K1489" s="3">
        <v>2000</v>
      </c>
    </row>
    <row r="1490" spans="1:11" x14ac:dyDescent="0.2">
      <c r="A1490" s="1" t="s">
        <v>4994</v>
      </c>
      <c r="B1490" s="1" t="s">
        <v>1889</v>
      </c>
      <c r="C1490" s="1"/>
      <c r="D1490" s="1"/>
      <c r="E1490" s="1"/>
      <c r="F1490" s="1"/>
      <c r="G1490" s="1"/>
      <c r="H1490" s="1" t="str">
        <f>"7805633020288"</f>
        <v>7805633020288</v>
      </c>
      <c r="I1490" s="3">
        <v>5</v>
      </c>
      <c r="J1490" s="3">
        <v>0</v>
      </c>
      <c r="K1490" s="3">
        <v>1000</v>
      </c>
    </row>
    <row r="1491" spans="1:11" x14ac:dyDescent="0.2">
      <c r="A1491" s="1" t="s">
        <v>4994</v>
      </c>
      <c r="B1491" s="1" t="s">
        <v>1890</v>
      </c>
      <c r="C1491" s="1"/>
      <c r="D1491" s="1"/>
      <c r="E1491" s="1"/>
      <c r="F1491" s="1"/>
      <c r="G1491" s="1"/>
      <c r="H1491" s="1" t="str">
        <f>"7805633020424"</f>
        <v>7805633020424</v>
      </c>
      <c r="I1491" s="3">
        <v>0</v>
      </c>
      <c r="J1491" s="3">
        <v>0</v>
      </c>
      <c r="K1491" s="3">
        <v>1000</v>
      </c>
    </row>
    <row r="1492" spans="1:11" x14ac:dyDescent="0.2">
      <c r="A1492" s="1" t="s">
        <v>4994</v>
      </c>
      <c r="B1492" s="1" t="s">
        <v>1891</v>
      </c>
      <c r="C1492" s="1"/>
      <c r="D1492" s="1"/>
      <c r="E1492" s="1"/>
      <c r="F1492" s="1"/>
      <c r="G1492" s="1"/>
      <c r="H1492" s="1" t="str">
        <f>"7805633008132"</f>
        <v>7805633008132</v>
      </c>
      <c r="I1492" s="3">
        <v>15</v>
      </c>
      <c r="J1492" s="3">
        <v>0</v>
      </c>
      <c r="K1492" s="3">
        <v>1000</v>
      </c>
    </row>
    <row r="1493" spans="1:11" x14ac:dyDescent="0.2">
      <c r="A1493" s="1" t="s">
        <v>4994</v>
      </c>
      <c r="B1493" s="1" t="s">
        <v>1892</v>
      </c>
      <c r="C1493" s="1"/>
      <c r="D1493" s="1"/>
      <c r="E1493" s="1"/>
      <c r="F1493" s="1"/>
      <c r="G1493" s="1"/>
      <c r="H1493" s="1" t="str">
        <f>"7805633013372"</f>
        <v>7805633013372</v>
      </c>
      <c r="I1493" s="3">
        <v>10</v>
      </c>
      <c r="J1493" s="3">
        <v>0</v>
      </c>
      <c r="K1493" s="3">
        <v>3500</v>
      </c>
    </row>
    <row r="1494" spans="1:11" x14ac:dyDescent="0.2">
      <c r="A1494" s="1" t="s">
        <v>4994</v>
      </c>
      <c r="B1494" s="1" t="s">
        <v>1893</v>
      </c>
      <c r="C1494" s="1"/>
      <c r="D1494" s="1"/>
      <c r="E1494" s="1"/>
      <c r="F1494" s="1"/>
      <c r="G1494" s="1"/>
      <c r="H1494" s="1" t="str">
        <f>"7805633008057"</f>
        <v>7805633008057</v>
      </c>
      <c r="I1494" s="3">
        <v>0</v>
      </c>
      <c r="J1494" s="3">
        <v>0</v>
      </c>
      <c r="K1494" s="3">
        <v>2000</v>
      </c>
    </row>
    <row r="1495" spans="1:11" x14ac:dyDescent="0.2">
      <c r="A1495" s="1" t="s">
        <v>4994</v>
      </c>
      <c r="B1495" s="1" t="s">
        <v>1894</v>
      </c>
      <c r="C1495" s="1"/>
      <c r="D1495" s="1"/>
      <c r="E1495" s="1"/>
      <c r="F1495" s="1"/>
      <c r="G1495" s="1"/>
      <c r="H1495" s="1" t="str">
        <f>"7805633008071"</f>
        <v>7805633008071</v>
      </c>
      <c r="I1495" s="3">
        <v>0</v>
      </c>
      <c r="J1495" s="3">
        <v>0</v>
      </c>
      <c r="K1495" s="3">
        <v>2500</v>
      </c>
    </row>
    <row r="1496" spans="1:11" x14ac:dyDescent="0.2">
      <c r="A1496" s="1" t="s">
        <v>4994</v>
      </c>
      <c r="B1496" s="1" t="s">
        <v>1895</v>
      </c>
      <c r="C1496" s="1"/>
      <c r="D1496" s="1"/>
      <c r="E1496" s="1"/>
      <c r="F1496" s="1"/>
      <c r="G1496" s="1"/>
      <c r="H1496" s="1" t="str">
        <f>"7805633008064"</f>
        <v>7805633008064</v>
      </c>
      <c r="I1496" s="3">
        <v>0</v>
      </c>
      <c r="J1496" s="3">
        <v>0</v>
      </c>
      <c r="K1496" s="3">
        <v>2000</v>
      </c>
    </row>
    <row r="1497" spans="1:11" x14ac:dyDescent="0.2">
      <c r="A1497" s="1" t="s">
        <v>4994</v>
      </c>
      <c r="B1497" s="1" t="s">
        <v>1896</v>
      </c>
      <c r="C1497" s="1"/>
      <c r="D1497" s="1"/>
      <c r="E1497" s="1"/>
      <c r="F1497" s="1"/>
      <c r="G1497" s="1"/>
      <c r="H1497" s="1" t="str">
        <f>"7805633008040"</f>
        <v>7805633008040</v>
      </c>
      <c r="I1497" s="3">
        <v>0</v>
      </c>
      <c r="J1497" s="3">
        <v>0</v>
      </c>
      <c r="K1497" s="3">
        <v>2000</v>
      </c>
    </row>
    <row r="1498" spans="1:11" x14ac:dyDescent="0.2">
      <c r="A1498" s="1" t="s">
        <v>4994</v>
      </c>
      <c r="B1498" s="1" t="s">
        <v>1897</v>
      </c>
      <c r="C1498" s="1"/>
      <c r="D1498" s="1"/>
      <c r="E1498" s="1"/>
      <c r="F1498" s="1"/>
      <c r="G1498" s="1"/>
      <c r="H1498" s="1" t="str">
        <f>"7805633021261"</f>
        <v>7805633021261</v>
      </c>
      <c r="I1498" s="3">
        <v>10</v>
      </c>
      <c r="J1498" s="3">
        <v>0</v>
      </c>
      <c r="K1498" s="3">
        <v>4500</v>
      </c>
    </row>
    <row r="1499" spans="1:11" x14ac:dyDescent="0.2">
      <c r="A1499" s="1" t="s">
        <v>4994</v>
      </c>
      <c r="B1499" s="1" t="s">
        <v>1898</v>
      </c>
      <c r="C1499" s="1"/>
      <c r="D1499" s="1"/>
      <c r="E1499" s="1"/>
      <c r="F1499" s="1"/>
      <c r="G1499" s="1"/>
      <c r="H1499" s="1" t="str">
        <f>"7805633003717"</f>
        <v>7805633003717</v>
      </c>
      <c r="I1499" s="3">
        <v>0</v>
      </c>
      <c r="J1499" s="3">
        <v>0</v>
      </c>
      <c r="K1499" s="3">
        <v>1500</v>
      </c>
    </row>
    <row r="1500" spans="1:11" x14ac:dyDescent="0.2">
      <c r="A1500" s="1" t="s">
        <v>4994</v>
      </c>
      <c r="B1500" s="1" t="s">
        <v>1899</v>
      </c>
      <c r="C1500" s="1"/>
      <c r="D1500" s="1"/>
      <c r="E1500" s="1"/>
      <c r="F1500" s="1"/>
      <c r="G1500" s="1"/>
      <c r="H1500" s="1" t="str">
        <f>"7805633003694"</f>
        <v>7805633003694</v>
      </c>
      <c r="I1500" s="3">
        <v>0</v>
      </c>
      <c r="J1500" s="3">
        <v>0</v>
      </c>
      <c r="K1500" s="3">
        <v>1500</v>
      </c>
    </row>
    <row r="1501" spans="1:11" x14ac:dyDescent="0.2">
      <c r="A1501" s="1" t="s">
        <v>4994</v>
      </c>
      <c r="B1501" s="1" t="s">
        <v>1900</v>
      </c>
      <c r="C1501" s="1"/>
      <c r="D1501" s="1"/>
      <c r="E1501" s="1"/>
      <c r="F1501" s="1"/>
      <c r="G1501" s="1"/>
      <c r="H1501" s="1" t="str">
        <f>"7805633018957"</f>
        <v>7805633018957</v>
      </c>
      <c r="I1501" s="3">
        <v>0</v>
      </c>
      <c r="J1501" s="3">
        <v>0</v>
      </c>
      <c r="K1501" s="3">
        <v>2000</v>
      </c>
    </row>
    <row r="1502" spans="1:11" x14ac:dyDescent="0.2">
      <c r="A1502" s="1" t="s">
        <v>4994</v>
      </c>
      <c r="B1502" s="1" t="s">
        <v>1901</v>
      </c>
      <c r="C1502" s="1"/>
      <c r="D1502" s="1"/>
      <c r="E1502" s="1"/>
      <c r="F1502" s="1"/>
      <c r="G1502" s="1"/>
      <c r="H1502" s="1" t="str">
        <f>"7805633008095"</f>
        <v>7805633008095</v>
      </c>
      <c r="I1502" s="3">
        <v>0</v>
      </c>
      <c r="J1502" s="3">
        <v>0</v>
      </c>
      <c r="K1502" s="3">
        <v>1000</v>
      </c>
    </row>
    <row r="1503" spans="1:11" x14ac:dyDescent="0.2">
      <c r="A1503" s="1" t="s">
        <v>4994</v>
      </c>
      <c r="B1503" s="1" t="s">
        <v>1902</v>
      </c>
      <c r="C1503" s="1"/>
      <c r="D1503" s="1"/>
      <c r="E1503" s="1"/>
      <c r="F1503" s="1"/>
      <c r="G1503" s="1"/>
      <c r="H1503" s="1" t="str">
        <f>"7805633015833"</f>
        <v>7805633015833</v>
      </c>
      <c r="I1503" s="3">
        <v>0</v>
      </c>
      <c r="J1503" s="3">
        <v>0</v>
      </c>
      <c r="K1503" s="3">
        <v>2000</v>
      </c>
    </row>
    <row r="1504" spans="1:11" x14ac:dyDescent="0.2">
      <c r="A1504" s="1" t="s">
        <v>4994</v>
      </c>
      <c r="B1504" s="1" t="s">
        <v>1903</v>
      </c>
      <c r="C1504" s="1"/>
      <c r="D1504" s="1"/>
      <c r="E1504" s="1"/>
      <c r="F1504" s="1"/>
      <c r="G1504" s="1"/>
      <c r="H1504" s="1" t="str">
        <f>"7805633012740"</f>
        <v>7805633012740</v>
      </c>
      <c r="I1504" s="3">
        <v>3</v>
      </c>
      <c r="J1504" s="3">
        <v>0</v>
      </c>
      <c r="K1504" s="3">
        <v>1000</v>
      </c>
    </row>
    <row r="1505" spans="1:11" x14ac:dyDescent="0.2">
      <c r="A1505" s="1" t="s">
        <v>4994</v>
      </c>
      <c r="B1505" s="1" t="s">
        <v>1904</v>
      </c>
      <c r="C1505" s="1"/>
      <c r="D1505" s="1"/>
      <c r="E1505" s="1"/>
      <c r="F1505" s="1"/>
      <c r="G1505" s="1"/>
      <c r="H1505" s="1" t="str">
        <f>"7805633002086"</f>
        <v>7805633002086</v>
      </c>
      <c r="I1505" s="3">
        <v>41</v>
      </c>
      <c r="J1505" s="3">
        <v>0</v>
      </c>
      <c r="K1505" s="3">
        <v>1000</v>
      </c>
    </row>
    <row r="1506" spans="1:11" x14ac:dyDescent="0.2">
      <c r="A1506" s="1" t="s">
        <v>4994</v>
      </c>
      <c r="B1506" s="1" t="s">
        <v>1905</v>
      </c>
      <c r="C1506" s="1"/>
      <c r="D1506" s="1"/>
      <c r="E1506" s="1"/>
      <c r="F1506" s="1"/>
      <c r="G1506" s="1"/>
      <c r="H1506" s="1" t="str">
        <f>"7805633002000"</f>
        <v>7805633002000</v>
      </c>
      <c r="I1506" s="3">
        <v>7</v>
      </c>
      <c r="J1506" s="3">
        <v>0</v>
      </c>
      <c r="K1506" s="3">
        <v>1000</v>
      </c>
    </row>
    <row r="1507" spans="1:11" x14ac:dyDescent="0.2">
      <c r="A1507" s="1" t="s">
        <v>4994</v>
      </c>
      <c r="B1507" s="1" t="s">
        <v>1906</v>
      </c>
      <c r="C1507" s="1"/>
      <c r="D1507" s="1"/>
      <c r="E1507" s="1"/>
      <c r="F1507" s="1"/>
      <c r="G1507" s="1"/>
      <c r="H1507" s="1" t="str">
        <f>"7805633012849"</f>
        <v>7805633012849</v>
      </c>
      <c r="I1507" s="3">
        <v>14</v>
      </c>
      <c r="J1507" s="3">
        <v>0</v>
      </c>
      <c r="K1507" s="3">
        <v>1000</v>
      </c>
    </row>
    <row r="1508" spans="1:11" x14ac:dyDescent="0.2">
      <c r="A1508" s="1" t="s">
        <v>4994</v>
      </c>
      <c r="B1508" s="1" t="s">
        <v>1907</v>
      </c>
      <c r="C1508" s="1"/>
      <c r="D1508" s="1"/>
      <c r="E1508" s="1"/>
      <c r="F1508" s="1"/>
      <c r="G1508" s="1"/>
      <c r="H1508" s="1" t="str">
        <f>"7805633012733"</f>
        <v>7805633012733</v>
      </c>
      <c r="I1508" s="3">
        <v>10</v>
      </c>
      <c r="J1508" s="3">
        <v>0</v>
      </c>
      <c r="K1508" s="3">
        <v>1000</v>
      </c>
    </row>
    <row r="1509" spans="1:11" x14ac:dyDescent="0.2">
      <c r="A1509" s="1" t="s">
        <v>4994</v>
      </c>
      <c r="B1509" s="1" t="s">
        <v>1908</v>
      </c>
      <c r="C1509" s="1"/>
      <c r="D1509" s="1"/>
      <c r="E1509" s="1"/>
      <c r="F1509" s="1"/>
      <c r="G1509" s="1"/>
      <c r="H1509" s="1" t="str">
        <f>"7805633015819"</f>
        <v>7805633015819</v>
      </c>
      <c r="I1509" s="3">
        <v>0</v>
      </c>
      <c r="J1509" s="3">
        <v>0</v>
      </c>
      <c r="K1509" s="3">
        <v>1000</v>
      </c>
    </row>
    <row r="1510" spans="1:11" x14ac:dyDescent="0.2">
      <c r="A1510" s="1" t="s">
        <v>4994</v>
      </c>
      <c r="B1510" s="1" t="s">
        <v>1909</v>
      </c>
      <c r="C1510" s="1"/>
      <c r="D1510" s="1"/>
      <c r="E1510" s="1"/>
      <c r="F1510" s="1"/>
      <c r="G1510" s="1"/>
      <c r="H1510" s="1" t="str">
        <f>"7805633008118"</f>
        <v>7805633008118</v>
      </c>
      <c r="I1510" s="3">
        <v>18</v>
      </c>
      <c r="J1510" s="3">
        <v>0</v>
      </c>
      <c r="K1510" s="3">
        <v>2500</v>
      </c>
    </row>
    <row r="1511" spans="1:11" x14ac:dyDescent="0.2">
      <c r="A1511" s="1" t="s">
        <v>4994</v>
      </c>
      <c r="B1511" s="1" t="s">
        <v>1910</v>
      </c>
      <c r="C1511" s="1"/>
      <c r="D1511" s="1"/>
      <c r="E1511" s="1"/>
      <c r="F1511" s="1"/>
      <c r="G1511" s="1"/>
      <c r="H1511" s="1" t="str">
        <f>"7808718200650"</f>
        <v>7808718200650</v>
      </c>
      <c r="I1511" s="3">
        <v>0</v>
      </c>
      <c r="J1511" s="3">
        <v>0</v>
      </c>
      <c r="K1511" s="3">
        <v>1500</v>
      </c>
    </row>
    <row r="1512" spans="1:11" x14ac:dyDescent="0.2">
      <c r="A1512" s="1" t="s">
        <v>4994</v>
      </c>
      <c r="B1512" s="1" t="s">
        <v>1911</v>
      </c>
      <c r="C1512" s="1"/>
      <c r="D1512" s="1"/>
      <c r="E1512" s="1"/>
      <c r="F1512" s="1"/>
      <c r="G1512" s="1"/>
      <c r="H1512" s="1" t="str">
        <f>"7805633020370"</f>
        <v>7805633020370</v>
      </c>
      <c r="I1512" s="3">
        <v>0</v>
      </c>
      <c r="J1512" s="3">
        <v>0</v>
      </c>
      <c r="K1512" s="3">
        <v>3500</v>
      </c>
    </row>
    <row r="1513" spans="1:11" x14ac:dyDescent="0.2">
      <c r="A1513" s="1" t="s">
        <v>4994</v>
      </c>
      <c r="B1513" s="1" t="s">
        <v>1912</v>
      </c>
      <c r="C1513" s="1"/>
      <c r="D1513" s="1"/>
      <c r="E1513" s="1"/>
      <c r="F1513" s="1"/>
      <c r="G1513" s="1"/>
      <c r="H1513" s="1" t="str">
        <f>"7805633001928"</f>
        <v>7805633001928</v>
      </c>
      <c r="I1513" s="3">
        <v>0</v>
      </c>
      <c r="J1513" s="3">
        <v>0</v>
      </c>
      <c r="K1513" s="3">
        <v>3500</v>
      </c>
    </row>
    <row r="1514" spans="1:11" x14ac:dyDescent="0.2">
      <c r="A1514" s="1" t="s">
        <v>4994</v>
      </c>
      <c r="B1514" s="1" t="s">
        <v>1913</v>
      </c>
      <c r="C1514" s="1"/>
      <c r="D1514" s="1"/>
      <c r="E1514" s="1"/>
      <c r="F1514" s="1"/>
      <c r="G1514" s="1"/>
      <c r="H1514" s="1" t="str">
        <f>"7730910591017"</f>
        <v>7730910591017</v>
      </c>
      <c r="I1514" s="3">
        <v>0</v>
      </c>
      <c r="J1514" s="3">
        <v>0</v>
      </c>
      <c r="K1514" s="3">
        <v>3500</v>
      </c>
    </row>
    <row r="1515" spans="1:11" x14ac:dyDescent="0.2">
      <c r="A1515" s="1" t="s">
        <v>4994</v>
      </c>
      <c r="B1515" s="1" t="s">
        <v>1914</v>
      </c>
      <c r="C1515" s="1"/>
      <c r="D1515" s="1"/>
      <c r="E1515" s="1"/>
      <c r="F1515" s="1"/>
      <c r="G1515" s="1"/>
      <c r="H1515" s="1" t="str">
        <f>"7805633020493"</f>
        <v>7805633020493</v>
      </c>
      <c r="I1515" s="3">
        <v>29</v>
      </c>
      <c r="J1515" s="3">
        <v>0</v>
      </c>
      <c r="K1515" s="3">
        <v>1000</v>
      </c>
    </row>
    <row r="1516" spans="1:11" x14ac:dyDescent="0.2">
      <c r="A1516" s="1" t="s">
        <v>4994</v>
      </c>
      <c r="B1516" s="1" t="s">
        <v>1915</v>
      </c>
      <c r="C1516" s="1"/>
      <c r="D1516" s="1"/>
      <c r="E1516" s="1"/>
      <c r="F1516" s="1"/>
      <c r="G1516" s="1"/>
      <c r="H1516" s="1" t="str">
        <f>"7805633024200"</f>
        <v>7805633024200</v>
      </c>
      <c r="I1516" s="3">
        <v>6</v>
      </c>
      <c r="J1516" s="3">
        <v>0</v>
      </c>
      <c r="K1516" s="3">
        <v>2000</v>
      </c>
    </row>
    <row r="1517" spans="1:11" x14ac:dyDescent="0.2">
      <c r="A1517" s="1" t="s">
        <v>4994</v>
      </c>
      <c r="B1517" s="1" t="s">
        <v>1920</v>
      </c>
      <c r="C1517" s="1"/>
      <c r="D1517" s="1"/>
      <c r="E1517" s="1"/>
      <c r="F1517" s="1"/>
      <c r="G1517" s="1"/>
      <c r="H1517" s="1" t="str">
        <f>"7805633002826"</f>
        <v>7805633002826</v>
      </c>
      <c r="I1517" s="3">
        <v>0</v>
      </c>
      <c r="J1517" s="3">
        <v>0</v>
      </c>
      <c r="K1517" s="3">
        <v>3000</v>
      </c>
    </row>
    <row r="1518" spans="1:11" x14ac:dyDescent="0.2">
      <c r="A1518" s="1" t="s">
        <v>4994</v>
      </c>
      <c r="B1518" s="1" t="s">
        <v>1921</v>
      </c>
      <c r="C1518" s="1"/>
      <c r="D1518" s="1"/>
      <c r="E1518" s="1"/>
      <c r="F1518" s="1"/>
      <c r="G1518" s="1"/>
      <c r="H1518" s="1" t="str">
        <f>"7805633018650"</f>
        <v>7805633018650</v>
      </c>
      <c r="I1518" s="3">
        <v>6</v>
      </c>
      <c r="J1518" s="3">
        <v>0</v>
      </c>
      <c r="K1518" s="3">
        <v>1000</v>
      </c>
    </row>
    <row r="1519" spans="1:11" x14ac:dyDescent="0.2">
      <c r="A1519" s="1" t="s">
        <v>4994</v>
      </c>
      <c r="B1519" s="1" t="s">
        <v>1922</v>
      </c>
      <c r="C1519" s="1"/>
      <c r="D1519" s="1"/>
      <c r="E1519" s="1"/>
      <c r="F1519" s="1"/>
      <c r="G1519" s="1"/>
      <c r="H1519" s="1" t="str">
        <f>"7805633027942"</f>
        <v>7805633027942</v>
      </c>
      <c r="I1519" s="3">
        <v>0</v>
      </c>
      <c r="J1519" s="3">
        <v>0</v>
      </c>
      <c r="K1519" s="3">
        <v>1000</v>
      </c>
    </row>
    <row r="1520" spans="1:11" x14ac:dyDescent="0.2">
      <c r="A1520" s="1" t="s">
        <v>4994</v>
      </c>
      <c r="B1520" s="1" t="s">
        <v>1923</v>
      </c>
      <c r="C1520" s="1"/>
      <c r="D1520" s="1"/>
      <c r="E1520" s="1"/>
      <c r="F1520" s="1"/>
      <c r="G1520" s="1"/>
      <c r="H1520" s="1" t="str">
        <f>"7805633026884"</f>
        <v>7805633026884</v>
      </c>
      <c r="I1520" s="3">
        <v>0</v>
      </c>
      <c r="J1520" s="3">
        <v>0</v>
      </c>
      <c r="K1520" s="3">
        <v>5500</v>
      </c>
    </row>
    <row r="1521" spans="1:11" x14ac:dyDescent="0.2">
      <c r="A1521" s="1" t="s">
        <v>4994</v>
      </c>
      <c r="B1521" s="1" t="s">
        <v>1924</v>
      </c>
      <c r="C1521" s="1"/>
      <c r="D1521" s="1"/>
      <c r="E1521" s="1"/>
      <c r="F1521" s="1"/>
      <c r="G1521" s="1"/>
      <c r="H1521" s="1" t="str">
        <f>"7805633026907"</f>
        <v>7805633026907</v>
      </c>
      <c r="I1521" s="3">
        <v>2</v>
      </c>
      <c r="J1521" s="3">
        <v>0</v>
      </c>
      <c r="K1521" s="3">
        <v>8000</v>
      </c>
    </row>
    <row r="1522" spans="1:11" x14ac:dyDescent="0.2">
      <c r="A1522" s="1" t="s">
        <v>4994</v>
      </c>
      <c r="B1522" s="1" t="s">
        <v>1925</v>
      </c>
      <c r="C1522" s="1"/>
      <c r="D1522" s="1"/>
      <c r="E1522" s="1"/>
      <c r="F1522" s="1"/>
      <c r="G1522" s="1"/>
      <c r="H1522" s="1" t="str">
        <f>"7805633027959"</f>
        <v>7805633027959</v>
      </c>
      <c r="I1522" s="3">
        <v>0</v>
      </c>
      <c r="J1522" s="3">
        <v>0</v>
      </c>
      <c r="K1522" s="3">
        <v>1000</v>
      </c>
    </row>
    <row r="1523" spans="1:11" x14ac:dyDescent="0.2">
      <c r="A1523" s="1" t="s">
        <v>4994</v>
      </c>
      <c r="B1523" s="1" t="s">
        <v>1926</v>
      </c>
      <c r="C1523" s="1"/>
      <c r="D1523" s="1"/>
      <c r="E1523" s="1"/>
      <c r="F1523" s="1"/>
      <c r="G1523" s="1"/>
      <c r="H1523" s="1" t="str">
        <f>"7805633008125"</f>
        <v>7805633008125</v>
      </c>
      <c r="I1523" s="3">
        <v>12</v>
      </c>
      <c r="J1523" s="3">
        <v>0</v>
      </c>
      <c r="K1523" s="3">
        <v>1500</v>
      </c>
    </row>
    <row r="1524" spans="1:11" x14ac:dyDescent="0.2">
      <c r="A1524" s="1" t="s">
        <v>4994</v>
      </c>
      <c r="B1524" s="1" t="s">
        <v>1927</v>
      </c>
      <c r="C1524" s="1"/>
      <c r="D1524" s="1"/>
      <c r="E1524" s="1"/>
      <c r="F1524" s="1"/>
      <c r="G1524" s="1"/>
      <c r="H1524" s="1" t="str">
        <f>"7805633003700"</f>
        <v>7805633003700</v>
      </c>
      <c r="I1524" s="3">
        <v>91</v>
      </c>
      <c r="J1524" s="3">
        <v>0</v>
      </c>
      <c r="K1524" s="3">
        <v>1500</v>
      </c>
    </row>
    <row r="1525" spans="1:11" x14ac:dyDescent="0.2">
      <c r="A1525" s="1" t="s">
        <v>4994</v>
      </c>
      <c r="B1525" s="1" t="s">
        <v>1928</v>
      </c>
      <c r="C1525" s="1"/>
      <c r="D1525" s="1"/>
      <c r="E1525" s="1"/>
      <c r="F1525" s="1"/>
      <c r="G1525" s="1"/>
      <c r="H1525" s="1" t="str">
        <f>"7805633020295"</f>
        <v>7805633020295</v>
      </c>
      <c r="I1525" s="3">
        <v>5</v>
      </c>
      <c r="J1525" s="3">
        <v>0</v>
      </c>
      <c r="K1525" s="3">
        <v>1500</v>
      </c>
    </row>
    <row r="1526" spans="1:11" x14ac:dyDescent="0.2">
      <c r="A1526" s="1" t="s">
        <v>4994</v>
      </c>
      <c r="B1526" s="1" t="s">
        <v>1929</v>
      </c>
      <c r="C1526" s="1"/>
      <c r="D1526" s="1"/>
      <c r="E1526" s="1"/>
      <c r="F1526" s="1"/>
      <c r="G1526" s="1"/>
      <c r="H1526" s="1" t="str">
        <f>"7730979096201"</f>
        <v>7730979096201</v>
      </c>
      <c r="I1526" s="3">
        <v>0</v>
      </c>
      <c r="J1526" s="3">
        <v>0</v>
      </c>
      <c r="K1526" s="3">
        <v>31000</v>
      </c>
    </row>
    <row r="1527" spans="1:11" x14ac:dyDescent="0.2">
      <c r="A1527" s="1" t="s">
        <v>4994</v>
      </c>
      <c r="B1527" s="1" t="s">
        <v>1930</v>
      </c>
      <c r="C1527" s="1"/>
      <c r="D1527" s="1"/>
      <c r="E1527" s="1"/>
      <c r="F1527" s="1"/>
      <c r="G1527" s="1"/>
      <c r="H1527" s="1" t="str">
        <f>"7730979096218"</f>
        <v>7730979096218</v>
      </c>
      <c r="I1527" s="3">
        <v>0</v>
      </c>
      <c r="J1527" s="3">
        <v>0</v>
      </c>
      <c r="K1527" s="3">
        <v>24000</v>
      </c>
    </row>
    <row r="1528" spans="1:11" x14ac:dyDescent="0.2">
      <c r="A1528" s="1" t="s">
        <v>4994</v>
      </c>
      <c r="B1528" s="1" t="s">
        <v>1931</v>
      </c>
      <c r="C1528" s="1"/>
      <c r="D1528" s="1"/>
      <c r="E1528" s="1"/>
      <c r="F1528" s="1"/>
      <c r="G1528" s="1"/>
      <c r="H1528" s="1" t="str">
        <f>"8000246003768"</f>
        <v>8000246003768</v>
      </c>
      <c r="I1528" s="3">
        <v>0</v>
      </c>
      <c r="J1528" s="3">
        <v>0</v>
      </c>
      <c r="K1528" s="3">
        <v>1500</v>
      </c>
    </row>
    <row r="1529" spans="1:11" x14ac:dyDescent="0.2">
      <c r="A1529" s="1" t="s">
        <v>4994</v>
      </c>
      <c r="B1529" s="1" t="s">
        <v>1932</v>
      </c>
      <c r="C1529" s="1"/>
      <c r="D1529" s="1"/>
      <c r="E1529" s="1"/>
      <c r="F1529" s="1"/>
      <c r="G1529" s="1"/>
      <c r="H1529" s="1" t="str">
        <f>"8000246003881"</f>
        <v>8000246003881</v>
      </c>
      <c r="I1529" s="3">
        <v>0</v>
      </c>
      <c r="J1529" s="3">
        <v>0</v>
      </c>
      <c r="K1529" s="3">
        <v>2500</v>
      </c>
    </row>
    <row r="1530" spans="1:11" x14ac:dyDescent="0.2">
      <c r="A1530" s="1" t="s">
        <v>4994</v>
      </c>
      <c r="B1530" s="1" t="s">
        <v>1933</v>
      </c>
      <c r="C1530" s="1"/>
      <c r="D1530" s="1"/>
      <c r="E1530" s="1"/>
      <c r="F1530" s="1"/>
      <c r="G1530" s="1"/>
      <c r="H1530" s="1" t="str">
        <f>"8000246003898"</f>
        <v>8000246003898</v>
      </c>
      <c r="I1530" s="3">
        <v>0</v>
      </c>
      <c r="J1530" s="3">
        <v>0</v>
      </c>
      <c r="K1530" s="3">
        <v>2500</v>
      </c>
    </row>
    <row r="1531" spans="1:11" x14ac:dyDescent="0.2">
      <c r="A1531" s="1" t="s">
        <v>4994</v>
      </c>
      <c r="B1531" s="1" t="s">
        <v>1934</v>
      </c>
      <c r="C1531" s="1"/>
      <c r="D1531" s="1"/>
      <c r="E1531" s="1"/>
      <c r="F1531" s="1"/>
      <c r="G1531" s="1"/>
      <c r="H1531" s="1" t="str">
        <f>"UXUVJ6"</f>
        <v>UXUVJ6</v>
      </c>
      <c r="I1531" s="3">
        <v>11</v>
      </c>
      <c r="J1531" s="3">
        <v>0</v>
      </c>
      <c r="K1531" s="3">
        <v>5500</v>
      </c>
    </row>
    <row r="1532" spans="1:11" x14ac:dyDescent="0.2">
      <c r="A1532" s="1" t="s">
        <v>4994</v>
      </c>
      <c r="B1532" s="1" t="s">
        <v>1935</v>
      </c>
      <c r="C1532" s="1"/>
      <c r="D1532" s="1"/>
      <c r="E1532" s="1"/>
      <c r="F1532" s="1"/>
      <c r="G1532" s="1"/>
      <c r="H1532" s="1" t="str">
        <f>"7804918400340"</f>
        <v>7804918400340</v>
      </c>
      <c r="I1532" s="3">
        <v>25</v>
      </c>
      <c r="J1532" s="3">
        <v>0</v>
      </c>
      <c r="K1532" s="3">
        <v>2500</v>
      </c>
    </row>
    <row r="1533" spans="1:11" x14ac:dyDescent="0.2">
      <c r="A1533" s="1" t="s">
        <v>4994</v>
      </c>
      <c r="B1533" s="1" t="s">
        <v>1938</v>
      </c>
      <c r="C1533" s="1"/>
      <c r="D1533" s="1"/>
      <c r="E1533" s="1"/>
      <c r="F1533" s="1"/>
      <c r="G1533" s="1"/>
      <c r="H1533" s="1" t="str">
        <f>"7800026050019"</f>
        <v>7800026050019</v>
      </c>
      <c r="I1533" s="3">
        <v>5</v>
      </c>
      <c r="J1533" s="3">
        <v>0</v>
      </c>
      <c r="K1533" s="3">
        <v>20000</v>
      </c>
    </row>
    <row r="1534" spans="1:11" x14ac:dyDescent="0.2">
      <c r="A1534" s="1" t="s">
        <v>4994</v>
      </c>
      <c r="B1534" s="1" t="s">
        <v>1939</v>
      </c>
      <c r="C1534" s="1"/>
      <c r="D1534" s="1"/>
      <c r="E1534" s="1"/>
      <c r="F1534" s="1"/>
      <c r="G1534" s="1"/>
      <c r="H1534" s="1" t="str">
        <f>"7800026111130"</f>
        <v>7800026111130</v>
      </c>
      <c r="I1534" s="3">
        <v>2</v>
      </c>
      <c r="J1534" s="3">
        <v>0</v>
      </c>
      <c r="K1534" s="3">
        <v>18000</v>
      </c>
    </row>
    <row r="1535" spans="1:11" x14ac:dyDescent="0.2">
      <c r="A1535" s="1" t="s">
        <v>4994</v>
      </c>
      <c r="B1535" s="1" t="s">
        <v>1941</v>
      </c>
      <c r="C1535" s="1"/>
      <c r="D1535" s="1"/>
      <c r="E1535" s="1"/>
      <c r="F1535" s="1"/>
      <c r="G1535" s="1"/>
      <c r="H1535" s="1" t="str">
        <f>"7800007119674"</f>
        <v>7800007119674</v>
      </c>
      <c r="I1535" s="3">
        <v>0</v>
      </c>
      <c r="J1535" s="3">
        <v>0</v>
      </c>
      <c r="K1535" s="3">
        <v>2500</v>
      </c>
    </row>
    <row r="1536" spans="1:11" x14ac:dyDescent="0.2">
      <c r="A1536" s="1" t="s">
        <v>4994</v>
      </c>
      <c r="B1536" s="1" t="s">
        <v>1942</v>
      </c>
      <c r="C1536" s="1"/>
      <c r="D1536" s="1"/>
      <c r="E1536" s="1"/>
      <c r="F1536" s="1"/>
      <c r="G1536" s="1"/>
      <c r="H1536" s="1" t="str">
        <f>"7803504002395"</f>
        <v>7803504002395</v>
      </c>
      <c r="I1536" s="3">
        <v>76</v>
      </c>
      <c r="J1536" s="3">
        <v>0</v>
      </c>
      <c r="K1536" s="3">
        <v>2500</v>
      </c>
    </row>
    <row r="1537" spans="1:11" x14ac:dyDescent="0.2">
      <c r="A1537" s="1" t="s">
        <v>4994</v>
      </c>
      <c r="B1537" s="1" t="s">
        <v>1943</v>
      </c>
      <c r="C1537" s="1"/>
      <c r="D1537" s="1"/>
      <c r="E1537" s="1"/>
      <c r="F1537" s="1"/>
      <c r="G1537" s="1"/>
      <c r="H1537" s="1" t="str">
        <f>"7800038050502"</f>
        <v>7800038050502</v>
      </c>
      <c r="I1537" s="3">
        <v>0</v>
      </c>
      <c r="J1537" s="3">
        <v>0</v>
      </c>
      <c r="K1537" s="3">
        <v>10000</v>
      </c>
    </row>
    <row r="1538" spans="1:11" x14ac:dyDescent="0.2">
      <c r="A1538" s="1" t="s">
        <v>4994</v>
      </c>
      <c r="B1538" s="1" t="s">
        <v>1944</v>
      </c>
      <c r="C1538" s="1"/>
      <c r="D1538" s="1"/>
      <c r="E1538" s="1"/>
      <c r="F1538" s="1"/>
      <c r="G1538" s="1"/>
      <c r="H1538" s="1" t="str">
        <f>"7800007805317"</f>
        <v>7800007805317</v>
      </c>
      <c r="I1538" s="3">
        <v>9</v>
      </c>
      <c r="J1538" s="3">
        <v>0</v>
      </c>
      <c r="K1538" s="3">
        <v>26000</v>
      </c>
    </row>
    <row r="1539" spans="1:11" x14ac:dyDescent="0.2">
      <c r="A1539" s="1" t="s">
        <v>4994</v>
      </c>
      <c r="B1539" s="1" t="s">
        <v>1945</v>
      </c>
      <c r="C1539" s="1"/>
      <c r="D1539" s="1"/>
      <c r="E1539" s="1"/>
      <c r="F1539" s="1"/>
      <c r="G1539" s="1"/>
      <c r="H1539" s="1" t="str">
        <f>"7800041042853"</f>
        <v>7800041042853</v>
      </c>
      <c r="I1539" s="3">
        <v>0</v>
      </c>
      <c r="J1539" s="3">
        <v>0</v>
      </c>
      <c r="K1539" s="3">
        <v>7000</v>
      </c>
    </row>
    <row r="1540" spans="1:11" x14ac:dyDescent="0.2">
      <c r="A1540" s="1" t="s">
        <v>4994</v>
      </c>
      <c r="B1540" s="1" t="s">
        <v>1946</v>
      </c>
      <c r="C1540" s="1"/>
      <c r="D1540" s="1"/>
      <c r="E1540" s="1"/>
      <c r="F1540" s="1"/>
      <c r="G1540" s="1"/>
      <c r="H1540" s="1" t="str">
        <f>"7800038048042"</f>
        <v>7800038048042</v>
      </c>
      <c r="I1540" s="3">
        <v>0</v>
      </c>
      <c r="J1540" s="3">
        <v>0</v>
      </c>
      <c r="K1540" s="3">
        <v>7000</v>
      </c>
    </row>
    <row r="1541" spans="1:11" x14ac:dyDescent="0.2">
      <c r="A1541" s="1" t="s">
        <v>4994</v>
      </c>
      <c r="B1541" s="1" t="s">
        <v>1947</v>
      </c>
      <c r="C1541" s="1"/>
      <c r="D1541" s="1"/>
      <c r="E1541" s="1"/>
      <c r="F1541" s="1"/>
      <c r="G1541" s="1"/>
      <c r="H1541" s="1" t="str">
        <f>"7800038000774"</f>
        <v>7800038000774</v>
      </c>
      <c r="I1541" s="3">
        <v>0</v>
      </c>
      <c r="J1541" s="3">
        <v>0</v>
      </c>
      <c r="K1541" s="3">
        <v>7000</v>
      </c>
    </row>
    <row r="1542" spans="1:11" x14ac:dyDescent="0.2">
      <c r="A1542" s="1" t="s">
        <v>4994</v>
      </c>
      <c r="B1542" s="1" t="s">
        <v>1948</v>
      </c>
      <c r="C1542" s="1"/>
      <c r="D1542" s="1"/>
      <c r="E1542" s="1"/>
      <c r="F1542" s="1"/>
      <c r="G1542" s="1"/>
      <c r="H1542" s="1" t="str">
        <f>"7800068012051"</f>
        <v>7800068012051</v>
      </c>
      <c r="I1542" s="3">
        <v>0</v>
      </c>
      <c r="J1542" s="3">
        <v>0</v>
      </c>
      <c r="K1542" s="3">
        <v>10000</v>
      </c>
    </row>
    <row r="1543" spans="1:11" x14ac:dyDescent="0.2">
      <c r="A1543" s="1" t="s">
        <v>4994</v>
      </c>
      <c r="B1543" s="1" t="s">
        <v>1949</v>
      </c>
      <c r="C1543" s="1"/>
      <c r="D1543" s="1"/>
      <c r="E1543" s="1"/>
      <c r="F1543" s="1"/>
      <c r="G1543" s="1"/>
      <c r="H1543" s="1" t="str">
        <f>"7801001013944"</f>
        <v>7801001013944</v>
      </c>
      <c r="I1543" s="3">
        <v>0</v>
      </c>
      <c r="J1543" s="3">
        <v>0</v>
      </c>
      <c r="K1543" s="3">
        <v>3500</v>
      </c>
    </row>
    <row r="1544" spans="1:11" x14ac:dyDescent="0.2">
      <c r="A1544" s="1" t="s">
        <v>4994</v>
      </c>
      <c r="B1544" s="1" t="s">
        <v>1950</v>
      </c>
      <c r="C1544" s="1"/>
      <c r="D1544" s="1"/>
      <c r="E1544" s="1"/>
      <c r="F1544" s="1"/>
      <c r="G1544" s="1"/>
      <c r="H1544" s="1" t="str">
        <f>"7801001013951"</f>
        <v>7801001013951</v>
      </c>
      <c r="I1544" s="3">
        <v>0</v>
      </c>
      <c r="J1544" s="3">
        <v>0</v>
      </c>
      <c r="K1544" s="3">
        <v>3500</v>
      </c>
    </row>
    <row r="1545" spans="1:11" x14ac:dyDescent="0.2">
      <c r="A1545" s="1" t="s">
        <v>4994</v>
      </c>
      <c r="B1545" s="1" t="s">
        <v>1952</v>
      </c>
      <c r="C1545" s="1"/>
      <c r="D1545" s="1"/>
      <c r="E1545" s="1"/>
      <c r="F1545" s="1"/>
      <c r="G1545" s="1"/>
      <c r="H1545" s="1" t="str">
        <f>"7800030005449"</f>
        <v>7800030005449</v>
      </c>
      <c r="I1545" s="3">
        <v>9</v>
      </c>
      <c r="J1545" s="3">
        <v>0</v>
      </c>
      <c r="K1545" s="3">
        <v>15000</v>
      </c>
    </row>
    <row r="1546" spans="1:11" x14ac:dyDescent="0.2">
      <c r="A1546" s="1" t="s">
        <v>4994</v>
      </c>
      <c r="B1546" s="1" t="s">
        <v>1954</v>
      </c>
      <c r="C1546" s="1"/>
      <c r="D1546" s="1"/>
      <c r="E1546" s="1"/>
      <c r="F1546" s="1"/>
      <c r="G1546" s="1"/>
      <c r="H1546" s="1" t="str">
        <f>"7800026005699"</f>
        <v>7800026005699</v>
      </c>
      <c r="I1546" s="3">
        <v>0</v>
      </c>
      <c r="J1546" s="3">
        <v>0</v>
      </c>
      <c r="K1546" s="3">
        <v>37000</v>
      </c>
    </row>
    <row r="1547" spans="1:11" x14ac:dyDescent="0.2">
      <c r="A1547" s="1" t="s">
        <v>4994</v>
      </c>
      <c r="B1547" s="1" t="s">
        <v>1955</v>
      </c>
      <c r="C1547" s="1"/>
      <c r="D1547" s="1"/>
      <c r="E1547" s="1"/>
      <c r="F1547" s="1"/>
      <c r="G1547" s="1"/>
      <c r="H1547" s="1" t="str">
        <f>"7800004000500"</f>
        <v>7800004000500</v>
      </c>
      <c r="I1547" s="3">
        <v>1</v>
      </c>
      <c r="J1547" s="3">
        <v>0</v>
      </c>
      <c r="K1547" s="3">
        <v>9000</v>
      </c>
    </row>
    <row r="1548" spans="1:11" x14ac:dyDescent="0.2">
      <c r="A1548" s="1" t="s">
        <v>4994</v>
      </c>
      <c r="B1548" s="1" t="s">
        <v>1957</v>
      </c>
      <c r="C1548" s="1"/>
      <c r="D1548" s="1"/>
      <c r="E1548" s="1"/>
      <c r="F1548" s="1"/>
      <c r="G1548" s="1"/>
      <c r="H1548" s="1" t="str">
        <f>"7800060142732"</f>
        <v>7800060142732</v>
      </c>
      <c r="I1548" s="3">
        <v>0</v>
      </c>
      <c r="J1548" s="3">
        <v>0</v>
      </c>
      <c r="K1548" s="3">
        <v>22000</v>
      </c>
    </row>
    <row r="1549" spans="1:11" x14ac:dyDescent="0.2">
      <c r="A1549" s="1" t="s">
        <v>4994</v>
      </c>
      <c r="B1549" s="1" t="s">
        <v>1958</v>
      </c>
      <c r="C1549" s="1"/>
      <c r="D1549" s="1"/>
      <c r="E1549" s="1"/>
      <c r="F1549" s="1"/>
      <c r="G1549" s="1"/>
      <c r="H1549" s="1" t="str">
        <f>"7800060144866"</f>
        <v>7800060144866</v>
      </c>
      <c r="I1549" s="3">
        <v>2</v>
      </c>
      <c r="J1549" s="3">
        <v>0</v>
      </c>
      <c r="K1549" s="3">
        <v>29000</v>
      </c>
    </row>
    <row r="1550" spans="1:11" x14ac:dyDescent="0.2">
      <c r="A1550" s="1" t="s">
        <v>4994</v>
      </c>
      <c r="B1550" s="1" t="s">
        <v>1959</v>
      </c>
      <c r="C1550" s="1"/>
      <c r="D1550" s="1"/>
      <c r="E1550" s="1"/>
      <c r="F1550" s="1"/>
      <c r="G1550" s="1"/>
      <c r="H1550" s="1" t="str">
        <f>"7800038000057"</f>
        <v>7800038000057</v>
      </c>
      <c r="I1550" s="3">
        <v>0</v>
      </c>
      <c r="J1550" s="3">
        <v>0</v>
      </c>
      <c r="K1550" s="3">
        <v>4500</v>
      </c>
    </row>
    <row r="1551" spans="1:11" x14ac:dyDescent="0.2">
      <c r="A1551" s="1" t="s">
        <v>4994</v>
      </c>
      <c r="B1551" s="1" t="s">
        <v>1960</v>
      </c>
      <c r="C1551" s="1"/>
      <c r="D1551" s="1"/>
      <c r="E1551" s="1"/>
      <c r="F1551" s="1"/>
      <c r="G1551" s="1"/>
      <c r="H1551" s="1" t="str">
        <f>"7804947601183"</f>
        <v>7804947601183</v>
      </c>
      <c r="I1551" s="3">
        <v>5</v>
      </c>
      <c r="J1551" s="3">
        <v>0</v>
      </c>
      <c r="K1551" s="3">
        <v>3000</v>
      </c>
    </row>
    <row r="1552" spans="1:11" x14ac:dyDescent="0.2">
      <c r="A1552" s="1" t="s">
        <v>4994</v>
      </c>
      <c r="B1552" s="1" t="s">
        <v>1961</v>
      </c>
      <c r="C1552" s="1"/>
      <c r="D1552" s="1"/>
      <c r="E1552" s="1"/>
      <c r="F1552" s="1"/>
      <c r="G1552" s="1"/>
      <c r="H1552" s="1" t="str">
        <f>"7809531201381"</f>
        <v>7809531201381</v>
      </c>
      <c r="I1552" s="3">
        <v>0</v>
      </c>
      <c r="J1552" s="3">
        <v>0</v>
      </c>
      <c r="K1552" s="3">
        <v>9500</v>
      </c>
    </row>
    <row r="1553" spans="1:11" x14ac:dyDescent="0.2">
      <c r="A1553" s="1" t="s">
        <v>4994</v>
      </c>
      <c r="B1553" s="1" t="s">
        <v>1962</v>
      </c>
      <c r="C1553" s="1"/>
      <c r="D1553" s="1"/>
      <c r="E1553" s="1"/>
      <c r="F1553" s="1"/>
      <c r="G1553" s="1"/>
      <c r="H1553" s="1" t="str">
        <f>"7803510000750"</f>
        <v>7803510000750</v>
      </c>
      <c r="I1553" s="3">
        <v>2</v>
      </c>
      <c r="J1553" s="3">
        <v>0</v>
      </c>
      <c r="K1553" s="3">
        <v>19000</v>
      </c>
    </row>
    <row r="1554" spans="1:11" x14ac:dyDescent="0.2">
      <c r="A1554" s="1" t="s">
        <v>4994</v>
      </c>
      <c r="B1554" s="1" t="s">
        <v>1963</v>
      </c>
      <c r="C1554" s="1"/>
      <c r="D1554" s="1"/>
      <c r="E1554" s="1"/>
      <c r="F1554" s="1"/>
      <c r="G1554" s="1"/>
      <c r="H1554" s="1" t="str">
        <f>"7804650883111"</f>
        <v>7804650883111</v>
      </c>
      <c r="I1554" s="3">
        <v>0</v>
      </c>
      <c r="J1554" s="3">
        <v>0</v>
      </c>
      <c r="K1554" s="3">
        <v>10000</v>
      </c>
    </row>
    <row r="1555" spans="1:11" x14ac:dyDescent="0.2">
      <c r="A1555" s="1" t="s">
        <v>4994</v>
      </c>
      <c r="B1555" s="1" t="s">
        <v>1964</v>
      </c>
      <c r="C1555" s="1"/>
      <c r="D1555" s="1"/>
      <c r="E1555" s="1"/>
      <c r="F1555" s="1"/>
      <c r="G1555" s="1"/>
      <c r="H1555" s="1" t="str">
        <f>"7804650882893"</f>
        <v>7804650882893</v>
      </c>
      <c r="I1555" s="3">
        <v>0</v>
      </c>
      <c r="J1555" s="3">
        <v>0</v>
      </c>
      <c r="K1555" s="3">
        <v>23000</v>
      </c>
    </row>
    <row r="1556" spans="1:11" x14ac:dyDescent="0.2">
      <c r="A1556" s="1" t="s">
        <v>4994</v>
      </c>
      <c r="B1556" s="1" t="s">
        <v>1966</v>
      </c>
      <c r="C1556" s="1"/>
      <c r="D1556" s="1"/>
      <c r="E1556" s="1"/>
      <c r="F1556" s="1"/>
      <c r="G1556" s="1"/>
      <c r="H1556" s="1" t="str">
        <f>"7800018187006"</f>
        <v>7800018187006</v>
      </c>
      <c r="I1556" s="3">
        <v>9</v>
      </c>
      <c r="J1556" s="3">
        <v>0</v>
      </c>
      <c r="K1556" s="3">
        <v>17000</v>
      </c>
    </row>
    <row r="1557" spans="1:11" x14ac:dyDescent="0.2">
      <c r="A1557" s="1" t="s">
        <v>4994</v>
      </c>
      <c r="B1557" s="1" t="s">
        <v>1967</v>
      </c>
      <c r="C1557" s="1"/>
      <c r="D1557" s="1"/>
      <c r="E1557" s="1"/>
      <c r="F1557" s="1"/>
      <c r="G1557" s="1"/>
      <c r="H1557" s="1" t="str">
        <f>"7803510003041"</f>
        <v>7803510003041</v>
      </c>
      <c r="I1557" s="3">
        <v>0</v>
      </c>
      <c r="J1557" s="3">
        <v>0</v>
      </c>
      <c r="K1557" s="3">
        <v>18000</v>
      </c>
    </row>
    <row r="1558" spans="1:11" x14ac:dyDescent="0.2">
      <c r="A1558" s="1" t="s">
        <v>4994</v>
      </c>
      <c r="B1558" s="1" t="s">
        <v>1968</v>
      </c>
      <c r="C1558" s="1"/>
      <c r="D1558" s="1"/>
      <c r="E1558" s="1"/>
      <c r="F1558" s="1"/>
      <c r="G1558" s="1"/>
      <c r="H1558" s="1" t="str">
        <f>"7803510773364"</f>
        <v>7803510773364</v>
      </c>
      <c r="I1558" s="3">
        <v>0</v>
      </c>
      <c r="J1558" s="3">
        <v>0</v>
      </c>
      <c r="K1558" s="3">
        <v>12000</v>
      </c>
    </row>
    <row r="1559" spans="1:11" x14ac:dyDescent="0.2">
      <c r="A1559" s="1" t="s">
        <v>4994</v>
      </c>
      <c r="B1559" s="1" t="s">
        <v>1970</v>
      </c>
      <c r="C1559" s="1"/>
      <c r="D1559" s="1"/>
      <c r="E1559" s="1"/>
      <c r="F1559" s="1"/>
      <c r="G1559" s="1"/>
      <c r="H1559" s="1" t="str">
        <f>"7800046005631"</f>
        <v>7800046005631</v>
      </c>
      <c r="I1559" s="3">
        <v>0</v>
      </c>
      <c r="J1559" s="3">
        <v>0</v>
      </c>
      <c r="K1559" s="3">
        <v>6000</v>
      </c>
    </row>
    <row r="1560" spans="1:11" x14ac:dyDescent="0.2">
      <c r="A1560" s="1" t="s">
        <v>4994</v>
      </c>
      <c r="B1560" s="1" t="s">
        <v>1972</v>
      </c>
      <c r="C1560" s="1"/>
      <c r="D1560" s="1"/>
      <c r="E1560" s="1"/>
      <c r="F1560" s="1"/>
      <c r="G1560" s="1"/>
      <c r="H1560" s="1" t="str">
        <f>"JHGYGY"</f>
        <v>JHGYGY</v>
      </c>
      <c r="I1560" s="3">
        <v>0</v>
      </c>
      <c r="J1560" s="3">
        <v>0</v>
      </c>
      <c r="K1560" s="3">
        <v>13000</v>
      </c>
    </row>
    <row r="1561" spans="1:11" x14ac:dyDescent="0.2">
      <c r="A1561" s="1" t="s">
        <v>4994</v>
      </c>
      <c r="B1561" s="1" t="s">
        <v>1976</v>
      </c>
      <c r="C1561" s="1"/>
      <c r="D1561" s="1"/>
      <c r="E1561" s="1"/>
      <c r="F1561" s="1"/>
      <c r="G1561" s="1"/>
      <c r="H1561" s="1" t="str">
        <f>"7809591400571"</f>
        <v>7809591400571</v>
      </c>
      <c r="I1561" s="3">
        <v>0</v>
      </c>
      <c r="J1561" s="3">
        <v>0</v>
      </c>
      <c r="K1561" s="3">
        <v>14000</v>
      </c>
    </row>
    <row r="1562" spans="1:11" x14ac:dyDescent="0.2">
      <c r="A1562" s="1" t="s">
        <v>4994</v>
      </c>
      <c r="B1562" s="1" t="s">
        <v>1977</v>
      </c>
      <c r="C1562" s="1"/>
      <c r="D1562" s="1"/>
      <c r="E1562" s="1"/>
      <c r="F1562" s="1"/>
      <c r="G1562" s="1"/>
      <c r="H1562" s="1" t="str">
        <f>"7809591400564"</f>
        <v>7809591400564</v>
      </c>
      <c r="I1562" s="3">
        <v>0</v>
      </c>
      <c r="J1562" s="3">
        <v>0</v>
      </c>
      <c r="K1562" s="3">
        <v>25000</v>
      </c>
    </row>
    <row r="1563" spans="1:11" x14ac:dyDescent="0.2">
      <c r="A1563" s="1" t="s">
        <v>4994</v>
      </c>
      <c r="B1563" s="1" t="s">
        <v>1979</v>
      </c>
      <c r="C1563" s="1"/>
      <c r="D1563" s="1"/>
      <c r="E1563" s="1"/>
      <c r="F1563" s="1"/>
      <c r="G1563" s="1"/>
      <c r="H1563" s="1" t="str">
        <f>"7800068012099"</f>
        <v>7800068012099</v>
      </c>
      <c r="I1563" s="3">
        <v>0</v>
      </c>
      <c r="J1563" s="3">
        <v>0</v>
      </c>
      <c r="K1563" s="3">
        <v>7000</v>
      </c>
    </row>
    <row r="1564" spans="1:11" x14ac:dyDescent="0.2">
      <c r="A1564" s="1" t="s">
        <v>4994</v>
      </c>
      <c r="B1564" s="1" t="s">
        <v>1980</v>
      </c>
      <c r="C1564" s="1"/>
      <c r="D1564" s="1"/>
      <c r="E1564" s="1"/>
      <c r="F1564" s="1"/>
      <c r="G1564" s="1"/>
      <c r="H1564" s="1" t="str">
        <f>"7800068150012"</f>
        <v>7800068150012</v>
      </c>
      <c r="I1564" s="3">
        <v>0</v>
      </c>
      <c r="J1564" s="3">
        <v>0</v>
      </c>
      <c r="K1564" s="3">
        <v>11000</v>
      </c>
    </row>
    <row r="1565" spans="1:11" x14ac:dyDescent="0.2">
      <c r="A1565" s="1" t="s">
        <v>4994</v>
      </c>
      <c r="B1565" s="1" t="s">
        <v>1983</v>
      </c>
      <c r="C1565" s="1"/>
      <c r="D1565" s="1"/>
      <c r="E1565" s="1"/>
      <c r="F1565" s="1"/>
      <c r="G1565" s="1"/>
      <c r="H1565" s="1" t="str">
        <f>"7800018175966"</f>
        <v>7800018175966</v>
      </c>
      <c r="I1565" s="3">
        <v>1</v>
      </c>
      <c r="J1565" s="3">
        <v>0</v>
      </c>
      <c r="K1565" s="3">
        <v>5500</v>
      </c>
    </row>
    <row r="1566" spans="1:11" x14ac:dyDescent="0.2">
      <c r="A1566" s="1" t="s">
        <v>4994</v>
      </c>
      <c r="B1566" s="1" t="s">
        <v>1984</v>
      </c>
      <c r="C1566" s="1"/>
      <c r="D1566" s="1"/>
      <c r="E1566" s="1"/>
      <c r="F1566" s="1"/>
      <c r="G1566" s="1"/>
      <c r="H1566" s="1" t="str">
        <f>"7800018160009"</f>
        <v>7800018160009</v>
      </c>
      <c r="I1566" s="3">
        <v>0</v>
      </c>
      <c r="J1566" s="3">
        <v>0</v>
      </c>
      <c r="K1566" s="3">
        <v>5000</v>
      </c>
    </row>
    <row r="1567" spans="1:11" x14ac:dyDescent="0.2">
      <c r="A1567" s="1" t="s">
        <v>4994</v>
      </c>
      <c r="B1567" s="1" t="s">
        <v>1985</v>
      </c>
      <c r="C1567" s="1"/>
      <c r="D1567" s="1"/>
      <c r="E1567" s="1"/>
      <c r="F1567" s="1"/>
      <c r="G1567" s="1"/>
      <c r="H1567" s="1" t="str">
        <f>"7800018131764"</f>
        <v>7800018131764</v>
      </c>
      <c r="I1567" s="3">
        <v>0</v>
      </c>
      <c r="J1567" s="3">
        <v>0</v>
      </c>
      <c r="K1567" s="3">
        <v>2500</v>
      </c>
    </row>
    <row r="1568" spans="1:11" x14ac:dyDescent="0.2">
      <c r="A1568" s="1" t="s">
        <v>4994</v>
      </c>
      <c r="B1568" s="1" t="s">
        <v>1986</v>
      </c>
      <c r="C1568" s="1"/>
      <c r="D1568" s="1"/>
      <c r="E1568" s="1"/>
      <c r="F1568" s="1"/>
      <c r="G1568" s="1"/>
      <c r="H1568" s="1" t="str">
        <f>"7800018169224"</f>
        <v>7800018169224</v>
      </c>
      <c r="I1568" s="3">
        <v>0</v>
      </c>
      <c r="J1568" s="3">
        <v>0</v>
      </c>
      <c r="K1568" s="3">
        <v>5500</v>
      </c>
    </row>
    <row r="1569" spans="1:11" x14ac:dyDescent="0.2">
      <c r="A1569" s="1" t="s">
        <v>4994</v>
      </c>
      <c r="B1569" s="1" t="s">
        <v>1987</v>
      </c>
      <c r="C1569" s="1"/>
      <c r="D1569" s="1"/>
      <c r="E1569" s="1"/>
      <c r="F1569" s="1"/>
      <c r="G1569" s="1"/>
      <c r="H1569" s="1" t="str">
        <f>"76660008649"</f>
        <v>76660008649</v>
      </c>
      <c r="I1569" s="3">
        <v>0</v>
      </c>
      <c r="J1569" s="3">
        <v>0</v>
      </c>
      <c r="K1569" s="3">
        <v>11000</v>
      </c>
    </row>
    <row r="1570" spans="1:11" x14ac:dyDescent="0.2">
      <c r="A1570" s="1" t="s">
        <v>4994</v>
      </c>
      <c r="B1570" s="1" t="s">
        <v>1988</v>
      </c>
      <c r="C1570" s="1"/>
      <c r="D1570" s="1"/>
      <c r="E1570" s="1"/>
      <c r="F1570" s="1"/>
      <c r="G1570" s="1"/>
      <c r="H1570" s="1" t="str">
        <f>"4042809017687"</f>
        <v>4042809017687</v>
      </c>
      <c r="I1570" s="3">
        <v>0</v>
      </c>
      <c r="J1570" s="3">
        <v>0</v>
      </c>
      <c r="K1570" s="3">
        <v>9000</v>
      </c>
    </row>
    <row r="1571" spans="1:11" x14ac:dyDescent="0.2">
      <c r="A1571" s="1" t="s">
        <v>4994</v>
      </c>
      <c r="B1571" s="1" t="s">
        <v>1989</v>
      </c>
      <c r="C1571" s="1"/>
      <c r="D1571" s="1"/>
      <c r="E1571" s="1"/>
      <c r="F1571" s="1"/>
      <c r="G1571" s="1"/>
      <c r="H1571" s="1" t="str">
        <f>"4042809017717"</f>
        <v>4042809017717</v>
      </c>
      <c r="I1571" s="3">
        <v>0</v>
      </c>
      <c r="J1571" s="3">
        <v>0</v>
      </c>
      <c r="K1571" s="3">
        <v>16000</v>
      </c>
    </row>
    <row r="1572" spans="1:11" x14ac:dyDescent="0.2">
      <c r="A1572" s="1" t="s">
        <v>4994</v>
      </c>
      <c r="B1572" s="1" t="s">
        <v>1990</v>
      </c>
      <c r="C1572" s="1"/>
      <c r="D1572" s="1"/>
      <c r="E1572" s="1"/>
      <c r="F1572" s="1"/>
      <c r="G1572" s="1"/>
      <c r="H1572" s="1" t="str">
        <f>"7800028071579"</f>
        <v>7800028071579</v>
      </c>
      <c r="I1572" s="3">
        <v>0</v>
      </c>
      <c r="J1572" s="3">
        <v>0</v>
      </c>
      <c r="K1572" s="3">
        <v>21000</v>
      </c>
    </row>
    <row r="1573" spans="1:11" x14ac:dyDescent="0.2">
      <c r="A1573" s="1" t="s">
        <v>4994</v>
      </c>
      <c r="B1573" s="1" t="s">
        <v>1991</v>
      </c>
      <c r="C1573" s="1"/>
      <c r="D1573" s="1"/>
      <c r="E1573" s="1"/>
      <c r="F1573" s="1"/>
      <c r="G1573" s="1"/>
      <c r="H1573" s="1" t="str">
        <f>"7800028002627"</f>
        <v>7800028002627</v>
      </c>
      <c r="I1573" s="3">
        <v>3</v>
      </c>
      <c r="J1573" s="3">
        <v>0</v>
      </c>
      <c r="K1573" s="3">
        <v>25000</v>
      </c>
    </row>
    <row r="1574" spans="1:11" x14ac:dyDescent="0.2">
      <c r="A1574" s="1" t="s">
        <v>4994</v>
      </c>
      <c r="B1574" s="1" t="s">
        <v>1992</v>
      </c>
      <c r="C1574" s="1"/>
      <c r="D1574" s="1"/>
      <c r="E1574" s="1"/>
      <c r="F1574" s="1"/>
      <c r="G1574" s="1"/>
      <c r="H1574" s="1" t="str">
        <f>"7804948112008"</f>
        <v>7804948112008</v>
      </c>
      <c r="I1574" s="3">
        <v>0</v>
      </c>
      <c r="J1574" s="3">
        <v>0</v>
      </c>
      <c r="K1574" s="3">
        <v>10000</v>
      </c>
    </row>
    <row r="1575" spans="1:11" x14ac:dyDescent="0.2">
      <c r="A1575" s="1" t="s">
        <v>4994</v>
      </c>
      <c r="B1575" s="1" t="s">
        <v>1993</v>
      </c>
      <c r="C1575" s="1"/>
      <c r="D1575" s="1"/>
      <c r="E1575" s="1"/>
      <c r="F1575" s="1"/>
      <c r="G1575" s="1"/>
      <c r="H1575" s="1" t="str">
        <f>"76046198610379"</f>
        <v>76046198610379</v>
      </c>
      <c r="I1575" s="3">
        <v>10</v>
      </c>
      <c r="J1575" s="3">
        <v>0</v>
      </c>
      <c r="K1575" s="3">
        <v>7500</v>
      </c>
    </row>
    <row r="1576" spans="1:11" x14ac:dyDescent="0.2">
      <c r="A1576" s="1" t="s">
        <v>4994</v>
      </c>
      <c r="B1576" s="1" t="s">
        <v>1994</v>
      </c>
      <c r="C1576" s="1"/>
      <c r="D1576" s="1"/>
      <c r="E1576" s="1"/>
      <c r="F1576" s="1"/>
      <c r="G1576" s="1"/>
      <c r="H1576" s="1" t="str">
        <f>"7800018000558"</f>
        <v>7800018000558</v>
      </c>
      <c r="I1576" s="3">
        <v>30</v>
      </c>
      <c r="J1576" s="3">
        <v>0</v>
      </c>
      <c r="K1576" s="3">
        <v>7000</v>
      </c>
    </row>
    <row r="1577" spans="1:11" x14ac:dyDescent="0.2">
      <c r="A1577" s="1" t="s">
        <v>4994</v>
      </c>
      <c r="B1577" s="1" t="s">
        <v>1995</v>
      </c>
      <c r="C1577" s="1"/>
      <c r="D1577" s="1"/>
      <c r="E1577" s="1"/>
      <c r="F1577" s="1"/>
      <c r="G1577" s="1"/>
      <c r="H1577" s="1" t="str">
        <f>"7861073971177"</f>
        <v>7861073971177</v>
      </c>
      <c r="I1577" s="3">
        <v>1</v>
      </c>
      <c r="J1577" s="3">
        <v>0</v>
      </c>
      <c r="K1577" s="3">
        <v>7500</v>
      </c>
    </row>
    <row r="1578" spans="1:11" x14ac:dyDescent="0.2">
      <c r="A1578" s="1" t="s">
        <v>4994</v>
      </c>
      <c r="B1578" s="1" t="s">
        <v>1996</v>
      </c>
      <c r="C1578" s="1"/>
      <c r="D1578" s="1"/>
      <c r="E1578" s="1"/>
      <c r="F1578" s="1"/>
      <c r="G1578" s="1"/>
      <c r="H1578" s="1" t="str">
        <f>"7800018000596"</f>
        <v>7800018000596</v>
      </c>
      <c r="I1578" s="3">
        <v>0</v>
      </c>
      <c r="J1578" s="3">
        <v>0</v>
      </c>
      <c r="K1578" s="3">
        <v>5500</v>
      </c>
    </row>
    <row r="1579" spans="1:11" x14ac:dyDescent="0.2">
      <c r="A1579" s="1" t="s">
        <v>4994</v>
      </c>
      <c r="B1579" s="1" t="s">
        <v>1997</v>
      </c>
      <c r="C1579" s="1"/>
      <c r="D1579" s="1"/>
      <c r="E1579" s="1"/>
      <c r="F1579" s="1"/>
      <c r="G1579" s="1"/>
      <c r="H1579" s="1" t="str">
        <f>"7800038000040"</f>
        <v>7800038000040</v>
      </c>
      <c r="I1579" s="3">
        <v>0</v>
      </c>
      <c r="J1579" s="3">
        <v>0</v>
      </c>
      <c r="K1579" s="3">
        <v>11000</v>
      </c>
    </row>
    <row r="1580" spans="1:11" x14ac:dyDescent="0.2">
      <c r="A1580" s="1" t="s">
        <v>4994</v>
      </c>
      <c r="B1580" s="1" t="s">
        <v>1998</v>
      </c>
      <c r="C1580" s="1"/>
      <c r="D1580" s="1"/>
      <c r="E1580" s="1"/>
      <c r="F1580" s="1"/>
      <c r="G1580" s="1"/>
      <c r="H1580" s="1" t="str">
        <f>"7800026025499"</f>
        <v>7800026025499</v>
      </c>
      <c r="I1580" s="3">
        <v>0</v>
      </c>
      <c r="J1580" s="3">
        <v>0</v>
      </c>
      <c r="K1580" s="3">
        <v>15000</v>
      </c>
    </row>
    <row r="1581" spans="1:11" x14ac:dyDescent="0.2">
      <c r="A1581" s="1" t="s">
        <v>4994</v>
      </c>
      <c r="B1581" s="1" t="s">
        <v>1999</v>
      </c>
      <c r="C1581" s="1"/>
      <c r="D1581" s="1"/>
      <c r="E1581" s="1"/>
      <c r="F1581" s="1"/>
      <c r="G1581" s="1"/>
      <c r="H1581" s="1" t="str">
        <f>"7800026025505"</f>
        <v>7800026025505</v>
      </c>
      <c r="I1581" s="3">
        <v>0</v>
      </c>
      <c r="J1581" s="3">
        <v>0</v>
      </c>
      <c r="K1581" s="3">
        <v>14000</v>
      </c>
    </row>
    <row r="1582" spans="1:11" x14ac:dyDescent="0.2">
      <c r="A1582" s="1" t="s">
        <v>4994</v>
      </c>
      <c r="B1582" s="1" t="s">
        <v>2000</v>
      </c>
      <c r="C1582" s="1"/>
      <c r="D1582" s="1"/>
      <c r="E1582" s="1"/>
      <c r="F1582" s="1"/>
      <c r="G1582" s="1"/>
      <c r="H1582" s="1" t="str">
        <f>"7756459000438"</f>
        <v>7756459000438</v>
      </c>
      <c r="I1582" s="3">
        <v>0</v>
      </c>
      <c r="J1582" s="3">
        <v>0</v>
      </c>
      <c r="K1582" s="3">
        <v>8000</v>
      </c>
    </row>
    <row r="1583" spans="1:11" x14ac:dyDescent="0.2">
      <c r="A1583" s="1" t="s">
        <v>4994</v>
      </c>
      <c r="B1583" s="1" t="s">
        <v>2001</v>
      </c>
      <c r="C1583" s="1"/>
      <c r="D1583" s="1"/>
      <c r="E1583" s="1"/>
      <c r="F1583" s="1"/>
      <c r="G1583" s="1"/>
      <c r="H1583" s="1" t="str">
        <f>"4902508002820"</f>
        <v>4902508002820</v>
      </c>
      <c r="I1583" s="3">
        <v>3</v>
      </c>
      <c r="J1583" s="3">
        <v>0</v>
      </c>
      <c r="K1583" s="3">
        <v>9500</v>
      </c>
    </row>
    <row r="1584" spans="1:11" x14ac:dyDescent="0.2">
      <c r="A1584" s="1" t="s">
        <v>4994</v>
      </c>
      <c r="B1584" s="1" t="s">
        <v>2002</v>
      </c>
      <c r="C1584" s="1"/>
      <c r="D1584" s="1"/>
      <c r="E1584" s="1"/>
      <c r="F1584" s="1"/>
      <c r="G1584" s="1"/>
      <c r="H1584" s="1" t="str">
        <f>"4902508033084"</f>
        <v>4902508033084</v>
      </c>
      <c r="I1584" s="3">
        <v>4</v>
      </c>
      <c r="J1584" s="3">
        <v>0</v>
      </c>
      <c r="K1584" s="3">
        <v>9000</v>
      </c>
    </row>
    <row r="1585" spans="1:11" x14ac:dyDescent="0.2">
      <c r="A1585" s="1" t="s">
        <v>4994</v>
      </c>
      <c r="B1585" s="1" t="s">
        <v>2003</v>
      </c>
      <c r="C1585" s="1"/>
      <c r="D1585" s="1"/>
      <c r="E1585" s="1"/>
      <c r="F1585" s="1"/>
      <c r="G1585" s="1"/>
      <c r="H1585" s="1" t="str">
        <f>"4902508002806"</f>
        <v>4902508002806</v>
      </c>
      <c r="I1585" s="3">
        <v>2</v>
      </c>
      <c r="J1585" s="3">
        <v>0</v>
      </c>
      <c r="K1585" s="3">
        <v>10000</v>
      </c>
    </row>
    <row r="1586" spans="1:11" x14ac:dyDescent="0.2">
      <c r="A1586" s="1" t="s">
        <v>4994</v>
      </c>
      <c r="B1586" s="1" t="s">
        <v>2004</v>
      </c>
      <c r="C1586" s="1"/>
      <c r="D1586" s="1"/>
      <c r="E1586" s="1"/>
      <c r="F1586" s="1"/>
      <c r="G1586" s="1"/>
      <c r="H1586" s="1" t="str">
        <f>"4054839561801"</f>
        <v>4054839561801</v>
      </c>
      <c r="I1586" s="3">
        <v>4</v>
      </c>
      <c r="J1586" s="3">
        <v>0</v>
      </c>
      <c r="K1586" s="3">
        <v>15000</v>
      </c>
    </row>
    <row r="1587" spans="1:11" x14ac:dyDescent="0.2">
      <c r="A1587" s="1" t="s">
        <v>4994</v>
      </c>
      <c r="B1587" s="1" t="s">
        <v>2005</v>
      </c>
      <c r="C1587" s="1"/>
      <c r="D1587" s="1"/>
      <c r="E1587" s="1"/>
      <c r="F1587" s="1"/>
      <c r="G1587" s="1"/>
      <c r="H1587" s="1" t="str">
        <f>"7800029000271"</f>
        <v>7800029000271</v>
      </c>
      <c r="I1587" s="3">
        <v>0</v>
      </c>
      <c r="J1587" s="3">
        <v>0</v>
      </c>
      <c r="K1587" s="3">
        <v>32000</v>
      </c>
    </row>
    <row r="1588" spans="1:11" x14ac:dyDescent="0.2">
      <c r="A1588" s="1" t="s">
        <v>4994</v>
      </c>
      <c r="B1588" s="1" t="s">
        <v>2006</v>
      </c>
      <c r="C1588" s="1"/>
      <c r="D1588" s="1"/>
      <c r="E1588" s="1"/>
      <c r="F1588" s="1"/>
      <c r="G1588" s="1"/>
      <c r="H1588" s="1" t="str">
        <f>"7800029002602"</f>
        <v>7800029002602</v>
      </c>
      <c r="I1588" s="3">
        <v>3</v>
      </c>
      <c r="J1588" s="3">
        <v>0</v>
      </c>
      <c r="K1588" s="3">
        <v>48000</v>
      </c>
    </row>
    <row r="1589" spans="1:11" x14ac:dyDescent="0.2">
      <c r="A1589" s="1" t="s">
        <v>4994</v>
      </c>
      <c r="B1589" s="1" t="s">
        <v>2007</v>
      </c>
      <c r="C1589" s="1"/>
      <c r="D1589" s="1"/>
      <c r="E1589" s="1"/>
      <c r="F1589" s="1"/>
      <c r="G1589" s="1"/>
      <c r="H1589" s="1" t="str">
        <f>"7800029002626"</f>
        <v>7800029002626</v>
      </c>
      <c r="I1589" s="3">
        <v>0</v>
      </c>
      <c r="J1589" s="3">
        <v>0</v>
      </c>
      <c r="K1589" s="3">
        <v>70000</v>
      </c>
    </row>
    <row r="1590" spans="1:11" x14ac:dyDescent="0.2">
      <c r="A1590" s="1" t="s">
        <v>4994</v>
      </c>
      <c r="B1590" s="1" t="s">
        <v>2009</v>
      </c>
      <c r="C1590" s="1"/>
      <c r="D1590" s="1"/>
      <c r="E1590" s="1"/>
      <c r="F1590" s="1"/>
      <c r="G1590" s="1"/>
      <c r="H1590" s="1" t="str">
        <f>"901000100083"</f>
        <v>901000100083</v>
      </c>
      <c r="I1590" s="3">
        <v>0</v>
      </c>
      <c r="J1590" s="3">
        <v>0</v>
      </c>
      <c r="K1590" s="3">
        <v>5000</v>
      </c>
    </row>
    <row r="1591" spans="1:11" x14ac:dyDescent="0.2">
      <c r="A1591" s="1" t="s">
        <v>4994</v>
      </c>
      <c r="B1591" s="1" t="s">
        <v>2010</v>
      </c>
      <c r="C1591" s="1"/>
      <c r="D1591" s="1"/>
      <c r="E1591" s="1"/>
      <c r="F1591" s="1"/>
      <c r="G1591" s="1"/>
      <c r="H1591" s="1" t="str">
        <f>"901000100090"</f>
        <v>901000100090</v>
      </c>
      <c r="I1591" s="3">
        <v>0</v>
      </c>
      <c r="J1591" s="3">
        <v>0</v>
      </c>
      <c r="K1591" s="3">
        <v>5000</v>
      </c>
    </row>
    <row r="1592" spans="1:11" x14ac:dyDescent="0.2">
      <c r="A1592" s="1" t="s">
        <v>4994</v>
      </c>
      <c r="B1592" s="1" t="s">
        <v>2011</v>
      </c>
      <c r="C1592" s="1"/>
      <c r="D1592" s="1"/>
      <c r="E1592" s="1"/>
      <c r="F1592" s="1"/>
      <c r="G1592" s="1"/>
      <c r="H1592" s="1" t="str">
        <f>"901000100038"</f>
        <v>901000100038</v>
      </c>
      <c r="I1592" s="3">
        <v>0</v>
      </c>
      <c r="J1592" s="3">
        <v>0</v>
      </c>
      <c r="K1592" s="3">
        <v>5000</v>
      </c>
    </row>
    <row r="1593" spans="1:11" x14ac:dyDescent="0.2">
      <c r="A1593" s="1" t="s">
        <v>4994</v>
      </c>
      <c r="B1593" s="1" t="s">
        <v>2012</v>
      </c>
      <c r="C1593" s="1"/>
      <c r="D1593" s="1"/>
      <c r="E1593" s="1"/>
      <c r="F1593" s="1"/>
      <c r="G1593" s="1"/>
      <c r="H1593" s="1" t="str">
        <f>"901000100076"</f>
        <v>901000100076</v>
      </c>
      <c r="I1593" s="3">
        <v>0</v>
      </c>
      <c r="J1593" s="3">
        <v>0</v>
      </c>
      <c r="K1593" s="3">
        <v>5000</v>
      </c>
    </row>
    <row r="1594" spans="1:11" x14ac:dyDescent="0.2">
      <c r="A1594" s="1" t="s">
        <v>4994</v>
      </c>
      <c r="B1594" s="1" t="s">
        <v>2013</v>
      </c>
      <c r="C1594" s="1"/>
      <c r="D1594" s="1"/>
      <c r="E1594" s="1"/>
      <c r="F1594" s="1"/>
      <c r="G1594" s="1"/>
      <c r="H1594" s="1" t="str">
        <f>"8427426071919"</f>
        <v>8427426071919</v>
      </c>
      <c r="I1594" s="3">
        <v>0</v>
      </c>
      <c r="J1594" s="3">
        <v>0</v>
      </c>
      <c r="K1594" s="3">
        <v>4000</v>
      </c>
    </row>
    <row r="1595" spans="1:11" x14ac:dyDescent="0.2">
      <c r="A1595" s="1" t="s">
        <v>4994</v>
      </c>
      <c r="B1595" s="1" t="s">
        <v>2019</v>
      </c>
      <c r="C1595" s="1"/>
      <c r="D1595" s="1"/>
      <c r="E1595" s="1"/>
      <c r="F1595" s="1"/>
      <c r="G1595" s="1"/>
      <c r="H1595" s="1" t="str">
        <f>"7800063120201"</f>
        <v>7800063120201</v>
      </c>
      <c r="I1595" s="3">
        <v>0</v>
      </c>
      <c r="J1595" s="3">
        <v>0</v>
      </c>
      <c r="K1595" s="3">
        <v>1500</v>
      </c>
    </row>
    <row r="1596" spans="1:11" x14ac:dyDescent="0.2">
      <c r="A1596" s="1" t="s">
        <v>4994</v>
      </c>
      <c r="B1596" s="1" t="s">
        <v>2023</v>
      </c>
      <c r="C1596" s="1"/>
      <c r="D1596" s="1"/>
      <c r="E1596" s="1"/>
      <c r="F1596" s="1"/>
      <c r="G1596" s="1"/>
      <c r="H1596" s="1" t="str">
        <f>"7800007737922"</f>
        <v>7800007737922</v>
      </c>
      <c r="I1596" s="3">
        <v>0</v>
      </c>
      <c r="J1596" s="3">
        <v>0</v>
      </c>
      <c r="K1596" s="3">
        <v>1000</v>
      </c>
    </row>
    <row r="1597" spans="1:11" x14ac:dyDescent="0.2">
      <c r="A1597" s="1" t="s">
        <v>4994</v>
      </c>
      <c r="B1597" s="1" t="s">
        <v>2026</v>
      </c>
      <c r="C1597" s="1"/>
      <c r="D1597" s="1"/>
      <c r="E1597" s="1"/>
      <c r="F1597" s="1"/>
      <c r="G1597" s="1"/>
      <c r="H1597" s="1" t="str">
        <f>"7800070000121"</f>
        <v>7800070000121</v>
      </c>
      <c r="I1597" s="3">
        <v>0</v>
      </c>
      <c r="J1597" s="3">
        <v>0</v>
      </c>
      <c r="K1597" s="3">
        <v>20000</v>
      </c>
    </row>
    <row r="1598" spans="1:11" x14ac:dyDescent="0.2">
      <c r="A1598" s="1" t="s">
        <v>4994</v>
      </c>
      <c r="B1598" s="1" t="s">
        <v>2027</v>
      </c>
      <c r="C1598" s="1"/>
      <c r="D1598" s="1"/>
      <c r="E1598" s="1"/>
      <c r="F1598" s="1"/>
      <c r="G1598" s="1"/>
      <c r="H1598" s="1" t="str">
        <f>"7800068031137"</f>
        <v>7800068031137</v>
      </c>
      <c r="I1598" s="3">
        <v>94</v>
      </c>
      <c r="J1598" s="3">
        <v>0</v>
      </c>
      <c r="K1598" s="3">
        <v>3500</v>
      </c>
    </row>
    <row r="1599" spans="1:11" x14ac:dyDescent="0.2">
      <c r="A1599" s="1" t="s">
        <v>4994</v>
      </c>
      <c r="B1599" s="1" t="s">
        <v>2028</v>
      </c>
      <c r="C1599" s="1"/>
      <c r="D1599" s="1"/>
      <c r="E1599" s="1"/>
      <c r="F1599" s="1"/>
      <c r="G1599" s="1"/>
      <c r="H1599" s="1" t="str">
        <f>"7702560042379"</f>
        <v>7702560042379</v>
      </c>
      <c r="I1599" s="3">
        <v>0</v>
      </c>
      <c r="J1599" s="3">
        <v>0</v>
      </c>
      <c r="K1599" s="3">
        <v>1500</v>
      </c>
    </row>
    <row r="1600" spans="1:11" x14ac:dyDescent="0.2">
      <c r="A1600" s="1" t="s">
        <v>4994</v>
      </c>
      <c r="B1600" s="1" t="s">
        <v>2029</v>
      </c>
      <c r="C1600" s="1"/>
      <c r="D1600" s="1"/>
      <c r="E1600" s="1"/>
      <c r="F1600" s="1"/>
      <c r="G1600" s="1"/>
      <c r="H1600" s="1" t="str">
        <f>"7804656600484"</f>
        <v>7804656600484</v>
      </c>
      <c r="I1600" s="3">
        <v>0</v>
      </c>
      <c r="J1600" s="3">
        <v>0</v>
      </c>
      <c r="K1600" s="3">
        <v>24000</v>
      </c>
    </row>
    <row r="1601" spans="1:11" x14ac:dyDescent="0.2">
      <c r="A1601" s="1" t="s">
        <v>4994</v>
      </c>
      <c r="B1601" s="1" t="s">
        <v>2032</v>
      </c>
      <c r="C1601" s="1"/>
      <c r="D1601" s="1"/>
      <c r="E1601" s="1"/>
      <c r="F1601" s="1"/>
      <c r="G1601" s="1"/>
      <c r="H1601" s="1" t="str">
        <f>"7805357004120"</f>
        <v>7805357004120</v>
      </c>
      <c r="I1601" s="3">
        <v>2</v>
      </c>
      <c r="J1601" s="3">
        <v>0</v>
      </c>
      <c r="K1601" s="3">
        <v>8500</v>
      </c>
    </row>
    <row r="1602" spans="1:11" x14ac:dyDescent="0.2">
      <c r="A1602" s="1" t="s">
        <v>4994</v>
      </c>
      <c r="B1602" s="1" t="s">
        <v>2033</v>
      </c>
      <c r="C1602" s="1"/>
      <c r="D1602" s="1"/>
      <c r="E1602" s="1"/>
      <c r="F1602" s="1"/>
      <c r="G1602" s="1"/>
      <c r="H1602" s="1" t="str">
        <f>"8903726221051"</f>
        <v>8903726221051</v>
      </c>
      <c r="I1602" s="3">
        <v>0</v>
      </c>
      <c r="J1602" s="3">
        <v>0</v>
      </c>
      <c r="K1602" s="3">
        <v>35000</v>
      </c>
    </row>
    <row r="1603" spans="1:11" x14ac:dyDescent="0.2">
      <c r="A1603" s="1" t="s">
        <v>4994</v>
      </c>
      <c r="B1603" s="1" t="s">
        <v>2034</v>
      </c>
      <c r="C1603" s="1"/>
      <c r="D1603" s="1"/>
      <c r="E1603" s="1"/>
      <c r="F1603" s="1"/>
      <c r="G1603" s="1"/>
      <c r="H1603" s="1" t="str">
        <f>"7804629440482"</f>
        <v>7804629440482</v>
      </c>
      <c r="I1603" s="3">
        <v>0</v>
      </c>
      <c r="J1603" s="3">
        <v>0</v>
      </c>
      <c r="K1603" s="3">
        <v>36000</v>
      </c>
    </row>
    <row r="1604" spans="1:11" x14ac:dyDescent="0.2">
      <c r="A1604" s="1" t="s">
        <v>4994</v>
      </c>
      <c r="B1604" s="1" t="s">
        <v>2035</v>
      </c>
      <c r="C1604" s="1"/>
      <c r="D1604" s="1"/>
      <c r="E1604" s="1"/>
      <c r="F1604" s="1"/>
      <c r="G1604" s="1"/>
      <c r="H1604" s="1" t="str">
        <f>"7795373014046"</f>
        <v>7795373014046</v>
      </c>
      <c r="I1604" s="3">
        <v>0</v>
      </c>
      <c r="J1604" s="3">
        <v>0</v>
      </c>
      <c r="K1604" s="3">
        <v>26000</v>
      </c>
    </row>
    <row r="1605" spans="1:11" x14ac:dyDescent="0.2">
      <c r="A1605" s="1" t="s">
        <v>4994</v>
      </c>
      <c r="B1605" s="1" t="s">
        <v>2036</v>
      </c>
      <c r="C1605" s="1"/>
      <c r="D1605" s="1"/>
      <c r="E1605" s="1"/>
      <c r="F1605" s="1"/>
      <c r="G1605" s="1"/>
      <c r="H1605" s="1" t="str">
        <f>"7800029000790"</f>
        <v>7800029000790</v>
      </c>
      <c r="I1605" s="3">
        <v>0</v>
      </c>
      <c r="J1605" s="3">
        <v>0</v>
      </c>
      <c r="K1605" s="3">
        <v>27000</v>
      </c>
    </row>
    <row r="1606" spans="1:11" x14ac:dyDescent="0.2">
      <c r="A1606" s="1" t="s">
        <v>4994</v>
      </c>
      <c r="B1606" s="1" t="s">
        <v>2037</v>
      </c>
      <c r="C1606" s="1"/>
      <c r="D1606" s="1"/>
      <c r="E1606" s="1"/>
      <c r="F1606" s="1"/>
      <c r="G1606" s="1"/>
      <c r="H1606" s="1" t="str">
        <f>"7795373012493"</f>
        <v>7795373012493</v>
      </c>
      <c r="I1606" s="3">
        <v>0</v>
      </c>
      <c r="J1606" s="3">
        <v>0</v>
      </c>
      <c r="K1606" s="3">
        <v>27000</v>
      </c>
    </row>
    <row r="1607" spans="1:11" x14ac:dyDescent="0.2">
      <c r="A1607" s="1" t="s">
        <v>4994</v>
      </c>
      <c r="B1607" s="1" t="s">
        <v>2038</v>
      </c>
      <c r="C1607" s="1"/>
      <c r="D1607" s="1"/>
      <c r="E1607" s="1"/>
      <c r="F1607" s="1"/>
      <c r="G1607" s="1"/>
      <c r="H1607" s="1" t="str">
        <f>"7800070000138"</f>
        <v>7800070000138</v>
      </c>
      <c r="I1607" s="3">
        <v>0</v>
      </c>
      <c r="J1607" s="3">
        <v>0</v>
      </c>
      <c r="K1607" s="3">
        <v>26000</v>
      </c>
    </row>
    <row r="1608" spans="1:11" x14ac:dyDescent="0.2">
      <c r="A1608" s="1" t="s">
        <v>4994</v>
      </c>
      <c r="B1608" s="1" t="s">
        <v>2039</v>
      </c>
      <c r="C1608" s="1"/>
      <c r="D1608" s="1"/>
      <c r="E1608" s="1"/>
      <c r="F1608" s="1"/>
      <c r="G1608" s="1"/>
      <c r="H1608" s="1" t="str">
        <f>"7800008020030"</f>
        <v>7800008020030</v>
      </c>
      <c r="I1608" s="3">
        <v>43</v>
      </c>
      <c r="J1608" s="3">
        <v>0</v>
      </c>
      <c r="K1608" s="3">
        <v>3000</v>
      </c>
    </row>
    <row r="1609" spans="1:11" x14ac:dyDescent="0.2">
      <c r="A1609" s="1" t="s">
        <v>4994</v>
      </c>
      <c r="B1609" s="1" t="s">
        <v>2040</v>
      </c>
      <c r="C1609" s="1"/>
      <c r="D1609" s="1"/>
      <c r="E1609" s="1"/>
      <c r="F1609" s="1"/>
      <c r="G1609" s="1"/>
      <c r="H1609" s="1" t="str">
        <f>"3258"</f>
        <v>3258</v>
      </c>
      <c r="I1609" s="3">
        <v>0</v>
      </c>
      <c r="J1609" s="3">
        <v>0</v>
      </c>
      <c r="K1609" s="3">
        <v>8500</v>
      </c>
    </row>
    <row r="1610" spans="1:11" x14ac:dyDescent="0.2">
      <c r="A1610" s="1" t="s">
        <v>4994</v>
      </c>
      <c r="B1610" s="1" t="s">
        <v>2041</v>
      </c>
      <c r="C1610" s="1"/>
      <c r="D1610" s="1"/>
      <c r="E1610" s="1"/>
      <c r="F1610" s="1"/>
      <c r="G1610" s="1"/>
      <c r="H1610" s="1" t="str">
        <f>"7800008010529"</f>
        <v>7800008010529</v>
      </c>
      <c r="I1610" s="3">
        <v>0</v>
      </c>
      <c r="J1610" s="3">
        <v>0</v>
      </c>
      <c r="K1610" s="3">
        <v>14000</v>
      </c>
    </row>
    <row r="1611" spans="1:11" x14ac:dyDescent="0.2">
      <c r="A1611" s="1" t="s">
        <v>4994</v>
      </c>
      <c r="B1611" s="1" t="s">
        <v>2042</v>
      </c>
      <c r="C1611" s="1"/>
      <c r="D1611" s="1"/>
      <c r="E1611" s="1"/>
      <c r="F1611" s="1"/>
      <c r="G1611" s="1"/>
      <c r="H1611" s="1" t="str">
        <f>"7800008010505"</f>
        <v>7800008010505</v>
      </c>
      <c r="I1611" s="3">
        <v>0</v>
      </c>
      <c r="J1611" s="3">
        <v>0</v>
      </c>
      <c r="K1611" s="3">
        <v>8500</v>
      </c>
    </row>
    <row r="1612" spans="1:11" x14ac:dyDescent="0.2">
      <c r="A1612" s="1" t="s">
        <v>4994</v>
      </c>
      <c r="B1612" s="1" t="s">
        <v>2043</v>
      </c>
      <c r="C1612" s="1"/>
      <c r="D1612" s="1"/>
      <c r="E1612" s="1"/>
      <c r="F1612" s="1"/>
      <c r="G1612" s="1"/>
      <c r="H1612" s="1" t="str">
        <f>"7800038043207"</f>
        <v>7800038043207</v>
      </c>
      <c r="I1612" s="3">
        <v>24</v>
      </c>
      <c r="J1612" s="3">
        <v>0</v>
      </c>
      <c r="K1612" s="3">
        <v>3500</v>
      </c>
    </row>
    <row r="1613" spans="1:11" x14ac:dyDescent="0.2">
      <c r="A1613" s="1" t="s">
        <v>4994</v>
      </c>
      <c r="B1613" s="1" t="s">
        <v>2044</v>
      </c>
      <c r="C1613" s="1"/>
      <c r="D1613" s="1"/>
      <c r="E1613" s="1"/>
      <c r="F1613" s="1"/>
      <c r="G1613" s="1"/>
      <c r="H1613" s="1" t="str">
        <f>"7800038048165"</f>
        <v>7800038048165</v>
      </c>
      <c r="I1613" s="3">
        <v>4</v>
      </c>
      <c r="J1613" s="3">
        <v>0</v>
      </c>
      <c r="K1613" s="3">
        <v>5000</v>
      </c>
    </row>
    <row r="1614" spans="1:11" x14ac:dyDescent="0.2">
      <c r="A1614" s="1" t="s">
        <v>4994</v>
      </c>
      <c r="B1614" s="1" t="s">
        <v>2048</v>
      </c>
      <c r="C1614" s="1"/>
      <c r="D1614" s="1"/>
      <c r="E1614" s="1"/>
      <c r="F1614" s="1"/>
      <c r="G1614" s="1"/>
      <c r="H1614" s="1" t="str">
        <f>"4902508166614"</f>
        <v>4902508166614</v>
      </c>
      <c r="I1614" s="3">
        <v>0</v>
      </c>
      <c r="J1614" s="3">
        <v>0</v>
      </c>
      <c r="K1614" s="3">
        <v>10000</v>
      </c>
    </row>
    <row r="1615" spans="1:11" x14ac:dyDescent="0.2">
      <c r="A1615" s="1" t="s">
        <v>4994</v>
      </c>
      <c r="B1615" s="1" t="s">
        <v>2049</v>
      </c>
      <c r="C1615" s="1"/>
      <c r="D1615" s="1"/>
      <c r="E1615" s="1"/>
      <c r="F1615" s="1"/>
      <c r="G1615" s="1"/>
      <c r="H1615" s="1" t="str">
        <f>"2010381103823"</f>
        <v>2010381103823</v>
      </c>
      <c r="I1615" s="3">
        <v>0</v>
      </c>
      <c r="J1615" s="3">
        <v>0</v>
      </c>
      <c r="K1615" s="3">
        <v>6500</v>
      </c>
    </row>
    <row r="1616" spans="1:11" x14ac:dyDescent="0.2">
      <c r="A1616" s="1" t="s">
        <v>4994</v>
      </c>
      <c r="B1616" s="1" t="s">
        <v>2050</v>
      </c>
      <c r="C1616" s="1"/>
      <c r="D1616" s="1"/>
      <c r="E1616" s="1"/>
      <c r="F1616" s="1"/>
      <c r="G1616" s="1"/>
      <c r="H1616" s="1" t="str">
        <f>"2010381103830"</f>
        <v>2010381103830</v>
      </c>
      <c r="I1616" s="3">
        <v>0</v>
      </c>
      <c r="J1616" s="3">
        <v>0</v>
      </c>
      <c r="K1616" s="3">
        <v>7000</v>
      </c>
    </row>
    <row r="1617" spans="1:11" x14ac:dyDescent="0.2">
      <c r="A1617" s="1" t="s">
        <v>4994</v>
      </c>
      <c r="B1617" s="1" t="s">
        <v>2051</v>
      </c>
      <c r="C1617" s="1"/>
      <c r="D1617" s="1"/>
      <c r="E1617" s="1"/>
      <c r="F1617" s="1"/>
      <c r="G1617" s="1"/>
      <c r="H1617" s="1" t="str">
        <f>"7800063325422"</f>
        <v>7800063325422</v>
      </c>
      <c r="I1617" s="3">
        <v>22</v>
      </c>
      <c r="J1617" s="3">
        <v>0</v>
      </c>
      <c r="K1617" s="3">
        <v>3500</v>
      </c>
    </row>
    <row r="1618" spans="1:11" x14ac:dyDescent="0.2">
      <c r="A1618" s="1" t="s">
        <v>4994</v>
      </c>
      <c r="B1618" s="1" t="s">
        <v>2053</v>
      </c>
      <c r="C1618" s="1"/>
      <c r="D1618" s="1"/>
      <c r="E1618" s="1"/>
      <c r="F1618" s="1"/>
      <c r="G1618" s="1"/>
      <c r="H1618" s="1" t="str">
        <f>"301320105049"</f>
        <v>301320105049</v>
      </c>
      <c r="I1618" s="3">
        <v>47</v>
      </c>
      <c r="J1618" s="3">
        <v>0</v>
      </c>
      <c r="K1618" s="3">
        <v>2500</v>
      </c>
    </row>
    <row r="1619" spans="1:11" x14ac:dyDescent="0.2">
      <c r="A1619" s="1" t="s">
        <v>4994</v>
      </c>
      <c r="B1619" s="1" t="s">
        <v>2054</v>
      </c>
      <c r="C1619" s="1"/>
      <c r="D1619" s="1"/>
      <c r="E1619" s="1"/>
      <c r="F1619" s="1"/>
      <c r="G1619" s="1"/>
      <c r="H1619" s="1" t="str">
        <f>"7800060120761"</f>
        <v>7800060120761</v>
      </c>
      <c r="I1619" s="3">
        <v>0</v>
      </c>
      <c r="J1619" s="3">
        <v>0</v>
      </c>
      <c r="K1619" s="3">
        <v>19000</v>
      </c>
    </row>
    <row r="1620" spans="1:11" x14ac:dyDescent="0.2">
      <c r="A1620" s="1" t="s">
        <v>4994</v>
      </c>
      <c r="B1620" s="1" t="s">
        <v>2055</v>
      </c>
      <c r="C1620" s="1"/>
      <c r="D1620" s="1"/>
      <c r="E1620" s="1"/>
      <c r="F1620" s="1"/>
      <c r="G1620" s="1"/>
      <c r="H1620" s="1" t="str">
        <f>"8429420192263"</f>
        <v>8429420192263</v>
      </c>
      <c r="I1620" s="3">
        <v>0</v>
      </c>
      <c r="J1620" s="3">
        <v>0</v>
      </c>
      <c r="K1620" s="3">
        <v>19000</v>
      </c>
    </row>
    <row r="1621" spans="1:11" x14ac:dyDescent="0.2">
      <c r="A1621" s="1" t="s">
        <v>4994</v>
      </c>
      <c r="B1621" s="1" t="s">
        <v>2056</v>
      </c>
      <c r="C1621" s="1"/>
      <c r="D1621" s="1"/>
      <c r="E1621" s="1"/>
      <c r="F1621" s="1"/>
      <c r="G1621" s="1"/>
      <c r="H1621" s="1" t="str">
        <f>"8429420187962"</f>
        <v>8429420187962</v>
      </c>
      <c r="I1621" s="3">
        <v>9</v>
      </c>
      <c r="J1621" s="3">
        <v>0</v>
      </c>
      <c r="K1621" s="3">
        <v>16000</v>
      </c>
    </row>
    <row r="1622" spans="1:11" x14ac:dyDescent="0.2">
      <c r="A1622" s="1" t="s">
        <v>4994</v>
      </c>
      <c r="B1622" s="1" t="s">
        <v>2057</v>
      </c>
      <c r="C1622" s="1"/>
      <c r="D1622" s="1"/>
      <c r="E1622" s="1"/>
      <c r="F1622" s="1"/>
      <c r="G1622" s="1"/>
      <c r="H1622" s="1" t="str">
        <f>"65674000"</f>
        <v>65674000</v>
      </c>
      <c r="I1622" s="3">
        <v>0</v>
      </c>
      <c r="J1622" s="3">
        <v>0</v>
      </c>
      <c r="K1622" s="3">
        <v>1000</v>
      </c>
    </row>
    <row r="1623" spans="1:11" x14ac:dyDescent="0.2">
      <c r="A1623" s="1" t="s">
        <v>4994</v>
      </c>
      <c r="B1623" s="1" t="s">
        <v>2058</v>
      </c>
      <c r="C1623" s="1"/>
      <c r="D1623" s="1"/>
      <c r="E1623" s="1"/>
      <c r="F1623" s="1"/>
      <c r="G1623" s="1"/>
      <c r="H1623" s="1" t="str">
        <f>"7707239270022"</f>
        <v>7707239270022</v>
      </c>
      <c r="I1623" s="3">
        <v>4</v>
      </c>
      <c r="J1623" s="3">
        <v>0</v>
      </c>
      <c r="K1623" s="3">
        <v>22000</v>
      </c>
    </row>
    <row r="1624" spans="1:11" x14ac:dyDescent="0.2">
      <c r="A1624" s="1" t="s">
        <v>4994</v>
      </c>
      <c r="B1624" s="1" t="s">
        <v>2059</v>
      </c>
      <c r="C1624" s="1"/>
      <c r="D1624" s="1"/>
      <c r="E1624" s="1"/>
      <c r="F1624" s="1"/>
      <c r="G1624" s="1"/>
      <c r="H1624" s="1" t="str">
        <f>"7707239270060"</f>
        <v>7707239270060</v>
      </c>
      <c r="I1624" s="3">
        <v>0</v>
      </c>
      <c r="J1624" s="3">
        <v>0</v>
      </c>
      <c r="K1624" s="3">
        <v>28000</v>
      </c>
    </row>
    <row r="1625" spans="1:11" x14ac:dyDescent="0.2">
      <c r="A1625" s="1" t="s">
        <v>4994</v>
      </c>
      <c r="B1625" s="1" t="s">
        <v>2060</v>
      </c>
      <c r="C1625" s="1"/>
      <c r="D1625" s="1"/>
      <c r="E1625" s="1"/>
      <c r="F1625" s="1"/>
      <c r="G1625" s="1"/>
      <c r="H1625" s="1" t="str">
        <f>"7800007403636"</f>
        <v>7800007403636</v>
      </c>
      <c r="I1625" s="3">
        <v>3</v>
      </c>
      <c r="J1625" s="3">
        <v>0</v>
      </c>
      <c r="K1625" s="3">
        <v>17000</v>
      </c>
    </row>
    <row r="1626" spans="1:11" x14ac:dyDescent="0.2">
      <c r="A1626" s="1" t="s">
        <v>4994</v>
      </c>
      <c r="B1626" s="1" t="s">
        <v>2061</v>
      </c>
      <c r="C1626" s="1"/>
      <c r="D1626" s="1"/>
      <c r="E1626" s="1"/>
      <c r="F1626" s="1"/>
      <c r="G1626" s="1"/>
      <c r="H1626" s="1" t="str">
        <f>"7800007810465"</f>
        <v>7800007810465</v>
      </c>
      <c r="I1626" s="3">
        <v>38</v>
      </c>
      <c r="J1626" s="3">
        <v>0</v>
      </c>
      <c r="K1626" s="3">
        <v>2500</v>
      </c>
    </row>
    <row r="1627" spans="1:11" x14ac:dyDescent="0.2">
      <c r="A1627" s="1" t="s">
        <v>4994</v>
      </c>
      <c r="B1627" s="1" t="s">
        <v>2062</v>
      </c>
      <c r="C1627" s="1"/>
      <c r="D1627" s="1"/>
      <c r="E1627" s="1"/>
      <c r="F1627" s="1"/>
      <c r="G1627" s="1"/>
      <c r="H1627" s="1" t="str">
        <f>"7800007810458"</f>
        <v>7800007810458</v>
      </c>
      <c r="I1627" s="3">
        <v>0</v>
      </c>
      <c r="J1627" s="3">
        <v>0</v>
      </c>
      <c r="K1627" s="3">
        <v>2500</v>
      </c>
    </row>
    <row r="1628" spans="1:11" x14ac:dyDescent="0.2">
      <c r="A1628" s="1" t="s">
        <v>4994</v>
      </c>
      <c r="B1628" s="1" t="s">
        <v>2063</v>
      </c>
      <c r="C1628" s="1"/>
      <c r="D1628" s="1"/>
      <c r="E1628" s="1"/>
      <c r="F1628" s="1"/>
      <c r="G1628" s="1"/>
      <c r="H1628" s="1" t="str">
        <f>"7809599502352"</f>
        <v>7809599502352</v>
      </c>
      <c r="I1628" s="3">
        <v>8</v>
      </c>
      <c r="J1628" s="3">
        <v>0</v>
      </c>
      <c r="K1628" s="3">
        <v>9500</v>
      </c>
    </row>
    <row r="1629" spans="1:11" x14ac:dyDescent="0.2">
      <c r="A1629" s="1" t="s">
        <v>4994</v>
      </c>
      <c r="B1629" s="1" t="s">
        <v>2069</v>
      </c>
      <c r="C1629" s="1"/>
      <c r="D1629" s="1"/>
      <c r="E1629" s="1"/>
      <c r="F1629" s="1"/>
      <c r="G1629" s="1"/>
      <c r="H1629" s="1" t="str">
        <f>"7506078955042"</f>
        <v>7506078955042</v>
      </c>
      <c r="I1629" s="3">
        <v>0</v>
      </c>
      <c r="J1629" s="3">
        <v>0</v>
      </c>
      <c r="K1629" s="3">
        <v>6500</v>
      </c>
    </row>
    <row r="1630" spans="1:11" x14ac:dyDescent="0.2">
      <c r="A1630" s="1" t="s">
        <v>4994</v>
      </c>
      <c r="B1630" s="1" t="s">
        <v>2070</v>
      </c>
      <c r="C1630" s="1"/>
      <c r="D1630" s="1"/>
      <c r="E1630" s="1"/>
      <c r="F1630" s="1"/>
      <c r="G1630" s="1"/>
      <c r="H1630" s="1" t="str">
        <f>"7506078955028"</f>
        <v>7506078955028</v>
      </c>
      <c r="I1630" s="3">
        <v>2</v>
      </c>
      <c r="J1630" s="3">
        <v>0</v>
      </c>
      <c r="K1630" s="3">
        <v>5000</v>
      </c>
    </row>
    <row r="1631" spans="1:11" x14ac:dyDescent="0.2">
      <c r="A1631" s="1" t="s">
        <v>4994</v>
      </c>
      <c r="B1631" s="1" t="s">
        <v>2071</v>
      </c>
      <c r="C1631" s="1"/>
      <c r="D1631" s="1"/>
      <c r="E1631" s="1"/>
      <c r="F1631" s="1"/>
      <c r="G1631" s="1"/>
      <c r="H1631" s="1" t="str">
        <f>"5702191029673"</f>
        <v>5702191029673</v>
      </c>
      <c r="I1631" s="3">
        <v>0</v>
      </c>
      <c r="J1631" s="3">
        <v>0</v>
      </c>
      <c r="K1631" s="3">
        <v>34000</v>
      </c>
    </row>
    <row r="1632" spans="1:11" x14ac:dyDescent="0.2">
      <c r="A1632" s="1" t="s">
        <v>4994</v>
      </c>
      <c r="B1632" s="1" t="s">
        <v>2072</v>
      </c>
      <c r="C1632" s="1"/>
      <c r="D1632" s="1"/>
      <c r="E1632" s="1"/>
      <c r="F1632" s="1"/>
      <c r="G1632" s="1"/>
      <c r="H1632" s="1" t="str">
        <f>"5702191029574"</f>
        <v>5702191029574</v>
      </c>
      <c r="I1632" s="3">
        <v>0</v>
      </c>
      <c r="J1632" s="3">
        <v>0</v>
      </c>
      <c r="K1632" s="3">
        <v>32000</v>
      </c>
    </row>
    <row r="1633" spans="1:11" x14ac:dyDescent="0.2">
      <c r="A1633" s="1" t="s">
        <v>4994</v>
      </c>
      <c r="B1633" s="1" t="s">
        <v>2073</v>
      </c>
      <c r="C1633" s="1"/>
      <c r="D1633" s="1"/>
      <c r="E1633" s="1"/>
      <c r="F1633" s="1"/>
      <c r="G1633" s="1"/>
      <c r="H1633" s="1" t="str">
        <f>"7803504001695"</f>
        <v>7803504001695</v>
      </c>
      <c r="I1633" s="3">
        <v>0</v>
      </c>
      <c r="J1633" s="3">
        <v>0</v>
      </c>
      <c r="K1633" s="3">
        <v>3500</v>
      </c>
    </row>
    <row r="1634" spans="1:11" x14ac:dyDescent="0.2">
      <c r="A1634" s="1" t="s">
        <v>4994</v>
      </c>
      <c r="B1634" s="1" t="s">
        <v>2074</v>
      </c>
      <c r="C1634" s="1"/>
      <c r="D1634" s="1"/>
      <c r="E1634" s="1"/>
      <c r="F1634" s="1"/>
      <c r="G1634" s="1"/>
      <c r="H1634" s="1" t="str">
        <f>"7800068010477"</f>
        <v>7800068010477</v>
      </c>
      <c r="I1634" s="3">
        <v>0</v>
      </c>
      <c r="J1634" s="3">
        <v>0</v>
      </c>
      <c r="K1634" s="3">
        <v>5000</v>
      </c>
    </row>
    <row r="1635" spans="1:11" x14ac:dyDescent="0.2">
      <c r="A1635" s="1" t="s">
        <v>4994</v>
      </c>
      <c r="B1635" s="1" t="s">
        <v>2076</v>
      </c>
      <c r="C1635" s="1"/>
      <c r="D1635" s="1"/>
      <c r="E1635" s="1"/>
      <c r="F1635" s="1"/>
      <c r="G1635" s="1"/>
      <c r="H1635" s="1" t="str">
        <f>"7795373013773"</f>
        <v>7795373013773</v>
      </c>
      <c r="I1635" s="3">
        <v>0</v>
      </c>
      <c r="J1635" s="3">
        <v>0</v>
      </c>
      <c r="K1635" s="3">
        <v>15000</v>
      </c>
    </row>
    <row r="1636" spans="1:11" x14ac:dyDescent="0.2">
      <c r="A1636" s="1" t="s">
        <v>4994</v>
      </c>
      <c r="B1636" s="1" t="s">
        <v>2077</v>
      </c>
      <c r="C1636" s="1"/>
      <c r="D1636" s="1"/>
      <c r="E1636" s="1"/>
      <c r="F1636" s="1"/>
      <c r="G1636" s="1"/>
      <c r="H1636" s="1" t="str">
        <f>"7795373013780"</f>
        <v>7795373013780</v>
      </c>
      <c r="I1636" s="3">
        <v>0</v>
      </c>
      <c r="J1636" s="3">
        <v>0</v>
      </c>
      <c r="K1636" s="3">
        <v>22000</v>
      </c>
    </row>
    <row r="1637" spans="1:11" x14ac:dyDescent="0.2">
      <c r="A1637" s="1" t="s">
        <v>4994</v>
      </c>
      <c r="B1637" s="1" t="s">
        <v>2082</v>
      </c>
      <c r="C1637" s="1"/>
      <c r="D1637" s="1"/>
      <c r="E1637" s="1"/>
      <c r="F1637" s="1"/>
      <c r="G1637" s="1"/>
      <c r="H1637" s="1" t="str">
        <f>"7800032003467"</f>
        <v>7800032003467</v>
      </c>
      <c r="I1637" s="3">
        <v>1</v>
      </c>
      <c r="J1637" s="3">
        <v>0</v>
      </c>
      <c r="K1637" s="3">
        <v>65000</v>
      </c>
    </row>
    <row r="1638" spans="1:11" x14ac:dyDescent="0.2">
      <c r="A1638" s="1" t="s">
        <v>4994</v>
      </c>
      <c r="B1638" s="1" t="s">
        <v>2087</v>
      </c>
      <c r="C1638" s="1"/>
      <c r="D1638" s="1"/>
      <c r="E1638" s="1"/>
      <c r="F1638" s="1"/>
      <c r="G1638" s="1"/>
      <c r="H1638" s="1" t="str">
        <f>"75613074594816"</f>
        <v>75613074594816</v>
      </c>
      <c r="I1638" s="3">
        <v>0</v>
      </c>
      <c r="J1638" s="3">
        <v>0</v>
      </c>
      <c r="K1638" s="3">
        <v>7500</v>
      </c>
    </row>
    <row r="1639" spans="1:11" x14ac:dyDescent="0.2">
      <c r="A1639" s="1" t="s">
        <v>4994</v>
      </c>
      <c r="B1639" s="1" t="s">
        <v>2088</v>
      </c>
      <c r="C1639" s="1"/>
      <c r="D1639" s="1"/>
      <c r="E1639" s="1"/>
      <c r="F1639" s="1"/>
      <c r="G1639" s="1"/>
      <c r="H1639" s="1" t="str">
        <f>"7899026462564"</f>
        <v>7899026462564</v>
      </c>
      <c r="I1639" s="3">
        <v>0</v>
      </c>
      <c r="J1639" s="3">
        <v>0</v>
      </c>
      <c r="K1639" s="3">
        <v>2000</v>
      </c>
    </row>
    <row r="1640" spans="1:11" x14ac:dyDescent="0.2">
      <c r="A1640" s="1" t="s">
        <v>4994</v>
      </c>
      <c r="B1640" s="1" t="s">
        <v>2089</v>
      </c>
      <c r="C1640" s="1"/>
      <c r="D1640" s="1"/>
      <c r="E1640" s="1"/>
      <c r="F1640" s="1"/>
      <c r="G1640" s="1"/>
      <c r="H1640" s="1" t="str">
        <f>"7899026462588"</f>
        <v>7899026462588</v>
      </c>
      <c r="I1640" s="3">
        <v>0</v>
      </c>
      <c r="J1640" s="3">
        <v>0</v>
      </c>
      <c r="K1640" s="3">
        <v>2000</v>
      </c>
    </row>
    <row r="1641" spans="1:11" x14ac:dyDescent="0.2">
      <c r="A1641" s="1" t="s">
        <v>4994</v>
      </c>
      <c r="B1641" s="1" t="s">
        <v>2090</v>
      </c>
      <c r="C1641" s="1"/>
      <c r="D1641" s="1"/>
      <c r="E1641" s="1"/>
      <c r="F1641" s="1"/>
      <c r="G1641" s="1"/>
      <c r="H1641" s="1" t="str">
        <f>"7899026462595"</f>
        <v>7899026462595</v>
      </c>
      <c r="I1641" s="3">
        <v>0</v>
      </c>
      <c r="J1641" s="3">
        <v>0</v>
      </c>
      <c r="K1641" s="3">
        <v>2000</v>
      </c>
    </row>
    <row r="1642" spans="1:11" x14ac:dyDescent="0.2">
      <c r="A1642" s="1" t="s">
        <v>4994</v>
      </c>
      <c r="B1642" s="1" t="s">
        <v>2091</v>
      </c>
      <c r="C1642" s="1"/>
      <c r="D1642" s="1"/>
      <c r="E1642" s="1"/>
      <c r="F1642" s="1"/>
      <c r="G1642" s="1"/>
      <c r="H1642" s="1" t="str">
        <f>"7898587770651"</f>
        <v>7898587770651</v>
      </c>
      <c r="I1642" s="3">
        <v>0</v>
      </c>
      <c r="J1642" s="3">
        <v>0</v>
      </c>
      <c r="K1642" s="3">
        <v>2000</v>
      </c>
    </row>
    <row r="1643" spans="1:11" x14ac:dyDescent="0.2">
      <c r="A1643" s="1" t="s">
        <v>4994</v>
      </c>
      <c r="B1643" s="1" t="s">
        <v>2092</v>
      </c>
      <c r="C1643" s="1"/>
      <c r="D1643" s="1"/>
      <c r="E1643" s="1"/>
      <c r="F1643" s="1"/>
      <c r="G1643" s="1"/>
      <c r="H1643" s="1" t="str">
        <f>"7898587775922"</f>
        <v>7898587775922</v>
      </c>
      <c r="I1643" s="3">
        <v>0</v>
      </c>
      <c r="J1643" s="3">
        <v>0</v>
      </c>
      <c r="K1643" s="3">
        <v>2000</v>
      </c>
    </row>
    <row r="1644" spans="1:11" x14ac:dyDescent="0.2">
      <c r="A1644" s="1" t="s">
        <v>4994</v>
      </c>
      <c r="B1644" s="1" t="s">
        <v>2093</v>
      </c>
      <c r="C1644" s="1"/>
      <c r="D1644" s="1"/>
      <c r="E1644" s="1"/>
      <c r="F1644" s="1"/>
      <c r="G1644" s="1"/>
      <c r="H1644" s="1" t="str">
        <f>"7509552828870"</f>
        <v>7509552828870</v>
      </c>
      <c r="I1644" s="3">
        <v>0</v>
      </c>
      <c r="J1644" s="3">
        <v>0</v>
      </c>
      <c r="K1644" s="3">
        <v>2000</v>
      </c>
    </row>
    <row r="1645" spans="1:11" x14ac:dyDescent="0.2">
      <c r="A1645" s="1" t="s">
        <v>4994</v>
      </c>
      <c r="B1645" s="1" t="s">
        <v>2094</v>
      </c>
      <c r="C1645" s="1"/>
      <c r="D1645" s="1"/>
      <c r="E1645" s="1"/>
      <c r="F1645" s="1"/>
      <c r="G1645" s="1"/>
      <c r="H1645" s="1" t="str">
        <f>"7899026462649"</f>
        <v>7899026462649</v>
      </c>
      <c r="I1645" s="3">
        <v>0</v>
      </c>
      <c r="J1645" s="3">
        <v>0</v>
      </c>
      <c r="K1645" s="3">
        <v>2000</v>
      </c>
    </row>
    <row r="1646" spans="1:11" x14ac:dyDescent="0.2">
      <c r="A1646" s="1" t="s">
        <v>4994</v>
      </c>
      <c r="B1646" s="1" t="s">
        <v>2095</v>
      </c>
      <c r="C1646" s="1"/>
      <c r="D1646" s="1"/>
      <c r="E1646" s="1"/>
      <c r="F1646" s="1"/>
      <c r="G1646" s="1"/>
      <c r="H1646" s="1" t="str">
        <f>"7899026462670"</f>
        <v>7899026462670</v>
      </c>
      <c r="I1646" s="3">
        <v>0</v>
      </c>
      <c r="J1646" s="3">
        <v>0</v>
      </c>
      <c r="K1646" s="3">
        <v>2000</v>
      </c>
    </row>
    <row r="1647" spans="1:11" x14ac:dyDescent="0.2">
      <c r="A1647" s="1" t="s">
        <v>4994</v>
      </c>
      <c r="B1647" s="1" t="s">
        <v>2096</v>
      </c>
      <c r="C1647" s="1"/>
      <c r="D1647" s="1"/>
      <c r="E1647" s="1"/>
      <c r="F1647" s="1"/>
      <c r="G1647" s="1"/>
      <c r="H1647" s="1" t="str">
        <f>"7898587770705"</f>
        <v>7898587770705</v>
      </c>
      <c r="I1647" s="3">
        <v>0</v>
      </c>
      <c r="J1647" s="3">
        <v>0</v>
      </c>
      <c r="K1647" s="3">
        <v>2000</v>
      </c>
    </row>
    <row r="1648" spans="1:11" x14ac:dyDescent="0.2">
      <c r="A1648" s="1" t="s">
        <v>4994</v>
      </c>
      <c r="B1648" s="1" t="s">
        <v>2097</v>
      </c>
      <c r="C1648" s="1"/>
      <c r="D1648" s="1"/>
      <c r="E1648" s="1"/>
      <c r="F1648" s="1"/>
      <c r="G1648" s="1"/>
      <c r="H1648" s="1" t="str">
        <f>"3600541744523"</f>
        <v>3600541744523</v>
      </c>
      <c r="I1648" s="3">
        <v>0</v>
      </c>
      <c r="J1648" s="3">
        <v>0</v>
      </c>
      <c r="K1648" s="3">
        <v>5500</v>
      </c>
    </row>
    <row r="1649" spans="1:11" x14ac:dyDescent="0.2">
      <c r="A1649" s="1" t="s">
        <v>4994</v>
      </c>
      <c r="B1649" s="1" t="s">
        <v>2098</v>
      </c>
      <c r="C1649" s="1"/>
      <c r="D1649" s="1"/>
      <c r="E1649" s="1"/>
      <c r="F1649" s="1"/>
      <c r="G1649" s="1"/>
      <c r="H1649" s="1" t="str">
        <f>"3600542081160"</f>
        <v>3600542081160</v>
      </c>
      <c r="I1649" s="3">
        <v>0</v>
      </c>
      <c r="J1649" s="3">
        <v>0</v>
      </c>
      <c r="K1649" s="3">
        <v>3000</v>
      </c>
    </row>
    <row r="1650" spans="1:11" x14ac:dyDescent="0.2">
      <c r="A1650" s="1" t="s">
        <v>4994</v>
      </c>
      <c r="B1650" s="1" t="s">
        <v>2099</v>
      </c>
      <c r="C1650" s="1"/>
      <c r="D1650" s="1"/>
      <c r="E1650" s="1"/>
      <c r="F1650" s="1"/>
      <c r="G1650" s="1"/>
      <c r="H1650" s="1" t="str">
        <f>"7509552830620"</f>
        <v>7509552830620</v>
      </c>
      <c r="I1650" s="3">
        <v>0</v>
      </c>
      <c r="J1650" s="3">
        <v>0</v>
      </c>
      <c r="K1650" s="3">
        <v>3000</v>
      </c>
    </row>
    <row r="1651" spans="1:11" x14ac:dyDescent="0.2">
      <c r="A1651" s="1" t="s">
        <v>4994</v>
      </c>
      <c r="B1651" s="1" t="s">
        <v>2100</v>
      </c>
      <c r="C1651" s="1"/>
      <c r="D1651" s="1"/>
      <c r="E1651" s="1"/>
      <c r="F1651" s="1"/>
      <c r="G1651" s="1"/>
      <c r="H1651" s="1" t="str">
        <f>"7509552816273"</f>
        <v>7509552816273</v>
      </c>
      <c r="I1651" s="3">
        <v>0</v>
      </c>
      <c r="J1651" s="3">
        <v>0</v>
      </c>
      <c r="K1651" s="3">
        <v>3000</v>
      </c>
    </row>
    <row r="1652" spans="1:11" x14ac:dyDescent="0.2">
      <c r="A1652" s="1" t="s">
        <v>4994</v>
      </c>
      <c r="B1652" s="1" t="s">
        <v>2101</v>
      </c>
      <c r="C1652" s="1"/>
      <c r="D1652" s="1"/>
      <c r="E1652" s="1"/>
      <c r="F1652" s="1"/>
      <c r="G1652" s="1"/>
      <c r="H1652" s="1" t="str">
        <f>"7509552798456"</f>
        <v>7509552798456</v>
      </c>
      <c r="I1652" s="3">
        <v>0</v>
      </c>
      <c r="J1652" s="3">
        <v>0</v>
      </c>
      <c r="K1652" s="3">
        <v>3000</v>
      </c>
    </row>
    <row r="1653" spans="1:11" x14ac:dyDescent="0.2">
      <c r="A1653" s="1" t="s">
        <v>4994</v>
      </c>
      <c r="B1653" s="1" t="s">
        <v>2102</v>
      </c>
      <c r="C1653" s="1"/>
      <c r="D1653" s="1"/>
      <c r="E1653" s="1"/>
      <c r="F1653" s="1"/>
      <c r="G1653" s="1"/>
      <c r="H1653" s="1" t="str">
        <f>"7509552914030"</f>
        <v>7509552914030</v>
      </c>
      <c r="I1653" s="3">
        <v>0</v>
      </c>
      <c r="J1653" s="3">
        <v>0</v>
      </c>
      <c r="K1653" s="3">
        <v>3000</v>
      </c>
    </row>
    <row r="1654" spans="1:11" x14ac:dyDescent="0.2">
      <c r="A1654" s="1" t="s">
        <v>4994</v>
      </c>
      <c r="B1654" s="1" t="s">
        <v>2103</v>
      </c>
      <c r="C1654" s="1"/>
      <c r="D1654" s="1"/>
      <c r="E1654" s="1"/>
      <c r="F1654" s="1"/>
      <c r="G1654" s="1"/>
      <c r="H1654" s="1" t="str">
        <f>"7509552876291"</f>
        <v>7509552876291</v>
      </c>
      <c r="I1654" s="3">
        <v>0</v>
      </c>
      <c r="J1654" s="3">
        <v>0</v>
      </c>
      <c r="K1654" s="3">
        <v>3000</v>
      </c>
    </row>
    <row r="1655" spans="1:11" x14ac:dyDescent="0.2">
      <c r="A1655" s="1" t="s">
        <v>4994</v>
      </c>
      <c r="B1655" s="1" t="s">
        <v>2104</v>
      </c>
      <c r="C1655" s="1"/>
      <c r="D1655" s="1"/>
      <c r="E1655" s="1"/>
      <c r="F1655" s="1"/>
      <c r="G1655" s="1"/>
      <c r="H1655" s="1" t="str">
        <f>"7509552216301"</f>
        <v>7509552216301</v>
      </c>
      <c r="I1655" s="3">
        <v>0</v>
      </c>
      <c r="J1655" s="3">
        <v>0</v>
      </c>
      <c r="K1655" s="3">
        <v>3000</v>
      </c>
    </row>
    <row r="1656" spans="1:11" x14ac:dyDescent="0.2">
      <c r="A1656" s="1" t="s">
        <v>4994</v>
      </c>
      <c r="B1656" s="1" t="s">
        <v>2105</v>
      </c>
      <c r="C1656" s="1"/>
      <c r="D1656" s="1"/>
      <c r="E1656" s="1"/>
      <c r="F1656" s="1"/>
      <c r="G1656" s="1"/>
      <c r="H1656" s="1" t="str">
        <f>"7509552876284"</f>
        <v>7509552876284</v>
      </c>
      <c r="I1656" s="3">
        <v>0</v>
      </c>
      <c r="J1656" s="3">
        <v>0</v>
      </c>
      <c r="K1656" s="3">
        <v>3000</v>
      </c>
    </row>
    <row r="1657" spans="1:11" x14ac:dyDescent="0.2">
      <c r="A1657" s="1" t="s">
        <v>4994</v>
      </c>
      <c r="B1657" s="1" t="s">
        <v>2106</v>
      </c>
      <c r="C1657" s="1"/>
      <c r="D1657" s="1"/>
      <c r="E1657" s="1"/>
      <c r="F1657" s="1"/>
      <c r="G1657" s="1"/>
      <c r="H1657" s="1" t="str">
        <f>"7509552876338"</f>
        <v>7509552876338</v>
      </c>
      <c r="I1657" s="3">
        <v>0</v>
      </c>
      <c r="J1657" s="3">
        <v>0</v>
      </c>
      <c r="K1657" s="3">
        <v>3000</v>
      </c>
    </row>
    <row r="1658" spans="1:11" x14ac:dyDescent="0.2">
      <c r="A1658" s="1" t="s">
        <v>4994</v>
      </c>
      <c r="B1658" s="1" t="s">
        <v>2107</v>
      </c>
      <c r="C1658" s="1"/>
      <c r="D1658" s="1"/>
      <c r="E1658" s="1"/>
      <c r="F1658" s="1"/>
      <c r="G1658" s="1"/>
      <c r="H1658" s="1" t="str">
        <f>"3600542565943"</f>
        <v>3600542565943</v>
      </c>
      <c r="I1658" s="3">
        <v>0</v>
      </c>
      <c r="J1658" s="3">
        <v>0</v>
      </c>
      <c r="K1658" s="3">
        <v>11000</v>
      </c>
    </row>
    <row r="1659" spans="1:11" x14ac:dyDescent="0.2">
      <c r="A1659" s="1" t="s">
        <v>4994</v>
      </c>
      <c r="B1659" s="1" t="s">
        <v>2108</v>
      </c>
      <c r="C1659" s="1"/>
      <c r="D1659" s="1"/>
      <c r="E1659" s="1"/>
      <c r="F1659" s="1"/>
      <c r="G1659" s="1"/>
      <c r="H1659" s="1" t="str">
        <f>"7899706194273"</f>
        <v>7899706194273</v>
      </c>
      <c r="I1659" s="3">
        <v>4</v>
      </c>
      <c r="J1659" s="3">
        <v>0</v>
      </c>
      <c r="K1659" s="3">
        <v>7500</v>
      </c>
    </row>
    <row r="1660" spans="1:11" x14ac:dyDescent="0.2">
      <c r="A1660" s="1" t="s">
        <v>4994</v>
      </c>
      <c r="B1660" s="1" t="s">
        <v>2109</v>
      </c>
      <c r="C1660" s="1"/>
      <c r="D1660" s="1"/>
      <c r="E1660" s="1"/>
      <c r="F1660" s="1"/>
      <c r="G1660" s="1"/>
      <c r="H1660" s="1" t="str">
        <f>"7899706187732"</f>
        <v>7899706187732</v>
      </c>
      <c r="I1660" s="3">
        <v>0</v>
      </c>
      <c r="J1660" s="3">
        <v>0</v>
      </c>
      <c r="K1660" s="3">
        <v>3000</v>
      </c>
    </row>
    <row r="1661" spans="1:11" x14ac:dyDescent="0.2">
      <c r="A1661" s="1" t="s">
        <v>4994</v>
      </c>
      <c r="B1661" s="1" t="s">
        <v>2110</v>
      </c>
      <c r="C1661" s="1"/>
      <c r="D1661" s="1"/>
      <c r="E1661" s="1"/>
      <c r="F1661" s="1"/>
      <c r="G1661" s="1"/>
      <c r="H1661" s="1" t="str">
        <f>"7509552849493"</f>
        <v>7509552849493</v>
      </c>
      <c r="I1661" s="3">
        <v>0</v>
      </c>
      <c r="J1661" s="3">
        <v>0</v>
      </c>
      <c r="K1661" s="3">
        <v>9000</v>
      </c>
    </row>
    <row r="1662" spans="1:11" x14ac:dyDescent="0.2">
      <c r="A1662" s="1" t="s">
        <v>4994</v>
      </c>
      <c r="B1662" s="1" t="s">
        <v>2111</v>
      </c>
      <c r="C1662" s="1"/>
      <c r="D1662" s="1"/>
      <c r="E1662" s="1"/>
      <c r="F1662" s="1"/>
      <c r="G1662" s="1"/>
      <c r="H1662" s="1" t="str">
        <f>"7806130010284"</f>
        <v>7806130010284</v>
      </c>
      <c r="I1662" s="3">
        <v>0</v>
      </c>
      <c r="J1662" s="3">
        <v>0</v>
      </c>
      <c r="K1662" s="3">
        <v>100</v>
      </c>
    </row>
    <row r="1663" spans="1:11" x14ac:dyDescent="0.2">
      <c r="A1663" s="1" t="s">
        <v>4994</v>
      </c>
      <c r="B1663" s="1" t="s">
        <v>2112</v>
      </c>
      <c r="C1663" s="1"/>
      <c r="D1663" s="1"/>
      <c r="E1663" s="1"/>
      <c r="F1663" s="1"/>
      <c r="G1663" s="1"/>
      <c r="H1663" s="1" t="str">
        <f>"FVGNT75X1"</f>
        <v>FVGNT75X1</v>
      </c>
      <c r="I1663" s="3">
        <v>0</v>
      </c>
      <c r="J1663" s="3">
        <v>0</v>
      </c>
      <c r="K1663" s="3">
        <v>150</v>
      </c>
    </row>
    <row r="1664" spans="1:11" x14ac:dyDescent="0.2">
      <c r="A1664" s="1" t="s">
        <v>4994</v>
      </c>
      <c r="B1664" s="1" t="s">
        <v>2113</v>
      </c>
      <c r="C1664" s="1"/>
      <c r="D1664" s="1"/>
      <c r="E1664" s="1"/>
      <c r="F1664" s="1"/>
      <c r="G1664" s="1"/>
      <c r="H1664" s="1" t="str">
        <f>"75613042662263"</f>
        <v>75613042662263</v>
      </c>
      <c r="I1664" s="3">
        <v>0</v>
      </c>
      <c r="J1664" s="3">
        <v>0</v>
      </c>
      <c r="K1664" s="3">
        <v>700</v>
      </c>
    </row>
    <row r="1665" spans="1:11" x14ac:dyDescent="0.2">
      <c r="A1665" s="1" t="s">
        <v>4994</v>
      </c>
      <c r="B1665" s="1" t="s">
        <v>2114</v>
      </c>
      <c r="C1665" s="1"/>
      <c r="D1665" s="1"/>
      <c r="E1665" s="1"/>
      <c r="F1665" s="1"/>
      <c r="G1665" s="1"/>
      <c r="H1665" s="1" t="str">
        <f>"44E1AZMANFT1BG"</f>
        <v>44E1AZMANFT1BG</v>
      </c>
      <c r="I1665" s="3">
        <v>0</v>
      </c>
      <c r="J1665" s="3">
        <v>0</v>
      </c>
      <c r="K1665" s="3">
        <v>3500</v>
      </c>
    </row>
    <row r="1666" spans="1:11" x14ac:dyDescent="0.2">
      <c r="A1666" s="1" t="s">
        <v>4994</v>
      </c>
      <c r="B1666" s="1" t="s">
        <v>2115</v>
      </c>
      <c r="C1666" s="1"/>
      <c r="D1666" s="1"/>
      <c r="E1666" s="1"/>
      <c r="F1666" s="1"/>
      <c r="G1666" s="1"/>
      <c r="H1666" s="1" t="str">
        <f>"7805633003724"</f>
        <v>7805633003724</v>
      </c>
      <c r="I1666" s="3">
        <v>0</v>
      </c>
      <c r="J1666" s="3">
        <v>0</v>
      </c>
      <c r="K1666" s="3">
        <v>500</v>
      </c>
    </row>
    <row r="1667" spans="1:11" x14ac:dyDescent="0.2">
      <c r="A1667" s="1" t="s">
        <v>4994</v>
      </c>
      <c r="B1667" s="1" t="s">
        <v>2116</v>
      </c>
      <c r="C1667" s="1"/>
      <c r="D1667" s="1"/>
      <c r="E1667" s="1"/>
      <c r="F1667" s="1"/>
      <c r="G1667" s="1"/>
      <c r="H1667" s="1" t="str">
        <f>"76022743567554"</f>
        <v>76022743567554</v>
      </c>
      <c r="I1667" s="3">
        <v>1</v>
      </c>
      <c r="J1667" s="3">
        <v>0</v>
      </c>
      <c r="K1667" s="3">
        <v>24000</v>
      </c>
    </row>
    <row r="1668" spans="1:11" x14ac:dyDescent="0.2">
      <c r="A1668" s="1" t="s">
        <v>4994</v>
      </c>
      <c r="B1668" s="1" t="s">
        <v>2117</v>
      </c>
      <c r="C1668" s="1"/>
      <c r="D1668" s="1"/>
      <c r="E1668" s="1"/>
      <c r="F1668" s="1"/>
      <c r="G1668" s="1"/>
      <c r="H1668" s="1" t="str">
        <f>"76022752652984"</f>
        <v>76022752652984</v>
      </c>
      <c r="I1668" s="3">
        <v>2</v>
      </c>
      <c r="J1668" s="3">
        <v>0</v>
      </c>
      <c r="K1668" s="3">
        <v>9000</v>
      </c>
    </row>
    <row r="1669" spans="1:11" x14ac:dyDescent="0.2">
      <c r="A1669" s="1" t="s">
        <v>4994</v>
      </c>
      <c r="B1669" s="1" t="s">
        <v>2118</v>
      </c>
      <c r="C1669" s="1"/>
      <c r="D1669" s="1"/>
      <c r="E1669" s="1"/>
      <c r="F1669" s="1"/>
      <c r="G1669" s="1"/>
      <c r="H1669" s="1" t="str">
        <f>"7806130200173"</f>
        <v>7806130200173</v>
      </c>
      <c r="I1669" s="3">
        <v>28</v>
      </c>
      <c r="J1669" s="3">
        <v>0</v>
      </c>
      <c r="K1669" s="3">
        <v>700</v>
      </c>
    </row>
    <row r="1670" spans="1:11" x14ac:dyDescent="0.2">
      <c r="A1670" s="1" t="s">
        <v>4994</v>
      </c>
      <c r="B1670" s="1" t="s">
        <v>2119</v>
      </c>
      <c r="C1670" s="1"/>
      <c r="D1670" s="1"/>
      <c r="E1670" s="1"/>
      <c r="F1670" s="1"/>
      <c r="G1670" s="1"/>
      <c r="H1670" s="1" t="str">
        <f>"7805145105060"</f>
        <v>7805145105060</v>
      </c>
      <c r="I1670" s="3">
        <v>0</v>
      </c>
      <c r="J1670" s="3">
        <v>0</v>
      </c>
      <c r="K1670" s="3">
        <v>500</v>
      </c>
    </row>
    <row r="1671" spans="1:11" x14ac:dyDescent="0.2">
      <c r="A1671" s="1" t="s">
        <v>4994</v>
      </c>
      <c r="B1671" s="1" t="s">
        <v>2120</v>
      </c>
      <c r="C1671" s="1"/>
      <c r="D1671" s="1"/>
      <c r="E1671" s="1"/>
      <c r="F1671" s="1"/>
      <c r="G1671" s="1"/>
      <c r="H1671" s="1" t="str">
        <f>"7806130012226"</f>
        <v>7806130012226</v>
      </c>
      <c r="I1671" s="3">
        <v>0</v>
      </c>
      <c r="J1671" s="3">
        <v>0</v>
      </c>
      <c r="K1671" s="3">
        <v>150</v>
      </c>
    </row>
    <row r="1672" spans="1:11" x14ac:dyDescent="0.2">
      <c r="A1672" s="1" t="s">
        <v>4994</v>
      </c>
      <c r="B1672" s="1" t="s">
        <v>2121</v>
      </c>
      <c r="C1672" s="1"/>
      <c r="D1672" s="1"/>
      <c r="E1672" s="1"/>
      <c r="F1672" s="1"/>
      <c r="G1672" s="1"/>
      <c r="H1672" s="1" t="str">
        <f>"7806130013933"</f>
        <v>7806130013933</v>
      </c>
      <c r="I1672" s="3">
        <v>3</v>
      </c>
      <c r="J1672" s="3">
        <v>0</v>
      </c>
      <c r="K1672" s="3">
        <v>4000</v>
      </c>
    </row>
    <row r="1673" spans="1:11" x14ac:dyDescent="0.2">
      <c r="A1673" s="1" t="s">
        <v>4994</v>
      </c>
      <c r="B1673" s="1" t="s">
        <v>2122</v>
      </c>
      <c r="C1673" s="1"/>
      <c r="D1673" s="1"/>
      <c r="E1673" s="1"/>
      <c r="F1673" s="1"/>
      <c r="G1673" s="1"/>
      <c r="H1673" s="1" t="str">
        <f>"8000246020000"</f>
        <v>8000246020000</v>
      </c>
      <c r="I1673" s="3">
        <v>0</v>
      </c>
      <c r="J1673" s="3">
        <v>0</v>
      </c>
      <c r="K1673" s="3">
        <v>500</v>
      </c>
    </row>
    <row r="1674" spans="1:11" x14ac:dyDescent="0.2">
      <c r="A1674" s="1" t="s">
        <v>4994</v>
      </c>
      <c r="B1674" s="1" t="s">
        <v>2123</v>
      </c>
      <c r="C1674" s="1"/>
      <c r="D1674" s="1"/>
      <c r="E1674" s="1"/>
      <c r="F1674" s="1"/>
      <c r="G1674" s="1"/>
      <c r="H1674" s="1" t="str">
        <f>"7806130008199"</f>
        <v>7806130008199</v>
      </c>
      <c r="I1674" s="3">
        <v>0</v>
      </c>
      <c r="J1674" s="3">
        <v>0</v>
      </c>
      <c r="K1674" s="3">
        <v>500</v>
      </c>
    </row>
    <row r="1675" spans="1:11" x14ac:dyDescent="0.2">
      <c r="A1675" s="1" t="s">
        <v>4994</v>
      </c>
      <c r="B1675" s="1" t="s">
        <v>2124</v>
      </c>
      <c r="C1675" s="1"/>
      <c r="D1675" s="1"/>
      <c r="E1675" s="1"/>
      <c r="F1675" s="1"/>
      <c r="G1675" s="1"/>
      <c r="H1675" s="1" t="str">
        <f>"7805145105077"</f>
        <v>7805145105077</v>
      </c>
      <c r="I1675" s="3">
        <v>70</v>
      </c>
      <c r="J1675" s="3">
        <v>0</v>
      </c>
      <c r="K1675" s="3">
        <v>350</v>
      </c>
    </row>
    <row r="1676" spans="1:11" x14ac:dyDescent="0.2">
      <c r="A1676" s="1" t="s">
        <v>4994</v>
      </c>
      <c r="B1676" s="1" t="s">
        <v>2125</v>
      </c>
      <c r="C1676" s="1"/>
      <c r="D1676" s="1"/>
      <c r="E1676" s="1"/>
      <c r="F1676" s="1"/>
      <c r="G1676" s="1"/>
      <c r="H1676" s="1" t="str">
        <f>"7804918402047"</f>
        <v>7804918402047</v>
      </c>
      <c r="I1676" s="3">
        <v>0</v>
      </c>
      <c r="J1676" s="3">
        <v>0</v>
      </c>
      <c r="K1676" s="3">
        <v>2500</v>
      </c>
    </row>
    <row r="1677" spans="1:11" x14ac:dyDescent="0.2">
      <c r="A1677" s="1" t="s">
        <v>4994</v>
      </c>
      <c r="B1677" s="1" t="s">
        <v>2126</v>
      </c>
      <c r="C1677" s="1"/>
      <c r="D1677" s="1"/>
      <c r="E1677" s="1"/>
      <c r="F1677" s="1"/>
      <c r="G1677" s="1"/>
      <c r="H1677" s="1" t="str">
        <f>"7800004004874"</f>
        <v>7800004004874</v>
      </c>
      <c r="I1677" s="3">
        <v>70</v>
      </c>
      <c r="J1677" s="3">
        <v>0</v>
      </c>
      <c r="K1677" s="3">
        <v>2500</v>
      </c>
    </row>
    <row r="1678" spans="1:11" x14ac:dyDescent="0.2">
      <c r="A1678" s="1" t="s">
        <v>4994</v>
      </c>
      <c r="B1678" s="1" t="s">
        <v>2127</v>
      </c>
      <c r="C1678" s="1"/>
      <c r="D1678" s="1"/>
      <c r="E1678" s="1"/>
      <c r="F1678" s="1"/>
      <c r="G1678" s="1"/>
      <c r="H1678" s="1" t="str">
        <f>"7800004004881"</f>
        <v>7800004004881</v>
      </c>
      <c r="I1678" s="3">
        <v>0</v>
      </c>
      <c r="J1678" s="3">
        <v>0</v>
      </c>
      <c r="K1678" s="3">
        <v>4000</v>
      </c>
    </row>
    <row r="1679" spans="1:11" x14ac:dyDescent="0.2">
      <c r="A1679" s="1" t="s">
        <v>4994</v>
      </c>
      <c r="B1679" s="1" t="s">
        <v>2131</v>
      </c>
      <c r="C1679" s="1"/>
      <c r="D1679" s="1"/>
      <c r="E1679" s="1"/>
      <c r="F1679" s="1"/>
      <c r="G1679" s="1"/>
      <c r="H1679" s="1" t="str">
        <f>"7800004003976"</f>
        <v>7800004003976</v>
      </c>
      <c r="I1679" s="3">
        <v>17</v>
      </c>
      <c r="J1679" s="3">
        <v>0</v>
      </c>
      <c r="K1679" s="3">
        <v>5000</v>
      </c>
    </row>
    <row r="1680" spans="1:11" x14ac:dyDescent="0.2">
      <c r="A1680" s="1" t="s">
        <v>4994</v>
      </c>
      <c r="B1680" s="1" t="s">
        <v>2134</v>
      </c>
      <c r="C1680" s="1"/>
      <c r="D1680" s="1"/>
      <c r="E1680" s="1"/>
      <c r="F1680" s="1"/>
      <c r="G1680" s="1"/>
      <c r="H1680" s="1" t="str">
        <f>"5000158067738"</f>
        <v>5000158067738</v>
      </c>
      <c r="I1680" s="3">
        <v>0</v>
      </c>
      <c r="J1680" s="3">
        <v>0</v>
      </c>
      <c r="K1680" s="3">
        <v>3000</v>
      </c>
    </row>
    <row r="1681" spans="1:11" x14ac:dyDescent="0.2">
      <c r="A1681" s="1" t="s">
        <v>4994</v>
      </c>
      <c r="B1681" s="1" t="s">
        <v>2135</v>
      </c>
      <c r="C1681" s="1"/>
      <c r="D1681" s="1"/>
      <c r="E1681" s="1"/>
      <c r="F1681" s="1"/>
      <c r="G1681" s="1"/>
      <c r="H1681" s="1" t="str">
        <f>"7805010005099"</f>
        <v>7805010005099</v>
      </c>
      <c r="I1681" s="3">
        <v>19</v>
      </c>
      <c r="J1681" s="3">
        <v>0</v>
      </c>
      <c r="K1681" s="3">
        <v>11000</v>
      </c>
    </row>
    <row r="1682" spans="1:11" x14ac:dyDescent="0.2">
      <c r="A1682" s="1" t="s">
        <v>4994</v>
      </c>
      <c r="B1682" s="1" t="s">
        <v>2136</v>
      </c>
      <c r="C1682" s="1"/>
      <c r="D1682" s="1"/>
      <c r="E1682" s="1"/>
      <c r="F1682" s="1"/>
      <c r="G1682" s="1"/>
      <c r="H1682" s="1" t="str">
        <f>"5000158068438"</f>
        <v>5000158068438</v>
      </c>
      <c r="I1682" s="3">
        <v>2</v>
      </c>
      <c r="J1682" s="3">
        <v>0</v>
      </c>
      <c r="K1682" s="3">
        <v>4000</v>
      </c>
    </row>
    <row r="1683" spans="1:11" x14ac:dyDescent="0.2">
      <c r="A1683" s="1" t="s">
        <v>4994</v>
      </c>
      <c r="B1683" s="1" t="s">
        <v>2137</v>
      </c>
      <c r="C1683" s="1"/>
      <c r="D1683" s="1"/>
      <c r="E1683" s="1"/>
      <c r="F1683" s="1"/>
      <c r="G1683" s="1"/>
      <c r="H1683" s="1" t="str">
        <f>"5000158069701"</f>
        <v>5000158069701</v>
      </c>
      <c r="I1683" s="3">
        <v>14</v>
      </c>
      <c r="J1683" s="3">
        <v>0</v>
      </c>
      <c r="K1683" s="3">
        <v>11000</v>
      </c>
    </row>
    <row r="1684" spans="1:11" x14ac:dyDescent="0.2">
      <c r="A1684" s="1" t="s">
        <v>4994</v>
      </c>
      <c r="B1684" s="1" t="s">
        <v>2139</v>
      </c>
      <c r="C1684" s="1"/>
      <c r="D1684" s="1"/>
      <c r="E1684" s="1"/>
      <c r="F1684" s="1"/>
      <c r="G1684" s="1"/>
      <c r="H1684" s="1" t="str">
        <f>"96079652"</f>
        <v>96079652</v>
      </c>
      <c r="I1684" s="3">
        <v>0</v>
      </c>
      <c r="J1684" s="3">
        <v>0</v>
      </c>
      <c r="K1684" s="3">
        <v>900</v>
      </c>
    </row>
    <row r="1685" spans="1:11" x14ac:dyDescent="0.2">
      <c r="A1685" s="1" t="s">
        <v>4994</v>
      </c>
      <c r="B1685" s="1" t="s">
        <v>2140</v>
      </c>
      <c r="C1685" s="1"/>
      <c r="D1685" s="1"/>
      <c r="E1685" s="1"/>
      <c r="F1685" s="1"/>
      <c r="G1685" s="1"/>
      <c r="H1685" s="1" t="str">
        <f>"5000158069060"</f>
        <v>5000158069060</v>
      </c>
      <c r="I1685" s="3">
        <v>0</v>
      </c>
      <c r="J1685" s="3">
        <v>0</v>
      </c>
      <c r="K1685" s="3">
        <v>4500</v>
      </c>
    </row>
    <row r="1686" spans="1:11" x14ac:dyDescent="0.2">
      <c r="A1686" s="1" t="s">
        <v>4994</v>
      </c>
      <c r="B1686" s="1" t="s">
        <v>2141</v>
      </c>
      <c r="C1686" s="1"/>
      <c r="D1686" s="1"/>
      <c r="E1686" s="1"/>
      <c r="F1686" s="1"/>
      <c r="G1686" s="1"/>
      <c r="H1686" s="1" t="str">
        <f>"5000158069633"</f>
        <v>5000158069633</v>
      </c>
      <c r="I1686" s="3">
        <v>0</v>
      </c>
      <c r="J1686" s="3">
        <v>0</v>
      </c>
      <c r="K1686" s="3">
        <v>9000</v>
      </c>
    </row>
    <row r="1687" spans="1:11" x14ac:dyDescent="0.2">
      <c r="A1687" s="1" t="s">
        <v>4994</v>
      </c>
      <c r="B1687" s="1" t="s">
        <v>2142</v>
      </c>
      <c r="C1687" s="1"/>
      <c r="D1687" s="1"/>
      <c r="E1687" s="1"/>
      <c r="F1687" s="1"/>
      <c r="G1687" s="1"/>
      <c r="H1687" s="1" t="str">
        <f>"50190256"</f>
        <v>50190256</v>
      </c>
      <c r="I1687" s="3">
        <v>0</v>
      </c>
      <c r="J1687" s="3">
        <v>0</v>
      </c>
      <c r="K1687" s="3">
        <v>800</v>
      </c>
    </row>
    <row r="1688" spans="1:11" x14ac:dyDescent="0.2">
      <c r="A1688" s="1" t="s">
        <v>4994</v>
      </c>
      <c r="B1688" s="1" t="s">
        <v>2143</v>
      </c>
      <c r="C1688" s="1"/>
      <c r="D1688" s="1"/>
      <c r="E1688" s="1"/>
      <c r="F1688" s="1"/>
      <c r="G1688" s="1"/>
      <c r="H1688" s="1" t="str">
        <f>"5000158066762"</f>
        <v>5000158066762</v>
      </c>
      <c r="I1688" s="3">
        <v>0</v>
      </c>
      <c r="J1688" s="3">
        <v>0</v>
      </c>
      <c r="K1688" s="3">
        <v>10000</v>
      </c>
    </row>
    <row r="1689" spans="1:11" x14ac:dyDescent="0.2">
      <c r="A1689" s="1" t="s">
        <v>4994</v>
      </c>
      <c r="B1689" s="1" t="s">
        <v>2144</v>
      </c>
      <c r="C1689" s="1"/>
      <c r="D1689" s="1"/>
      <c r="E1689" s="1"/>
      <c r="F1689" s="1"/>
      <c r="G1689" s="1"/>
      <c r="H1689" s="1" t="str">
        <f>"6920190327043"</f>
        <v>6920190327043</v>
      </c>
      <c r="I1689" s="3">
        <v>0</v>
      </c>
      <c r="J1689" s="3">
        <v>0</v>
      </c>
      <c r="K1689" s="3">
        <v>700</v>
      </c>
    </row>
    <row r="1690" spans="1:11" x14ac:dyDescent="0.2">
      <c r="A1690" s="1" t="s">
        <v>4994</v>
      </c>
      <c r="B1690" s="1" t="s">
        <v>2145</v>
      </c>
      <c r="C1690" s="1"/>
      <c r="D1690" s="1"/>
      <c r="E1690" s="1"/>
      <c r="F1690" s="1"/>
      <c r="G1690" s="1"/>
      <c r="H1690" s="1" t="str">
        <f>"7805633005568"</f>
        <v>7805633005568</v>
      </c>
      <c r="I1690" s="3">
        <v>0</v>
      </c>
      <c r="J1690" s="3">
        <v>0</v>
      </c>
      <c r="K1690" s="3">
        <v>300</v>
      </c>
    </row>
    <row r="1691" spans="1:11" x14ac:dyDescent="0.2">
      <c r="A1691" s="1" t="s">
        <v>4994</v>
      </c>
      <c r="B1691" s="1" t="s">
        <v>2146</v>
      </c>
      <c r="C1691" s="1"/>
      <c r="D1691" s="1"/>
      <c r="E1691" s="1"/>
      <c r="F1691" s="1"/>
      <c r="G1691" s="1"/>
      <c r="H1691" s="1" t="str">
        <f>"7804907855663"</f>
        <v>7804907855663</v>
      </c>
      <c r="I1691" s="3">
        <v>0</v>
      </c>
      <c r="J1691" s="3">
        <v>0</v>
      </c>
      <c r="K1691" s="3">
        <v>4000</v>
      </c>
    </row>
    <row r="1692" spans="1:11" x14ac:dyDescent="0.2">
      <c r="A1692" s="1" t="s">
        <v>4994</v>
      </c>
      <c r="B1692" s="1" t="s">
        <v>2147</v>
      </c>
      <c r="C1692" s="1"/>
      <c r="D1692" s="1"/>
      <c r="E1692" s="1"/>
      <c r="F1692" s="1"/>
      <c r="G1692" s="1"/>
      <c r="H1692" s="1" t="str">
        <f>"7500435113465"</f>
        <v>7500435113465</v>
      </c>
      <c r="I1692" s="3">
        <v>2</v>
      </c>
      <c r="J1692" s="3">
        <v>0</v>
      </c>
      <c r="K1692" s="3">
        <v>4500</v>
      </c>
    </row>
    <row r="1693" spans="1:11" x14ac:dyDescent="0.2">
      <c r="A1693" s="1" t="s">
        <v>4994</v>
      </c>
      <c r="B1693" s="1" t="s">
        <v>2148</v>
      </c>
      <c r="C1693" s="1"/>
      <c r="D1693" s="1"/>
      <c r="E1693" s="1"/>
      <c r="F1693" s="1"/>
      <c r="G1693" s="1"/>
      <c r="H1693" s="1" t="str">
        <f>"5416246465155"</f>
        <v>5416246465155</v>
      </c>
      <c r="I1693" s="3">
        <v>0</v>
      </c>
      <c r="J1693" s="3">
        <v>0</v>
      </c>
      <c r="K1693" s="3">
        <v>5000</v>
      </c>
    </row>
    <row r="1694" spans="1:11" x14ac:dyDescent="0.2">
      <c r="A1694" s="1" t="s">
        <v>4994</v>
      </c>
      <c r="B1694" s="1" t="s">
        <v>2149</v>
      </c>
      <c r="C1694" s="1"/>
      <c r="D1694" s="1"/>
      <c r="E1694" s="1"/>
      <c r="F1694" s="1"/>
      <c r="G1694" s="1"/>
      <c r="H1694" s="1" t="str">
        <f>"8470002000704"</f>
        <v>8470002000704</v>
      </c>
      <c r="I1694" s="3">
        <v>0</v>
      </c>
      <c r="J1694" s="3">
        <v>0</v>
      </c>
      <c r="K1694" s="3">
        <v>19000</v>
      </c>
    </row>
    <row r="1695" spans="1:11" x14ac:dyDescent="0.2">
      <c r="A1695" s="1" t="s">
        <v>4994</v>
      </c>
      <c r="B1695" s="1" t="s">
        <v>2150</v>
      </c>
      <c r="C1695" s="1"/>
      <c r="D1695" s="1"/>
      <c r="E1695" s="1"/>
      <c r="F1695" s="1"/>
      <c r="G1695" s="1"/>
      <c r="H1695" s="1" t="str">
        <f>"7804945033214"</f>
        <v>7804945033214</v>
      </c>
      <c r="I1695" s="3">
        <v>0</v>
      </c>
      <c r="J1695" s="3">
        <v>0</v>
      </c>
      <c r="K1695" s="3">
        <v>3500</v>
      </c>
    </row>
    <row r="1696" spans="1:11" x14ac:dyDescent="0.2">
      <c r="A1696" s="1" t="s">
        <v>4994</v>
      </c>
      <c r="B1696" s="1" t="s">
        <v>2151</v>
      </c>
      <c r="C1696" s="1"/>
      <c r="D1696" s="1"/>
      <c r="E1696" s="1"/>
      <c r="F1696" s="1"/>
      <c r="G1696" s="1"/>
      <c r="H1696" s="1" t="str">
        <f>"7804945033207"</f>
        <v>7804945033207</v>
      </c>
      <c r="I1696" s="3">
        <v>0</v>
      </c>
      <c r="J1696" s="3">
        <v>0</v>
      </c>
      <c r="K1696" s="3">
        <v>3500</v>
      </c>
    </row>
    <row r="1697" spans="1:11" x14ac:dyDescent="0.2">
      <c r="A1697" s="1" t="s">
        <v>4994</v>
      </c>
      <c r="B1697" s="1" t="s">
        <v>2152</v>
      </c>
      <c r="C1697" s="1"/>
      <c r="D1697" s="1"/>
      <c r="E1697" s="1"/>
      <c r="F1697" s="1"/>
      <c r="G1697" s="1"/>
      <c r="H1697" s="1" t="str">
        <f>"7808718200711"</f>
        <v>7808718200711</v>
      </c>
      <c r="I1697" s="3">
        <v>0</v>
      </c>
      <c r="J1697" s="3">
        <v>0</v>
      </c>
      <c r="K1697" s="3">
        <v>2500</v>
      </c>
    </row>
    <row r="1698" spans="1:11" x14ac:dyDescent="0.2">
      <c r="A1698" s="1" t="s">
        <v>4994</v>
      </c>
      <c r="B1698" s="1" t="s">
        <v>2153</v>
      </c>
      <c r="C1698" s="1"/>
      <c r="D1698" s="1"/>
      <c r="E1698" s="1"/>
      <c r="F1698" s="1"/>
      <c r="G1698" s="1"/>
      <c r="H1698" s="1" t="str">
        <f>"7805633010883"</f>
        <v>7805633010883</v>
      </c>
      <c r="I1698" s="3">
        <v>0</v>
      </c>
      <c r="J1698" s="3">
        <v>0</v>
      </c>
      <c r="K1698" s="3">
        <v>2000</v>
      </c>
    </row>
    <row r="1699" spans="1:11" x14ac:dyDescent="0.2">
      <c r="A1699" s="1" t="s">
        <v>4994</v>
      </c>
      <c r="B1699" s="1" t="s">
        <v>2154</v>
      </c>
      <c r="C1699" s="1"/>
      <c r="D1699" s="1"/>
      <c r="E1699" s="1"/>
      <c r="F1699" s="1"/>
      <c r="G1699" s="1"/>
      <c r="H1699" s="1" t="str">
        <f>"7506078955035"</f>
        <v>7506078955035</v>
      </c>
      <c r="I1699" s="3">
        <v>5</v>
      </c>
      <c r="J1699" s="3">
        <v>0</v>
      </c>
      <c r="K1699" s="3">
        <v>6000</v>
      </c>
    </row>
    <row r="1700" spans="1:11" x14ac:dyDescent="0.2">
      <c r="A1700" s="1" t="s">
        <v>4994</v>
      </c>
      <c r="B1700" s="1" t="s">
        <v>2155</v>
      </c>
      <c r="C1700" s="1"/>
      <c r="D1700" s="1"/>
      <c r="E1700" s="1"/>
      <c r="F1700" s="1"/>
      <c r="G1700" s="1"/>
      <c r="H1700" s="1" t="str">
        <f>"5031413938340"</f>
        <v>5031413938340</v>
      </c>
      <c r="I1700" s="3">
        <v>0</v>
      </c>
      <c r="J1700" s="3">
        <v>0</v>
      </c>
      <c r="K1700" s="3">
        <v>9000</v>
      </c>
    </row>
    <row r="1701" spans="1:11" x14ac:dyDescent="0.2">
      <c r="A1701" s="1" t="s">
        <v>4994</v>
      </c>
      <c r="B1701" s="1" t="s">
        <v>2156</v>
      </c>
      <c r="C1701" s="1"/>
      <c r="D1701" s="1"/>
      <c r="E1701" s="1"/>
      <c r="F1701" s="1"/>
      <c r="G1701" s="1"/>
      <c r="H1701" s="1" t="str">
        <f>"3337875597357"</f>
        <v>3337875597357</v>
      </c>
      <c r="I1701" s="3">
        <v>0</v>
      </c>
      <c r="J1701" s="3">
        <v>0</v>
      </c>
      <c r="K1701" s="3">
        <v>16000</v>
      </c>
    </row>
    <row r="1702" spans="1:11" x14ac:dyDescent="0.2">
      <c r="A1702" s="1" t="s">
        <v>4994</v>
      </c>
      <c r="B1702" s="1" t="s">
        <v>2157</v>
      </c>
      <c r="C1702" s="1"/>
      <c r="D1702" s="1"/>
      <c r="E1702" s="1"/>
      <c r="F1702" s="1"/>
      <c r="G1702" s="1"/>
      <c r="H1702" s="1" t="str">
        <f>"4005800178375"</f>
        <v>4005800178375</v>
      </c>
      <c r="I1702" s="3">
        <v>3</v>
      </c>
      <c r="J1702" s="3">
        <v>0</v>
      </c>
      <c r="K1702" s="3">
        <v>17000</v>
      </c>
    </row>
    <row r="1703" spans="1:11" x14ac:dyDescent="0.2">
      <c r="A1703" s="1" t="s">
        <v>4994</v>
      </c>
      <c r="B1703" s="1" t="s">
        <v>2158</v>
      </c>
      <c r="C1703" s="1"/>
      <c r="D1703" s="1"/>
      <c r="E1703" s="1"/>
      <c r="F1703" s="1"/>
      <c r="G1703" s="1"/>
      <c r="H1703" s="1" t="str">
        <f>"7501159033749"</f>
        <v>7501159033749</v>
      </c>
      <c r="I1703" s="3">
        <v>5</v>
      </c>
      <c r="J1703" s="3">
        <v>0</v>
      </c>
      <c r="K1703" s="3">
        <v>4000</v>
      </c>
    </row>
    <row r="1704" spans="1:11" x14ac:dyDescent="0.2">
      <c r="A1704" s="1" t="s">
        <v>4994</v>
      </c>
      <c r="B1704" s="1" t="s">
        <v>2159</v>
      </c>
      <c r="C1704" s="1"/>
      <c r="D1704" s="1"/>
      <c r="E1704" s="1"/>
      <c r="F1704" s="1"/>
      <c r="G1704" s="1"/>
      <c r="H1704" s="1" t="str">
        <f>"7501159033725"</f>
        <v>7501159033725</v>
      </c>
      <c r="I1704" s="3">
        <v>9</v>
      </c>
      <c r="J1704" s="3">
        <v>0</v>
      </c>
      <c r="K1704" s="3">
        <v>4000</v>
      </c>
    </row>
    <row r="1705" spans="1:11" x14ac:dyDescent="0.2">
      <c r="A1705" s="1" t="s">
        <v>4994</v>
      </c>
      <c r="B1705" s="1" t="s">
        <v>2160</v>
      </c>
      <c r="C1705" s="1"/>
      <c r="D1705" s="1"/>
      <c r="E1705" s="1"/>
      <c r="F1705" s="1"/>
      <c r="G1705" s="1"/>
      <c r="H1705" s="1" t="str">
        <f>"7790520997449"</f>
        <v>7790520997449</v>
      </c>
      <c r="I1705" s="3">
        <v>0</v>
      </c>
      <c r="J1705" s="3">
        <v>0</v>
      </c>
      <c r="K1705" s="3">
        <v>7000</v>
      </c>
    </row>
    <row r="1706" spans="1:11" x14ac:dyDescent="0.2">
      <c r="A1706" s="1" t="s">
        <v>4994</v>
      </c>
      <c r="B1706" s="1" t="s">
        <v>2161</v>
      </c>
      <c r="C1706" s="1"/>
      <c r="D1706" s="1"/>
      <c r="E1706" s="1"/>
      <c r="F1706" s="1"/>
      <c r="G1706" s="1"/>
      <c r="H1706" s="1" t="str">
        <f>"7795380042957"</f>
        <v>7795380042957</v>
      </c>
      <c r="I1706" s="3">
        <v>0</v>
      </c>
      <c r="J1706" s="3">
        <v>0</v>
      </c>
      <c r="K1706" s="3">
        <v>17000</v>
      </c>
    </row>
    <row r="1707" spans="1:11" x14ac:dyDescent="0.2">
      <c r="A1707" s="1" t="s">
        <v>4994</v>
      </c>
      <c r="B1707" s="1" t="s">
        <v>2164</v>
      </c>
      <c r="C1707" s="1"/>
      <c r="D1707" s="1"/>
      <c r="E1707" s="1"/>
      <c r="F1707" s="1"/>
      <c r="G1707" s="1"/>
      <c r="H1707" s="1" t="str">
        <f>"8033087660012"</f>
        <v>8033087660012</v>
      </c>
      <c r="I1707" s="3">
        <v>0</v>
      </c>
      <c r="J1707" s="3">
        <v>0</v>
      </c>
      <c r="K1707" s="3">
        <v>14000</v>
      </c>
    </row>
    <row r="1708" spans="1:11" x14ac:dyDescent="0.2">
      <c r="A1708" s="1" t="s">
        <v>4994</v>
      </c>
      <c r="B1708" s="1" t="s">
        <v>2165</v>
      </c>
      <c r="C1708" s="1"/>
      <c r="D1708" s="1"/>
      <c r="E1708" s="1"/>
      <c r="F1708" s="1"/>
      <c r="G1708" s="1"/>
      <c r="H1708" s="1" t="str">
        <f>"8033087660180"</f>
        <v>8033087660180</v>
      </c>
      <c r="I1708" s="3">
        <v>5</v>
      </c>
      <c r="J1708" s="3">
        <v>0</v>
      </c>
      <c r="K1708" s="3">
        <v>15000</v>
      </c>
    </row>
    <row r="1709" spans="1:11" x14ac:dyDescent="0.2">
      <c r="A1709" s="1" t="s">
        <v>4994</v>
      </c>
      <c r="B1709" s="1" t="s">
        <v>2166</v>
      </c>
      <c r="C1709" s="1"/>
      <c r="D1709" s="1"/>
      <c r="E1709" s="1"/>
      <c r="F1709" s="1"/>
      <c r="G1709" s="1"/>
      <c r="H1709" s="1" t="str">
        <f>"8033087660029"</f>
        <v>8033087660029</v>
      </c>
      <c r="I1709" s="3">
        <v>0</v>
      </c>
      <c r="J1709" s="3">
        <v>0</v>
      </c>
      <c r="K1709" s="3">
        <v>17000</v>
      </c>
    </row>
    <row r="1710" spans="1:11" x14ac:dyDescent="0.2">
      <c r="A1710" s="1" t="s">
        <v>4994</v>
      </c>
      <c r="B1710" s="1" t="s">
        <v>2167</v>
      </c>
      <c r="C1710" s="1"/>
      <c r="D1710" s="1"/>
      <c r="E1710" s="1"/>
      <c r="F1710" s="1"/>
      <c r="G1710" s="1"/>
      <c r="H1710" s="1" t="str">
        <f>"7800063370064"</f>
        <v>7800063370064</v>
      </c>
      <c r="I1710" s="3">
        <v>24</v>
      </c>
      <c r="J1710" s="3">
        <v>0</v>
      </c>
      <c r="K1710" s="3">
        <v>9500</v>
      </c>
    </row>
    <row r="1711" spans="1:11" x14ac:dyDescent="0.2">
      <c r="A1711" s="1" t="s">
        <v>4994</v>
      </c>
      <c r="B1711" s="1" t="s">
        <v>2168</v>
      </c>
      <c r="C1711" s="1"/>
      <c r="D1711" s="1"/>
      <c r="E1711" s="1"/>
      <c r="F1711" s="1"/>
      <c r="G1711" s="1"/>
      <c r="H1711" s="1" t="str">
        <f>"7800063370057"</f>
        <v>7800063370057</v>
      </c>
      <c r="I1711" s="3">
        <v>39</v>
      </c>
      <c r="J1711" s="3">
        <v>0</v>
      </c>
      <c r="K1711" s="3">
        <v>9500</v>
      </c>
    </row>
    <row r="1712" spans="1:11" x14ac:dyDescent="0.2">
      <c r="A1712" s="1" t="s">
        <v>4994</v>
      </c>
      <c r="B1712" s="1" t="s">
        <v>2169</v>
      </c>
      <c r="C1712" s="1"/>
      <c r="D1712" s="1"/>
      <c r="E1712" s="1"/>
      <c r="F1712" s="1"/>
      <c r="G1712" s="1"/>
      <c r="H1712" s="1" t="str">
        <f>"7800063370040"</f>
        <v>7800063370040</v>
      </c>
      <c r="I1712" s="3">
        <v>0</v>
      </c>
      <c r="J1712" s="3">
        <v>0</v>
      </c>
      <c r="K1712" s="3">
        <v>1000</v>
      </c>
    </row>
    <row r="1713" spans="1:11" x14ac:dyDescent="0.2">
      <c r="A1713" s="1" t="s">
        <v>4994</v>
      </c>
      <c r="B1713" s="1" t="s">
        <v>2170</v>
      </c>
      <c r="C1713" s="1"/>
      <c r="D1713" s="1"/>
      <c r="E1713" s="1"/>
      <c r="F1713" s="1"/>
      <c r="G1713" s="1"/>
      <c r="H1713" s="1" t="str">
        <f>"7800063370033"</f>
        <v>7800063370033</v>
      </c>
      <c r="I1713" s="3">
        <v>0</v>
      </c>
      <c r="J1713" s="3">
        <v>0</v>
      </c>
      <c r="K1713" s="3">
        <v>1000</v>
      </c>
    </row>
    <row r="1714" spans="1:11" x14ac:dyDescent="0.2">
      <c r="A1714" s="1" t="s">
        <v>4994</v>
      </c>
      <c r="B1714" s="1" t="s">
        <v>2173</v>
      </c>
      <c r="C1714" s="1"/>
      <c r="D1714" s="1"/>
      <c r="E1714" s="1"/>
      <c r="F1714" s="1"/>
      <c r="G1714" s="1"/>
      <c r="H1714" s="1" t="str">
        <f>"7800063210322"</f>
        <v>7800063210322</v>
      </c>
      <c r="I1714" s="3">
        <v>0</v>
      </c>
      <c r="J1714" s="3">
        <v>0</v>
      </c>
      <c r="K1714" s="3">
        <v>1500</v>
      </c>
    </row>
    <row r="1715" spans="1:11" x14ac:dyDescent="0.2">
      <c r="A1715" s="1" t="s">
        <v>4994</v>
      </c>
      <c r="B1715" s="1" t="s">
        <v>2174</v>
      </c>
      <c r="C1715" s="1"/>
      <c r="D1715" s="1"/>
      <c r="E1715" s="1"/>
      <c r="F1715" s="1"/>
      <c r="G1715" s="1"/>
      <c r="H1715" s="1" t="str">
        <f>"7800063330426"</f>
        <v>7800063330426</v>
      </c>
      <c r="I1715" s="3">
        <v>16</v>
      </c>
      <c r="J1715" s="3">
        <v>0</v>
      </c>
      <c r="K1715" s="3">
        <v>2000</v>
      </c>
    </row>
    <row r="1716" spans="1:11" x14ac:dyDescent="0.2">
      <c r="A1716" s="1" t="s">
        <v>4994</v>
      </c>
      <c r="B1716" s="1" t="s">
        <v>2176</v>
      </c>
      <c r="C1716" s="1"/>
      <c r="D1716" s="1"/>
      <c r="E1716" s="1"/>
      <c r="F1716" s="1"/>
      <c r="G1716" s="1"/>
      <c r="H1716" s="1" t="str">
        <f>"7800007143976"</f>
        <v>7800007143976</v>
      </c>
      <c r="I1716" s="3">
        <v>0</v>
      </c>
      <c r="J1716" s="3">
        <v>0</v>
      </c>
      <c r="K1716" s="3">
        <v>4000</v>
      </c>
    </row>
    <row r="1717" spans="1:11" x14ac:dyDescent="0.2">
      <c r="A1717" s="1" t="s">
        <v>4994</v>
      </c>
      <c r="B1717" s="1" t="s">
        <v>2177</v>
      </c>
      <c r="C1717" s="1"/>
      <c r="D1717" s="1"/>
      <c r="E1717" s="1"/>
      <c r="F1717" s="1"/>
      <c r="G1717" s="1"/>
      <c r="H1717" s="1" t="str">
        <f>"7804633500134"</f>
        <v>7804633500134</v>
      </c>
      <c r="I1717" s="3">
        <v>0</v>
      </c>
      <c r="J1717" s="3">
        <v>0</v>
      </c>
      <c r="K1717" s="3">
        <v>6000</v>
      </c>
    </row>
    <row r="1718" spans="1:11" x14ac:dyDescent="0.2">
      <c r="A1718" s="1" t="s">
        <v>4994</v>
      </c>
      <c r="B1718" s="1" t="s">
        <v>2178</v>
      </c>
      <c r="C1718" s="1"/>
      <c r="D1718" s="1"/>
      <c r="E1718" s="1"/>
      <c r="F1718" s="1"/>
      <c r="G1718" s="1"/>
      <c r="H1718" s="1" t="str">
        <f>"7800063160153"</f>
        <v>7800063160153</v>
      </c>
      <c r="I1718" s="3">
        <v>20</v>
      </c>
      <c r="J1718" s="3">
        <v>0</v>
      </c>
      <c r="K1718" s="3">
        <v>2500</v>
      </c>
    </row>
    <row r="1719" spans="1:11" x14ac:dyDescent="0.2">
      <c r="A1719" s="1" t="s">
        <v>4994</v>
      </c>
      <c r="B1719" s="1" t="s">
        <v>2179</v>
      </c>
      <c r="C1719" s="1"/>
      <c r="D1719" s="1"/>
      <c r="E1719" s="1"/>
      <c r="F1719" s="1"/>
      <c r="G1719" s="1"/>
      <c r="H1719" s="1" t="str">
        <f>"7800007111265"</f>
        <v>7800007111265</v>
      </c>
      <c r="I1719" s="3">
        <v>0</v>
      </c>
      <c r="J1719" s="3">
        <v>0</v>
      </c>
      <c r="K1719" s="3">
        <v>16000</v>
      </c>
    </row>
    <row r="1720" spans="1:11" x14ac:dyDescent="0.2">
      <c r="A1720" s="1" t="s">
        <v>4994</v>
      </c>
      <c r="B1720" s="1" t="s">
        <v>2180</v>
      </c>
      <c r="C1720" s="1"/>
      <c r="D1720" s="1"/>
      <c r="E1720" s="1"/>
      <c r="F1720" s="1"/>
      <c r="G1720" s="1"/>
      <c r="H1720" s="1" t="str">
        <f>"7800061001533"</f>
        <v>7800061001533</v>
      </c>
      <c r="I1720" s="3">
        <v>0</v>
      </c>
      <c r="J1720" s="3">
        <v>0</v>
      </c>
      <c r="K1720" s="3">
        <v>3500</v>
      </c>
    </row>
    <row r="1721" spans="1:11" x14ac:dyDescent="0.2">
      <c r="A1721" s="1" t="s">
        <v>4994</v>
      </c>
      <c r="B1721" s="1" t="s">
        <v>2181</v>
      </c>
      <c r="C1721" s="1"/>
      <c r="D1721" s="1"/>
      <c r="E1721" s="1"/>
      <c r="F1721" s="1"/>
      <c r="G1721" s="1"/>
      <c r="H1721" s="1" t="str">
        <f>"7804650881629"</f>
        <v>7804650881629</v>
      </c>
      <c r="I1721" s="3">
        <v>0</v>
      </c>
      <c r="J1721" s="3">
        <v>0</v>
      </c>
      <c r="K1721" s="3">
        <v>2500</v>
      </c>
    </row>
    <row r="1722" spans="1:11" x14ac:dyDescent="0.2">
      <c r="A1722" s="1" t="s">
        <v>4994</v>
      </c>
      <c r="B1722" s="1" t="s">
        <v>2182</v>
      </c>
      <c r="C1722" s="1"/>
      <c r="D1722" s="1"/>
      <c r="E1722" s="1"/>
      <c r="F1722" s="1"/>
      <c r="G1722" s="1"/>
      <c r="H1722" s="1" t="str">
        <f>"7804640560831"</f>
        <v>7804640560831</v>
      </c>
      <c r="I1722" s="3">
        <v>0</v>
      </c>
      <c r="J1722" s="3">
        <v>0</v>
      </c>
      <c r="K1722" s="3">
        <v>2000</v>
      </c>
    </row>
    <row r="1723" spans="1:11" x14ac:dyDescent="0.2">
      <c r="A1723" s="1" t="s">
        <v>4994</v>
      </c>
      <c r="B1723" s="1" t="s">
        <v>2184</v>
      </c>
      <c r="C1723" s="1"/>
      <c r="D1723" s="1"/>
      <c r="E1723" s="1"/>
      <c r="F1723" s="1"/>
      <c r="G1723" s="1"/>
      <c r="H1723" s="1" t="str">
        <f>"7800046004979"</f>
        <v>7800046004979</v>
      </c>
      <c r="I1723" s="3">
        <v>11</v>
      </c>
      <c r="J1723" s="3">
        <v>0</v>
      </c>
      <c r="K1723" s="3">
        <v>6000</v>
      </c>
    </row>
    <row r="1724" spans="1:11" x14ac:dyDescent="0.2">
      <c r="A1724" s="1" t="s">
        <v>4994</v>
      </c>
      <c r="B1724" s="1" t="s">
        <v>2185</v>
      </c>
      <c r="C1724" s="1"/>
      <c r="D1724" s="1"/>
      <c r="E1724" s="1"/>
      <c r="F1724" s="1"/>
      <c r="G1724" s="1"/>
      <c r="H1724" s="1" t="str">
        <f>"7702418005075"</f>
        <v>7702418005075</v>
      </c>
      <c r="I1724" s="3">
        <v>0</v>
      </c>
      <c r="J1724" s="3">
        <v>0</v>
      </c>
      <c r="K1724" s="3">
        <v>25000</v>
      </c>
    </row>
    <row r="1725" spans="1:11" x14ac:dyDescent="0.2">
      <c r="A1725" s="1" t="s">
        <v>4994</v>
      </c>
      <c r="B1725" s="1" t="s">
        <v>2186</v>
      </c>
      <c r="C1725" s="1"/>
      <c r="D1725" s="1"/>
      <c r="E1725" s="1"/>
      <c r="F1725" s="1"/>
      <c r="G1725" s="1"/>
      <c r="H1725" s="1" t="str">
        <f>"47400188082"</f>
        <v>47400188082</v>
      </c>
      <c r="I1725" s="3">
        <v>0</v>
      </c>
      <c r="J1725" s="3">
        <v>0</v>
      </c>
      <c r="K1725" s="3">
        <v>5000</v>
      </c>
    </row>
    <row r="1726" spans="1:11" x14ac:dyDescent="0.2">
      <c r="A1726" s="1" t="s">
        <v>4994</v>
      </c>
      <c r="B1726" s="1" t="s">
        <v>2187</v>
      </c>
      <c r="C1726" s="1"/>
      <c r="D1726" s="1"/>
      <c r="E1726" s="1"/>
      <c r="F1726" s="1"/>
      <c r="G1726" s="1"/>
      <c r="H1726" s="1" t="str">
        <f>"7506339399523"</f>
        <v>7506339399523</v>
      </c>
      <c r="I1726" s="3">
        <v>0</v>
      </c>
      <c r="J1726" s="3">
        <v>0</v>
      </c>
      <c r="K1726" s="3">
        <v>2500</v>
      </c>
    </row>
    <row r="1727" spans="1:11" x14ac:dyDescent="0.2">
      <c r="A1727" s="1" t="s">
        <v>4994</v>
      </c>
      <c r="B1727" s="1" t="s">
        <v>2188</v>
      </c>
      <c r="C1727" s="1"/>
      <c r="D1727" s="1"/>
      <c r="E1727" s="1"/>
      <c r="F1727" s="1"/>
      <c r="G1727" s="1"/>
      <c r="H1727" s="1" t="str">
        <f>"7702018072439"</f>
        <v>7702018072439</v>
      </c>
      <c r="I1727" s="3">
        <v>0</v>
      </c>
      <c r="J1727" s="3">
        <v>0</v>
      </c>
      <c r="K1727" s="3">
        <v>1500</v>
      </c>
    </row>
    <row r="1728" spans="1:11" x14ac:dyDescent="0.2">
      <c r="A1728" s="1" t="s">
        <v>4994</v>
      </c>
      <c r="B1728" s="1" t="s">
        <v>2189</v>
      </c>
      <c r="C1728" s="1"/>
      <c r="D1728" s="1"/>
      <c r="E1728" s="1"/>
      <c r="F1728" s="1"/>
      <c r="G1728" s="1"/>
      <c r="H1728" s="1" t="str">
        <f>"7800068015953"</f>
        <v>7800068015953</v>
      </c>
      <c r="I1728" s="3">
        <v>6</v>
      </c>
      <c r="J1728" s="3">
        <v>0</v>
      </c>
      <c r="K1728" s="3">
        <v>12500</v>
      </c>
    </row>
    <row r="1729" spans="1:11" x14ac:dyDescent="0.2">
      <c r="A1729" s="1" t="s">
        <v>4994</v>
      </c>
      <c r="B1729" s="1" t="s">
        <v>2190</v>
      </c>
      <c r="C1729" s="1"/>
      <c r="D1729" s="1"/>
      <c r="E1729" s="1"/>
      <c r="F1729" s="1"/>
      <c r="G1729" s="1"/>
      <c r="H1729" s="1" t="str">
        <f>"7800068015939"</f>
        <v>7800068015939</v>
      </c>
      <c r="I1729" s="3">
        <v>0</v>
      </c>
      <c r="J1729" s="3">
        <v>0</v>
      </c>
      <c r="K1729" s="3">
        <v>13000</v>
      </c>
    </row>
    <row r="1730" spans="1:11" x14ac:dyDescent="0.2">
      <c r="A1730" s="1" t="s">
        <v>4994</v>
      </c>
      <c r="B1730" s="1" t="s">
        <v>2191</v>
      </c>
      <c r="C1730" s="1"/>
      <c r="D1730" s="1"/>
      <c r="E1730" s="1"/>
      <c r="F1730" s="1"/>
      <c r="G1730" s="1"/>
      <c r="H1730" s="1" t="str">
        <f>"7800007168610"</f>
        <v>7800007168610</v>
      </c>
      <c r="I1730" s="3">
        <v>0</v>
      </c>
      <c r="J1730" s="3">
        <v>0</v>
      </c>
      <c r="K1730" s="3">
        <v>20000</v>
      </c>
    </row>
    <row r="1731" spans="1:11" x14ac:dyDescent="0.2">
      <c r="A1731" s="1" t="s">
        <v>4994</v>
      </c>
      <c r="B1731" s="1" t="s">
        <v>2192</v>
      </c>
      <c r="C1731" s="1"/>
      <c r="D1731" s="1"/>
      <c r="E1731" s="1"/>
      <c r="F1731" s="1"/>
      <c r="G1731" s="1"/>
      <c r="H1731" s="1" t="str">
        <f>"7800007163653"</f>
        <v>7800007163653</v>
      </c>
      <c r="I1731" s="3">
        <v>0</v>
      </c>
      <c r="J1731" s="3">
        <v>0</v>
      </c>
      <c r="K1731" s="3">
        <v>19000</v>
      </c>
    </row>
    <row r="1732" spans="1:11" x14ac:dyDescent="0.2">
      <c r="A1732" s="1" t="s">
        <v>4994</v>
      </c>
      <c r="B1732" s="1" t="s">
        <v>2193</v>
      </c>
      <c r="C1732" s="1"/>
      <c r="D1732" s="1"/>
      <c r="E1732" s="1"/>
      <c r="F1732" s="1"/>
      <c r="G1732" s="1"/>
      <c r="H1732" s="1" t="str">
        <f>"7803504005051"</f>
        <v>7803504005051</v>
      </c>
      <c r="I1732" s="3">
        <v>6</v>
      </c>
      <c r="J1732" s="3">
        <v>0</v>
      </c>
      <c r="K1732" s="3">
        <v>7000</v>
      </c>
    </row>
    <row r="1733" spans="1:11" x14ac:dyDescent="0.2">
      <c r="A1733" s="1" t="s">
        <v>4994</v>
      </c>
      <c r="B1733" s="1" t="s">
        <v>2194</v>
      </c>
      <c r="C1733" s="1"/>
      <c r="D1733" s="1"/>
      <c r="E1733" s="1"/>
      <c r="F1733" s="1"/>
      <c r="G1733" s="1"/>
      <c r="H1733" s="1" t="str">
        <f>"7800059006489"</f>
        <v>7800059006489</v>
      </c>
      <c r="I1733" s="3">
        <v>1</v>
      </c>
      <c r="J1733" s="3">
        <v>0</v>
      </c>
      <c r="K1733" s="3">
        <v>9000</v>
      </c>
    </row>
    <row r="1734" spans="1:11" x14ac:dyDescent="0.2">
      <c r="A1734" s="1" t="s">
        <v>4994</v>
      </c>
      <c r="B1734" s="1" t="s">
        <v>2195</v>
      </c>
      <c r="C1734" s="1"/>
      <c r="D1734" s="1"/>
      <c r="E1734" s="1"/>
      <c r="F1734" s="1"/>
      <c r="G1734" s="1"/>
      <c r="H1734" s="1" t="str">
        <f>"7800059006496"</f>
        <v>7800059006496</v>
      </c>
      <c r="I1734" s="3">
        <v>2</v>
      </c>
      <c r="J1734" s="3">
        <v>0</v>
      </c>
      <c r="K1734" s="3">
        <v>6000</v>
      </c>
    </row>
    <row r="1735" spans="1:11" x14ac:dyDescent="0.2">
      <c r="A1735" s="1" t="s">
        <v>4994</v>
      </c>
      <c r="B1735" s="1" t="s">
        <v>2196</v>
      </c>
      <c r="C1735" s="1"/>
      <c r="D1735" s="1"/>
      <c r="E1735" s="1"/>
      <c r="F1735" s="1"/>
      <c r="G1735" s="1"/>
      <c r="H1735" s="1" t="str">
        <f>"7800059006472"</f>
        <v>7800059006472</v>
      </c>
      <c r="I1735" s="3">
        <v>6</v>
      </c>
      <c r="J1735" s="3">
        <v>0</v>
      </c>
      <c r="K1735" s="3">
        <v>12000</v>
      </c>
    </row>
    <row r="1736" spans="1:11" x14ac:dyDescent="0.2">
      <c r="A1736" s="1" t="s">
        <v>4994</v>
      </c>
      <c r="B1736" s="1" t="s">
        <v>2197</v>
      </c>
      <c r="C1736" s="1"/>
      <c r="D1736" s="1"/>
      <c r="E1736" s="1"/>
      <c r="F1736" s="1"/>
      <c r="G1736" s="1"/>
      <c r="H1736" s="1" t="str">
        <f>"7800026007129"</f>
        <v>7800026007129</v>
      </c>
      <c r="I1736" s="3">
        <v>0</v>
      </c>
      <c r="J1736" s="3">
        <v>0</v>
      </c>
      <c r="K1736" s="3">
        <v>24000</v>
      </c>
    </row>
    <row r="1737" spans="1:11" x14ac:dyDescent="0.2">
      <c r="A1737" s="1" t="s">
        <v>4994</v>
      </c>
      <c r="B1737" s="1" t="s">
        <v>2198</v>
      </c>
      <c r="C1737" s="1"/>
      <c r="D1737" s="1"/>
      <c r="E1737" s="1"/>
      <c r="F1737" s="1"/>
      <c r="G1737" s="1"/>
      <c r="H1737" s="1" t="str">
        <f>"7805357000115"</f>
        <v>7805357000115</v>
      </c>
      <c r="I1737" s="3">
        <v>0</v>
      </c>
      <c r="J1737" s="3">
        <v>0</v>
      </c>
      <c r="K1737" s="3">
        <v>6500</v>
      </c>
    </row>
    <row r="1738" spans="1:11" x14ac:dyDescent="0.2">
      <c r="A1738" s="1" t="s">
        <v>4994</v>
      </c>
      <c r="B1738" s="1" t="s">
        <v>2199</v>
      </c>
      <c r="C1738" s="1"/>
      <c r="D1738" s="1"/>
      <c r="E1738" s="1"/>
      <c r="F1738" s="1"/>
      <c r="G1738" s="1"/>
      <c r="H1738" s="1" t="str">
        <f>"2010380017299"</f>
        <v>2010380017299</v>
      </c>
      <c r="I1738" s="3">
        <v>0</v>
      </c>
      <c r="J1738" s="3">
        <v>0</v>
      </c>
      <c r="K1738" s="3">
        <v>6500</v>
      </c>
    </row>
    <row r="1739" spans="1:11" x14ac:dyDescent="0.2">
      <c r="A1739" s="1" t="s">
        <v>4994</v>
      </c>
      <c r="B1739" s="1" t="s">
        <v>2206</v>
      </c>
      <c r="C1739" s="1"/>
      <c r="D1739" s="1"/>
      <c r="E1739" s="1"/>
      <c r="F1739" s="1"/>
      <c r="G1739" s="1"/>
      <c r="H1739" s="1" t="str">
        <f>"7800068011481"</f>
        <v>7800068011481</v>
      </c>
      <c r="I1739" s="3">
        <v>0</v>
      </c>
      <c r="J1739" s="3">
        <v>0</v>
      </c>
      <c r="K1739" s="3">
        <v>4000</v>
      </c>
    </row>
    <row r="1740" spans="1:11" x14ac:dyDescent="0.2">
      <c r="A1740" s="1" t="s">
        <v>4994</v>
      </c>
      <c r="B1740" s="1" t="s">
        <v>2209</v>
      </c>
      <c r="C1740" s="1"/>
      <c r="D1740" s="1"/>
      <c r="E1740" s="1"/>
      <c r="F1740" s="1"/>
      <c r="G1740" s="1"/>
      <c r="H1740" s="1" t="str">
        <f>"7800028005697"</f>
        <v>7800028005697</v>
      </c>
      <c r="I1740" s="3">
        <v>0</v>
      </c>
      <c r="J1740" s="3">
        <v>0</v>
      </c>
      <c r="K1740" s="3">
        <v>40000</v>
      </c>
    </row>
    <row r="1741" spans="1:11" x14ac:dyDescent="0.2">
      <c r="A1741" s="1" t="s">
        <v>4994</v>
      </c>
      <c r="B1741" s="1" t="s">
        <v>2211</v>
      </c>
      <c r="C1741" s="1"/>
      <c r="D1741" s="1"/>
      <c r="E1741" s="1"/>
      <c r="F1741" s="1"/>
      <c r="G1741" s="1"/>
      <c r="H1741" s="1" t="str">
        <f>"7800028000777"</f>
        <v>7800028000777</v>
      </c>
      <c r="I1741" s="3">
        <v>0</v>
      </c>
      <c r="J1741" s="3">
        <v>0</v>
      </c>
      <c r="K1741" s="3">
        <v>5500</v>
      </c>
    </row>
    <row r="1742" spans="1:11" x14ac:dyDescent="0.2">
      <c r="A1742" s="1" t="s">
        <v>4994</v>
      </c>
      <c r="B1742" s="1" t="s">
        <v>2212</v>
      </c>
      <c r="C1742" s="1"/>
      <c r="D1742" s="1"/>
      <c r="E1742" s="1"/>
      <c r="F1742" s="1"/>
      <c r="G1742" s="1"/>
      <c r="H1742" s="1" t="str">
        <f>"7805357009224"</f>
        <v>7805357009224</v>
      </c>
      <c r="I1742" s="3">
        <v>1</v>
      </c>
      <c r="J1742" s="3">
        <v>0</v>
      </c>
      <c r="K1742" s="3">
        <v>12500</v>
      </c>
    </row>
    <row r="1743" spans="1:11" x14ac:dyDescent="0.2">
      <c r="A1743" s="1" t="s">
        <v>4994</v>
      </c>
      <c r="B1743" s="1" t="s">
        <v>2213</v>
      </c>
      <c r="C1743" s="1"/>
      <c r="D1743" s="1"/>
      <c r="E1743" s="1"/>
      <c r="F1743" s="1"/>
      <c r="G1743" s="1"/>
      <c r="H1743" s="1" t="str">
        <f>"7805357001105"</f>
        <v>7805357001105</v>
      </c>
      <c r="I1743" s="3">
        <v>12</v>
      </c>
      <c r="J1743" s="3">
        <v>0</v>
      </c>
      <c r="K1743" s="3">
        <v>2000</v>
      </c>
    </row>
    <row r="1744" spans="1:11" x14ac:dyDescent="0.2">
      <c r="A1744" s="1" t="s">
        <v>4994</v>
      </c>
      <c r="B1744" s="1" t="s">
        <v>2218</v>
      </c>
      <c r="C1744" s="1"/>
      <c r="D1744" s="1"/>
      <c r="E1744" s="1"/>
      <c r="F1744" s="1"/>
      <c r="G1744" s="1"/>
      <c r="H1744" s="1" t="str">
        <f>"7804650882749"</f>
        <v>7804650882749</v>
      </c>
      <c r="I1744" s="3">
        <v>0</v>
      </c>
      <c r="J1744" s="3">
        <v>0</v>
      </c>
      <c r="K1744" s="3">
        <v>4000</v>
      </c>
    </row>
    <row r="1745" spans="1:11" x14ac:dyDescent="0.2">
      <c r="A1745" s="1" t="s">
        <v>4994</v>
      </c>
      <c r="B1745" s="1" t="s">
        <v>2219</v>
      </c>
      <c r="C1745" s="1"/>
      <c r="D1745" s="1"/>
      <c r="E1745" s="1"/>
      <c r="F1745" s="1"/>
      <c r="G1745" s="1"/>
      <c r="H1745" s="1" t="str">
        <f>"7804907970670"</f>
        <v>7804907970670</v>
      </c>
      <c r="I1745" s="3">
        <v>0</v>
      </c>
      <c r="J1745" s="3">
        <v>0</v>
      </c>
      <c r="K1745" s="3">
        <v>4000</v>
      </c>
    </row>
    <row r="1746" spans="1:11" x14ac:dyDescent="0.2">
      <c r="A1746" s="1" t="s">
        <v>4994</v>
      </c>
      <c r="B1746" s="1" t="s">
        <v>2220</v>
      </c>
      <c r="C1746" s="1"/>
      <c r="D1746" s="1"/>
      <c r="E1746" s="1"/>
      <c r="F1746" s="1"/>
      <c r="G1746" s="1"/>
      <c r="H1746" s="1" t="str">
        <f>"7708428736763"</f>
        <v>7708428736763</v>
      </c>
      <c r="I1746" s="3">
        <v>0</v>
      </c>
      <c r="J1746" s="3">
        <v>0</v>
      </c>
      <c r="K1746" s="3">
        <v>2500</v>
      </c>
    </row>
    <row r="1747" spans="1:11" x14ac:dyDescent="0.2">
      <c r="A1747" s="1" t="s">
        <v>4994</v>
      </c>
      <c r="B1747" s="1" t="s">
        <v>2221</v>
      </c>
      <c r="C1747" s="1"/>
      <c r="D1747" s="1"/>
      <c r="E1747" s="1"/>
      <c r="F1747" s="1"/>
      <c r="G1747" s="1"/>
      <c r="H1747" s="1" t="str">
        <f>"5425035663122"</f>
        <v>5425035663122</v>
      </c>
      <c r="I1747" s="3">
        <v>4</v>
      </c>
      <c r="J1747" s="3">
        <v>0</v>
      </c>
      <c r="K1747" s="3">
        <v>30000</v>
      </c>
    </row>
    <row r="1748" spans="1:11" x14ac:dyDescent="0.2">
      <c r="A1748" s="1" t="s">
        <v>4994</v>
      </c>
      <c r="B1748" s="1" t="s">
        <v>2222</v>
      </c>
      <c r="C1748" s="1"/>
      <c r="D1748" s="1"/>
      <c r="E1748" s="1"/>
      <c r="F1748" s="1"/>
      <c r="G1748" s="1"/>
      <c r="H1748" s="1" t="str">
        <f>"5425035664037"</f>
        <v>5425035664037</v>
      </c>
      <c r="I1748" s="3">
        <v>1</v>
      </c>
      <c r="J1748" s="3">
        <v>0</v>
      </c>
      <c r="K1748" s="3">
        <v>29000</v>
      </c>
    </row>
    <row r="1749" spans="1:11" x14ac:dyDescent="0.2">
      <c r="A1749" s="1" t="s">
        <v>4994</v>
      </c>
      <c r="B1749" s="1" t="s">
        <v>2223</v>
      </c>
      <c r="C1749" s="1"/>
      <c r="D1749" s="1"/>
      <c r="E1749" s="1"/>
      <c r="F1749" s="1"/>
      <c r="G1749" s="1"/>
      <c r="H1749" s="1" t="str">
        <f>"2000221100075"</f>
        <v>2000221100075</v>
      </c>
      <c r="I1749" s="3">
        <v>0</v>
      </c>
      <c r="J1749" s="3">
        <v>0</v>
      </c>
      <c r="K1749" s="3">
        <v>2500</v>
      </c>
    </row>
    <row r="1750" spans="1:11" x14ac:dyDescent="0.2">
      <c r="A1750" s="1" t="s">
        <v>4994</v>
      </c>
      <c r="B1750" s="1" t="s">
        <v>2224</v>
      </c>
      <c r="C1750" s="1"/>
      <c r="D1750" s="1"/>
      <c r="E1750" s="1"/>
      <c r="F1750" s="1"/>
      <c r="G1750" s="1"/>
      <c r="H1750" s="1" t="str">
        <f>"2000221100464"</f>
        <v>2000221100464</v>
      </c>
      <c r="I1750" s="3">
        <v>0</v>
      </c>
      <c r="J1750" s="3">
        <v>0</v>
      </c>
      <c r="K1750" s="3">
        <v>3500</v>
      </c>
    </row>
    <row r="1751" spans="1:11" x14ac:dyDescent="0.2">
      <c r="A1751" s="1" t="s">
        <v>4994</v>
      </c>
      <c r="B1751" s="1" t="s">
        <v>2225</v>
      </c>
      <c r="C1751" s="1"/>
      <c r="D1751" s="1"/>
      <c r="E1751" s="1"/>
      <c r="F1751" s="1"/>
      <c r="G1751" s="1"/>
      <c r="H1751" s="1" t="str">
        <f>"2000221100013"</f>
        <v>2000221100013</v>
      </c>
      <c r="I1751" s="3">
        <v>0</v>
      </c>
      <c r="J1751" s="3">
        <v>0</v>
      </c>
      <c r="K1751" s="3">
        <v>3000</v>
      </c>
    </row>
    <row r="1752" spans="1:11" x14ac:dyDescent="0.2">
      <c r="A1752" s="1" t="s">
        <v>4994</v>
      </c>
      <c r="B1752" s="1" t="s">
        <v>2226</v>
      </c>
      <c r="C1752" s="1"/>
      <c r="D1752" s="1"/>
      <c r="E1752" s="1"/>
      <c r="F1752" s="1"/>
      <c r="G1752" s="1"/>
      <c r="H1752" s="1" t="str">
        <f>"2000221201048"</f>
        <v>2000221201048</v>
      </c>
      <c r="I1752" s="3">
        <v>0</v>
      </c>
      <c r="J1752" s="3">
        <v>0</v>
      </c>
      <c r="K1752" s="3">
        <v>2500</v>
      </c>
    </row>
    <row r="1753" spans="1:11" x14ac:dyDescent="0.2">
      <c r="A1753" s="1" t="s">
        <v>4994</v>
      </c>
      <c r="B1753" s="1" t="s">
        <v>2227</v>
      </c>
      <c r="C1753" s="1"/>
      <c r="D1753" s="1"/>
      <c r="E1753" s="1"/>
      <c r="F1753" s="1"/>
      <c r="G1753" s="1"/>
      <c r="H1753" s="1" t="str">
        <f>"2000221201055"</f>
        <v>2000221201055</v>
      </c>
      <c r="I1753" s="3">
        <v>0</v>
      </c>
      <c r="J1753" s="3">
        <v>0</v>
      </c>
      <c r="K1753" s="3">
        <v>3000</v>
      </c>
    </row>
    <row r="1754" spans="1:11" x14ac:dyDescent="0.2">
      <c r="A1754" s="1" t="s">
        <v>4994</v>
      </c>
      <c r="B1754" s="1" t="s">
        <v>2228</v>
      </c>
      <c r="C1754" s="1"/>
      <c r="D1754" s="1"/>
      <c r="E1754" s="1"/>
      <c r="F1754" s="1"/>
      <c r="G1754" s="1"/>
      <c r="H1754" s="1" t="str">
        <f>"2000221201086"</f>
        <v>2000221201086</v>
      </c>
      <c r="I1754" s="3">
        <v>0</v>
      </c>
      <c r="J1754" s="3">
        <v>0</v>
      </c>
      <c r="K1754" s="3">
        <v>2800</v>
      </c>
    </row>
    <row r="1755" spans="1:11" x14ac:dyDescent="0.2">
      <c r="A1755" s="1" t="s">
        <v>4994</v>
      </c>
      <c r="B1755" s="1" t="s">
        <v>2229</v>
      </c>
      <c r="C1755" s="1"/>
      <c r="D1755" s="1"/>
      <c r="E1755" s="1"/>
      <c r="F1755" s="1"/>
      <c r="G1755" s="1"/>
      <c r="H1755" s="1" t="str">
        <f>"2000221100112"</f>
        <v>2000221100112</v>
      </c>
      <c r="I1755" s="3">
        <v>0</v>
      </c>
      <c r="J1755" s="3">
        <v>0</v>
      </c>
      <c r="K1755" s="3">
        <v>2500</v>
      </c>
    </row>
    <row r="1756" spans="1:11" x14ac:dyDescent="0.2">
      <c r="A1756" s="1" t="s">
        <v>4994</v>
      </c>
      <c r="B1756" s="1" t="s">
        <v>2230</v>
      </c>
      <c r="C1756" s="1"/>
      <c r="D1756" s="1"/>
      <c r="E1756" s="1"/>
      <c r="F1756" s="1"/>
      <c r="G1756" s="1"/>
      <c r="H1756" s="1" t="str">
        <f>"2000221201284"</f>
        <v>2000221201284</v>
      </c>
      <c r="I1756" s="3">
        <v>0</v>
      </c>
      <c r="J1756" s="3">
        <v>0</v>
      </c>
      <c r="K1756" s="3">
        <v>2500</v>
      </c>
    </row>
    <row r="1757" spans="1:11" x14ac:dyDescent="0.2">
      <c r="A1757" s="1" t="s">
        <v>4994</v>
      </c>
      <c r="B1757" s="1" t="s">
        <v>2231</v>
      </c>
      <c r="C1757" s="1"/>
      <c r="D1757" s="1"/>
      <c r="E1757" s="1"/>
      <c r="F1757" s="1"/>
      <c r="G1757" s="1"/>
      <c r="H1757" s="1" t="str">
        <f>"2000221201291"</f>
        <v>2000221201291</v>
      </c>
      <c r="I1757" s="3">
        <v>0</v>
      </c>
      <c r="J1757" s="3">
        <v>0</v>
      </c>
      <c r="K1757" s="3">
        <v>2500</v>
      </c>
    </row>
    <row r="1758" spans="1:11" x14ac:dyDescent="0.2">
      <c r="A1758" s="1" t="s">
        <v>4994</v>
      </c>
      <c r="B1758" s="1" t="s">
        <v>2232</v>
      </c>
      <c r="C1758" s="1"/>
      <c r="D1758" s="1"/>
      <c r="E1758" s="1"/>
      <c r="F1758" s="1"/>
      <c r="G1758" s="1"/>
      <c r="H1758" s="1" t="str">
        <f>"2000221100136"</f>
        <v>2000221100136</v>
      </c>
      <c r="I1758" s="3">
        <v>0</v>
      </c>
      <c r="J1758" s="3">
        <v>0</v>
      </c>
      <c r="K1758" s="3">
        <v>3000</v>
      </c>
    </row>
    <row r="1759" spans="1:11" x14ac:dyDescent="0.2">
      <c r="A1759" s="1" t="s">
        <v>4994</v>
      </c>
      <c r="B1759" s="1" t="s">
        <v>2233</v>
      </c>
      <c r="C1759" s="1"/>
      <c r="D1759" s="1"/>
      <c r="E1759" s="1"/>
      <c r="F1759" s="1"/>
      <c r="G1759" s="1"/>
      <c r="H1759" s="1" t="str">
        <f>"2000221201307"</f>
        <v>2000221201307</v>
      </c>
      <c r="I1759" s="3">
        <v>0</v>
      </c>
      <c r="J1759" s="3">
        <v>0</v>
      </c>
      <c r="K1759" s="3">
        <v>2500</v>
      </c>
    </row>
    <row r="1760" spans="1:11" x14ac:dyDescent="0.2">
      <c r="A1760" s="1" t="s">
        <v>4994</v>
      </c>
      <c r="B1760" s="1" t="s">
        <v>2234</v>
      </c>
      <c r="C1760" s="1"/>
      <c r="D1760" s="1"/>
      <c r="E1760" s="1"/>
      <c r="F1760" s="1"/>
      <c r="G1760" s="1"/>
      <c r="H1760" s="1" t="str">
        <f>"2000221100143"</f>
        <v>2000221100143</v>
      </c>
      <c r="I1760" s="3">
        <v>0</v>
      </c>
      <c r="J1760" s="3">
        <v>0</v>
      </c>
      <c r="K1760" s="3">
        <v>3000</v>
      </c>
    </row>
    <row r="1761" spans="1:11" x14ac:dyDescent="0.2">
      <c r="A1761" s="1" t="s">
        <v>4994</v>
      </c>
      <c r="B1761" s="1" t="s">
        <v>2235</v>
      </c>
      <c r="C1761" s="1"/>
      <c r="D1761" s="1"/>
      <c r="E1761" s="1"/>
      <c r="F1761" s="1"/>
      <c r="G1761" s="1"/>
      <c r="H1761" s="1" t="str">
        <f>"2000221201468"</f>
        <v>2000221201468</v>
      </c>
      <c r="I1761" s="3">
        <v>0</v>
      </c>
      <c r="J1761" s="3">
        <v>0</v>
      </c>
      <c r="K1761" s="3">
        <v>2500</v>
      </c>
    </row>
    <row r="1762" spans="1:11" x14ac:dyDescent="0.2">
      <c r="A1762" s="1" t="s">
        <v>4994</v>
      </c>
      <c r="B1762" s="1" t="s">
        <v>2236</v>
      </c>
      <c r="C1762" s="1"/>
      <c r="D1762" s="1"/>
      <c r="E1762" s="1"/>
      <c r="F1762" s="1"/>
      <c r="G1762" s="1"/>
      <c r="H1762" s="1" t="str">
        <f>"2000221100150"</f>
        <v>2000221100150</v>
      </c>
      <c r="I1762" s="3">
        <v>0</v>
      </c>
      <c r="J1762" s="3">
        <v>0</v>
      </c>
      <c r="K1762" s="3">
        <v>3000</v>
      </c>
    </row>
    <row r="1763" spans="1:11" x14ac:dyDescent="0.2">
      <c r="A1763" s="1" t="s">
        <v>4994</v>
      </c>
      <c r="B1763" s="1" t="s">
        <v>2237</v>
      </c>
      <c r="C1763" s="1"/>
      <c r="D1763" s="1"/>
      <c r="E1763" s="1"/>
      <c r="F1763" s="1"/>
      <c r="G1763" s="1"/>
      <c r="H1763" s="1" t="str">
        <f>"2000221201512"</f>
        <v>2000221201512</v>
      </c>
      <c r="I1763" s="3">
        <v>0</v>
      </c>
      <c r="J1763" s="3">
        <v>0</v>
      </c>
      <c r="K1763" s="3">
        <v>2500</v>
      </c>
    </row>
    <row r="1764" spans="1:11" x14ac:dyDescent="0.2">
      <c r="A1764" s="1" t="s">
        <v>4994</v>
      </c>
      <c r="B1764" s="1" t="s">
        <v>2238</v>
      </c>
      <c r="C1764" s="1"/>
      <c r="D1764" s="1"/>
      <c r="E1764" s="1"/>
      <c r="F1764" s="1"/>
      <c r="G1764" s="1"/>
      <c r="H1764" s="1" t="str">
        <f>"2000221201529"</f>
        <v>2000221201529</v>
      </c>
      <c r="I1764" s="3">
        <v>0</v>
      </c>
      <c r="J1764" s="3">
        <v>0</v>
      </c>
      <c r="K1764" s="3">
        <v>2500</v>
      </c>
    </row>
    <row r="1765" spans="1:11" x14ac:dyDescent="0.2">
      <c r="A1765" s="1" t="s">
        <v>4994</v>
      </c>
      <c r="B1765" s="1" t="s">
        <v>2239</v>
      </c>
      <c r="C1765" s="1"/>
      <c r="D1765" s="1"/>
      <c r="E1765" s="1"/>
      <c r="F1765" s="1"/>
      <c r="G1765" s="1"/>
      <c r="H1765" s="1" t="str">
        <f>"2000221100181"</f>
        <v>2000221100181</v>
      </c>
      <c r="I1765" s="3">
        <v>0</v>
      </c>
      <c r="J1765" s="3">
        <v>0</v>
      </c>
      <c r="K1765" s="3">
        <v>2800</v>
      </c>
    </row>
    <row r="1766" spans="1:11" x14ac:dyDescent="0.2">
      <c r="A1766" s="1" t="s">
        <v>4994</v>
      </c>
      <c r="B1766" s="1" t="s">
        <v>2240</v>
      </c>
      <c r="C1766" s="1"/>
      <c r="D1766" s="1"/>
      <c r="E1766" s="1"/>
      <c r="F1766" s="1"/>
      <c r="G1766" s="1"/>
      <c r="H1766" s="1" t="str">
        <f>"2000221100020"</f>
        <v>2000221100020</v>
      </c>
      <c r="I1766" s="3">
        <v>0</v>
      </c>
      <c r="J1766" s="3">
        <v>0</v>
      </c>
      <c r="K1766" s="3">
        <v>2500</v>
      </c>
    </row>
    <row r="1767" spans="1:11" x14ac:dyDescent="0.2">
      <c r="A1767" s="1" t="s">
        <v>4994</v>
      </c>
      <c r="B1767" s="1" t="s">
        <v>2241</v>
      </c>
      <c r="C1767" s="1"/>
      <c r="D1767" s="1"/>
      <c r="E1767" s="1"/>
      <c r="F1767" s="1"/>
      <c r="G1767" s="1"/>
      <c r="H1767" s="1" t="str">
        <f>"2000221100211"</f>
        <v>2000221100211</v>
      </c>
      <c r="I1767" s="3">
        <v>0</v>
      </c>
      <c r="J1767" s="3">
        <v>0</v>
      </c>
      <c r="K1767" s="3">
        <v>2500</v>
      </c>
    </row>
    <row r="1768" spans="1:11" x14ac:dyDescent="0.2">
      <c r="A1768" s="1" t="s">
        <v>4994</v>
      </c>
      <c r="B1768" s="1" t="s">
        <v>2242</v>
      </c>
      <c r="C1768" s="1"/>
      <c r="D1768" s="1"/>
      <c r="E1768" s="1"/>
      <c r="F1768" s="1"/>
      <c r="G1768" s="1"/>
      <c r="H1768" s="1" t="str">
        <f>"2000221100259"</f>
        <v>2000221100259</v>
      </c>
      <c r="I1768" s="3">
        <v>10</v>
      </c>
      <c r="J1768" s="3">
        <v>0</v>
      </c>
      <c r="K1768" s="3">
        <v>2500</v>
      </c>
    </row>
    <row r="1769" spans="1:11" x14ac:dyDescent="0.2">
      <c r="A1769" s="1" t="s">
        <v>4994</v>
      </c>
      <c r="B1769" s="1" t="s">
        <v>2243</v>
      </c>
      <c r="C1769" s="1"/>
      <c r="D1769" s="1"/>
      <c r="E1769" s="1"/>
      <c r="F1769" s="1"/>
      <c r="G1769" s="1"/>
      <c r="H1769" s="1" t="str">
        <f>"2000221100266"</f>
        <v>2000221100266</v>
      </c>
      <c r="I1769" s="3">
        <v>0</v>
      </c>
      <c r="J1769" s="3">
        <v>0</v>
      </c>
      <c r="K1769" s="3">
        <v>2500</v>
      </c>
    </row>
    <row r="1770" spans="1:11" x14ac:dyDescent="0.2">
      <c r="A1770" s="1" t="s">
        <v>4994</v>
      </c>
      <c r="B1770" s="1" t="s">
        <v>2244</v>
      </c>
      <c r="C1770" s="1"/>
      <c r="D1770" s="1"/>
      <c r="E1770" s="1"/>
      <c r="F1770" s="1"/>
      <c r="G1770" s="1"/>
      <c r="H1770" s="1" t="str">
        <f>"2000221100280"</f>
        <v>2000221100280</v>
      </c>
      <c r="I1770" s="3">
        <v>0</v>
      </c>
      <c r="J1770" s="3">
        <v>0</v>
      </c>
      <c r="K1770" s="3">
        <v>3000</v>
      </c>
    </row>
    <row r="1771" spans="1:11" x14ac:dyDescent="0.2">
      <c r="A1771" s="1" t="s">
        <v>4994</v>
      </c>
      <c r="B1771" s="1" t="s">
        <v>2245</v>
      </c>
      <c r="C1771" s="1"/>
      <c r="D1771" s="1"/>
      <c r="E1771" s="1"/>
      <c r="F1771" s="1"/>
      <c r="G1771" s="1"/>
      <c r="H1771" s="1" t="str">
        <f>"2000221100297"</f>
        <v>2000221100297</v>
      </c>
      <c r="I1771" s="3">
        <v>0</v>
      </c>
      <c r="J1771" s="3">
        <v>0</v>
      </c>
      <c r="K1771" s="3">
        <v>2800</v>
      </c>
    </row>
    <row r="1772" spans="1:11" x14ac:dyDescent="0.2">
      <c r="A1772" s="1" t="s">
        <v>4994</v>
      </c>
      <c r="B1772" s="1" t="s">
        <v>2246</v>
      </c>
      <c r="C1772" s="1"/>
      <c r="D1772" s="1"/>
      <c r="E1772" s="1"/>
      <c r="F1772" s="1"/>
      <c r="G1772" s="1"/>
      <c r="H1772" s="1" t="str">
        <f>"2000221100037"</f>
        <v>2000221100037</v>
      </c>
      <c r="I1772" s="3">
        <v>0</v>
      </c>
      <c r="J1772" s="3">
        <v>0</v>
      </c>
      <c r="K1772" s="3">
        <v>2500</v>
      </c>
    </row>
    <row r="1773" spans="1:11" x14ac:dyDescent="0.2">
      <c r="A1773" s="1" t="s">
        <v>4994</v>
      </c>
      <c r="B1773" s="1" t="s">
        <v>2247</v>
      </c>
      <c r="C1773" s="1"/>
      <c r="D1773" s="1"/>
      <c r="E1773" s="1"/>
      <c r="F1773" s="1"/>
      <c r="G1773" s="1"/>
      <c r="H1773" s="1" t="str">
        <f>"2000221100303"</f>
        <v>2000221100303</v>
      </c>
      <c r="I1773" s="3">
        <v>7</v>
      </c>
      <c r="J1773" s="3">
        <v>0</v>
      </c>
      <c r="K1773" s="3">
        <v>3000</v>
      </c>
    </row>
    <row r="1774" spans="1:11" x14ac:dyDescent="0.2">
      <c r="A1774" s="1" t="s">
        <v>4994</v>
      </c>
      <c r="B1774" s="1" t="s">
        <v>2248</v>
      </c>
      <c r="C1774" s="1"/>
      <c r="D1774" s="1"/>
      <c r="E1774" s="1"/>
      <c r="F1774" s="1"/>
      <c r="G1774" s="1"/>
      <c r="H1774" s="1" t="str">
        <f>"2000221100334"</f>
        <v>2000221100334</v>
      </c>
      <c r="I1774" s="3">
        <v>0</v>
      </c>
      <c r="J1774" s="3">
        <v>0</v>
      </c>
      <c r="K1774" s="3">
        <v>3000</v>
      </c>
    </row>
    <row r="1775" spans="1:11" x14ac:dyDescent="0.2">
      <c r="A1775" s="1" t="s">
        <v>4994</v>
      </c>
      <c r="B1775" s="1" t="s">
        <v>2249</v>
      </c>
      <c r="C1775" s="1"/>
      <c r="D1775" s="1"/>
      <c r="E1775" s="1"/>
      <c r="F1775" s="1"/>
      <c r="G1775" s="1"/>
      <c r="H1775" s="1" t="str">
        <f>"2000221100044"</f>
        <v>2000221100044</v>
      </c>
      <c r="I1775" s="3">
        <v>0</v>
      </c>
      <c r="J1775" s="3">
        <v>0</v>
      </c>
      <c r="K1775" s="3">
        <v>2500</v>
      </c>
    </row>
    <row r="1776" spans="1:11" x14ac:dyDescent="0.2">
      <c r="A1776" s="1" t="s">
        <v>4994</v>
      </c>
      <c r="B1776" s="1" t="s">
        <v>2250</v>
      </c>
      <c r="C1776" s="1"/>
      <c r="D1776" s="1"/>
      <c r="E1776" s="1"/>
      <c r="F1776" s="1"/>
      <c r="G1776" s="1"/>
      <c r="H1776" s="1" t="str">
        <f>"2000221100051"</f>
        <v>2000221100051</v>
      </c>
      <c r="I1776" s="3">
        <v>0</v>
      </c>
      <c r="J1776" s="3">
        <v>0</v>
      </c>
      <c r="K1776" s="3">
        <v>2500</v>
      </c>
    </row>
    <row r="1777" spans="1:11" x14ac:dyDescent="0.2">
      <c r="A1777" s="1" t="s">
        <v>4994</v>
      </c>
      <c r="B1777" s="1" t="s">
        <v>2251</v>
      </c>
      <c r="C1777" s="1"/>
      <c r="D1777" s="1"/>
      <c r="E1777" s="1"/>
      <c r="F1777" s="1"/>
      <c r="G1777" s="1"/>
      <c r="H1777" s="1" t="str">
        <f>"2000221100501"</f>
        <v>2000221100501</v>
      </c>
      <c r="I1777" s="3">
        <v>0</v>
      </c>
      <c r="J1777" s="3">
        <v>0</v>
      </c>
      <c r="K1777" s="3">
        <v>2800</v>
      </c>
    </row>
    <row r="1778" spans="1:11" x14ac:dyDescent="0.2">
      <c r="A1778" s="1" t="s">
        <v>4994</v>
      </c>
      <c r="B1778" s="1" t="s">
        <v>2252</v>
      </c>
      <c r="C1778" s="1"/>
      <c r="D1778" s="1"/>
      <c r="E1778" s="1"/>
      <c r="F1778" s="1"/>
      <c r="G1778" s="1"/>
      <c r="H1778" s="1" t="str">
        <f>"2000221100518"</f>
        <v>2000221100518</v>
      </c>
      <c r="I1778" s="3">
        <v>0</v>
      </c>
      <c r="J1778" s="3">
        <v>0</v>
      </c>
      <c r="K1778" s="3">
        <v>2500</v>
      </c>
    </row>
    <row r="1779" spans="1:11" x14ac:dyDescent="0.2">
      <c r="A1779" s="1" t="s">
        <v>4994</v>
      </c>
      <c r="B1779" s="1" t="s">
        <v>2253</v>
      </c>
      <c r="C1779" s="1"/>
      <c r="D1779" s="1"/>
      <c r="E1779" s="1"/>
      <c r="F1779" s="1"/>
      <c r="G1779" s="1"/>
      <c r="H1779" s="1" t="str">
        <f>"2000221100549"</f>
        <v>2000221100549</v>
      </c>
      <c r="I1779" s="3">
        <v>0</v>
      </c>
      <c r="J1779" s="3">
        <v>0</v>
      </c>
      <c r="K1779" s="3">
        <v>3000</v>
      </c>
    </row>
    <row r="1780" spans="1:11" x14ac:dyDescent="0.2">
      <c r="A1780" s="1" t="s">
        <v>4994</v>
      </c>
      <c r="B1780" s="1" t="s">
        <v>2254</v>
      </c>
      <c r="C1780" s="1"/>
      <c r="D1780" s="1"/>
      <c r="E1780" s="1"/>
      <c r="F1780" s="1"/>
      <c r="G1780" s="1"/>
      <c r="H1780" s="1" t="str">
        <f>"2000221100068"</f>
        <v>2000221100068</v>
      </c>
      <c r="I1780" s="3">
        <v>0</v>
      </c>
      <c r="J1780" s="3">
        <v>0</v>
      </c>
      <c r="K1780" s="3">
        <v>2500</v>
      </c>
    </row>
    <row r="1781" spans="1:11" x14ac:dyDescent="0.2">
      <c r="A1781" s="1" t="s">
        <v>4994</v>
      </c>
      <c r="B1781" s="1" t="s">
        <v>2255</v>
      </c>
      <c r="C1781" s="1"/>
      <c r="D1781" s="1"/>
      <c r="E1781" s="1"/>
      <c r="F1781" s="1"/>
      <c r="G1781" s="1"/>
      <c r="H1781" s="1" t="str">
        <f>"2000221100082"</f>
        <v>2000221100082</v>
      </c>
      <c r="I1781" s="3">
        <v>0</v>
      </c>
      <c r="J1781" s="3">
        <v>0</v>
      </c>
      <c r="K1781" s="3">
        <v>2500</v>
      </c>
    </row>
    <row r="1782" spans="1:11" x14ac:dyDescent="0.2">
      <c r="A1782" s="1" t="s">
        <v>4994</v>
      </c>
      <c r="B1782" s="1" t="s">
        <v>2256</v>
      </c>
      <c r="C1782" s="1"/>
      <c r="D1782" s="1"/>
      <c r="E1782" s="1"/>
      <c r="F1782" s="1"/>
      <c r="G1782" s="1"/>
      <c r="H1782" s="1" t="str">
        <f>"2000221100099"</f>
        <v>2000221100099</v>
      </c>
      <c r="I1782" s="3">
        <v>0</v>
      </c>
      <c r="J1782" s="3">
        <v>0</v>
      </c>
      <c r="K1782" s="3">
        <v>2500</v>
      </c>
    </row>
    <row r="1783" spans="1:11" x14ac:dyDescent="0.2">
      <c r="A1783" s="1" t="s">
        <v>4994</v>
      </c>
      <c r="B1783" s="1" t="s">
        <v>2257</v>
      </c>
      <c r="C1783" s="1"/>
      <c r="D1783" s="1"/>
      <c r="E1783" s="1"/>
      <c r="F1783" s="1"/>
      <c r="G1783" s="1"/>
      <c r="H1783" s="1" t="str">
        <f>"2000220417433"</f>
        <v>2000220417433</v>
      </c>
      <c r="I1783" s="3">
        <v>0</v>
      </c>
      <c r="J1783" s="3">
        <v>0</v>
      </c>
      <c r="K1783" s="3">
        <v>2500</v>
      </c>
    </row>
    <row r="1784" spans="1:11" x14ac:dyDescent="0.2">
      <c r="A1784" s="1" t="s">
        <v>4994</v>
      </c>
      <c r="B1784" s="1" t="s">
        <v>2258</v>
      </c>
      <c r="C1784" s="1"/>
      <c r="D1784" s="1"/>
      <c r="E1784" s="1"/>
      <c r="F1784" s="1"/>
      <c r="G1784" s="1"/>
      <c r="H1784" s="1" t="str">
        <f>"2000220318341"</f>
        <v>2000220318341</v>
      </c>
      <c r="I1784" s="3">
        <v>0</v>
      </c>
      <c r="J1784" s="3">
        <v>0</v>
      </c>
      <c r="K1784" s="3">
        <v>2000</v>
      </c>
    </row>
    <row r="1785" spans="1:11" x14ac:dyDescent="0.2">
      <c r="A1785" s="1" t="s">
        <v>4994</v>
      </c>
      <c r="B1785" s="1" t="s">
        <v>2259</v>
      </c>
      <c r="C1785" s="1"/>
      <c r="D1785" s="1"/>
      <c r="E1785" s="1"/>
      <c r="F1785" s="1"/>
      <c r="G1785" s="1"/>
      <c r="H1785" s="1" t="str">
        <f>"8886451008978"</f>
        <v>8886451008978</v>
      </c>
      <c r="I1785" s="3">
        <v>18</v>
      </c>
      <c r="J1785" s="3">
        <v>0</v>
      </c>
      <c r="K1785" s="3">
        <v>28000</v>
      </c>
    </row>
    <row r="1786" spans="1:11" x14ac:dyDescent="0.2">
      <c r="A1786" s="1" t="s">
        <v>4994</v>
      </c>
      <c r="B1786" s="1" t="s">
        <v>2262</v>
      </c>
      <c r="C1786" s="1"/>
      <c r="D1786" s="1"/>
      <c r="E1786" s="1"/>
      <c r="F1786" s="1"/>
      <c r="G1786" s="1"/>
      <c r="H1786" s="1" t="str">
        <f>"7800062001884"</f>
        <v>7800062001884</v>
      </c>
      <c r="I1786" s="3">
        <v>1</v>
      </c>
      <c r="J1786" s="3">
        <v>0</v>
      </c>
      <c r="K1786" s="3">
        <v>2000</v>
      </c>
    </row>
    <row r="1787" spans="1:11" x14ac:dyDescent="0.2">
      <c r="A1787" s="1" t="s">
        <v>4994</v>
      </c>
      <c r="B1787" s="1" t="s">
        <v>2263</v>
      </c>
      <c r="C1787" s="1"/>
      <c r="D1787" s="1"/>
      <c r="E1787" s="1"/>
      <c r="F1787" s="1"/>
      <c r="G1787" s="1"/>
      <c r="H1787" s="1" t="str">
        <f>"7800070004341"</f>
        <v>7800070004341</v>
      </c>
      <c r="I1787" s="3">
        <v>2</v>
      </c>
      <c r="J1787" s="3">
        <v>0</v>
      </c>
      <c r="K1787" s="3">
        <v>25800</v>
      </c>
    </row>
    <row r="1788" spans="1:11" x14ac:dyDescent="0.2">
      <c r="A1788" s="1" t="s">
        <v>4994</v>
      </c>
      <c r="B1788" s="1" t="s">
        <v>2265</v>
      </c>
      <c r="C1788" s="1"/>
      <c r="D1788" s="1"/>
      <c r="E1788" s="1"/>
      <c r="F1788" s="1"/>
      <c r="G1788" s="1"/>
      <c r="H1788" s="1" t="str">
        <f>"3596540060156"</f>
        <v>3596540060156</v>
      </c>
      <c r="I1788" s="3">
        <v>0</v>
      </c>
      <c r="J1788" s="3">
        <v>0</v>
      </c>
      <c r="K1788" s="3">
        <v>11000</v>
      </c>
    </row>
    <row r="1789" spans="1:11" x14ac:dyDescent="0.2">
      <c r="A1789" s="1" t="s">
        <v>4994</v>
      </c>
      <c r="B1789" s="1" t="s">
        <v>2267</v>
      </c>
      <c r="C1789" s="1"/>
      <c r="D1789" s="1"/>
      <c r="E1789" s="1"/>
      <c r="F1789" s="1"/>
      <c r="G1789" s="1"/>
      <c r="H1789" s="1" t="str">
        <f>"7804606510221"</f>
        <v>7804606510221</v>
      </c>
      <c r="I1789" s="3">
        <v>0</v>
      </c>
      <c r="J1789" s="3">
        <v>0</v>
      </c>
      <c r="K1789" s="3">
        <v>8000</v>
      </c>
    </row>
    <row r="1790" spans="1:11" x14ac:dyDescent="0.2">
      <c r="A1790" s="1" t="s">
        <v>4994</v>
      </c>
      <c r="B1790" s="1" t="s">
        <v>2268</v>
      </c>
      <c r="C1790" s="1"/>
      <c r="D1790" s="1"/>
      <c r="E1790" s="1"/>
      <c r="F1790" s="1"/>
      <c r="G1790" s="1"/>
      <c r="H1790" s="1" t="str">
        <f>"7804651938711"</f>
        <v>7804651938711</v>
      </c>
      <c r="I1790" s="3">
        <v>0</v>
      </c>
      <c r="J1790" s="3">
        <v>0</v>
      </c>
      <c r="K1790" s="3">
        <v>11500</v>
      </c>
    </row>
    <row r="1791" spans="1:11" x14ac:dyDescent="0.2">
      <c r="A1791" s="1" t="s">
        <v>4994</v>
      </c>
      <c r="B1791" s="1" t="s">
        <v>2272</v>
      </c>
      <c r="C1791" s="1"/>
      <c r="D1791" s="1"/>
      <c r="E1791" s="1"/>
      <c r="F1791" s="1"/>
      <c r="G1791" s="1"/>
      <c r="H1791" s="1" t="str">
        <f>"7805357001969"</f>
        <v>7805357001969</v>
      </c>
      <c r="I1791" s="3">
        <v>0</v>
      </c>
      <c r="J1791" s="3">
        <v>0</v>
      </c>
      <c r="K1791" s="3">
        <v>1000</v>
      </c>
    </row>
    <row r="1792" spans="1:11" x14ac:dyDescent="0.2">
      <c r="A1792" s="1" t="s">
        <v>4994</v>
      </c>
      <c r="B1792" s="1" t="s">
        <v>2273</v>
      </c>
      <c r="C1792" s="1"/>
      <c r="D1792" s="1"/>
      <c r="E1792" s="1"/>
      <c r="F1792" s="1"/>
      <c r="G1792" s="1"/>
      <c r="H1792" s="1" t="str">
        <f>"7501438311742"</f>
        <v>7501438311742</v>
      </c>
      <c r="I1792" s="3">
        <v>9</v>
      </c>
      <c r="J1792" s="3">
        <v>0</v>
      </c>
      <c r="K1792" s="3">
        <v>5000</v>
      </c>
    </row>
    <row r="1793" spans="1:11" x14ac:dyDescent="0.2">
      <c r="A1793" s="1" t="s">
        <v>4994</v>
      </c>
      <c r="B1793" s="1" t="s">
        <v>2274</v>
      </c>
      <c r="C1793" s="1"/>
      <c r="D1793" s="1"/>
      <c r="E1793" s="1"/>
      <c r="F1793" s="1"/>
      <c r="G1793" s="1"/>
      <c r="H1793" s="1" t="str">
        <f>"7501438311124"</f>
        <v>7501438311124</v>
      </c>
      <c r="I1793" s="3">
        <v>10</v>
      </c>
      <c r="J1793" s="3">
        <v>0</v>
      </c>
      <c r="K1793" s="3">
        <v>5000</v>
      </c>
    </row>
    <row r="1794" spans="1:11" x14ac:dyDescent="0.2">
      <c r="A1794" s="1" t="s">
        <v>4994</v>
      </c>
      <c r="B1794" s="1" t="s">
        <v>2275</v>
      </c>
      <c r="C1794" s="1"/>
      <c r="D1794" s="1"/>
      <c r="E1794" s="1"/>
      <c r="F1794" s="1"/>
      <c r="G1794" s="1"/>
      <c r="H1794" s="1" t="str">
        <f>"7501438311872"</f>
        <v>7501438311872</v>
      </c>
      <c r="I1794" s="3">
        <v>4</v>
      </c>
      <c r="J1794" s="3">
        <v>0</v>
      </c>
      <c r="K1794" s="3">
        <v>5000</v>
      </c>
    </row>
    <row r="1795" spans="1:11" x14ac:dyDescent="0.2">
      <c r="A1795" s="1" t="s">
        <v>4994</v>
      </c>
      <c r="B1795" s="1" t="s">
        <v>2276</v>
      </c>
      <c r="C1795" s="1"/>
      <c r="D1795" s="1"/>
      <c r="E1795" s="1"/>
      <c r="F1795" s="1"/>
      <c r="G1795" s="1"/>
      <c r="H1795" s="1" t="str">
        <f>"7501199428024"</f>
        <v>7501199428024</v>
      </c>
      <c r="I1795" s="3">
        <v>1</v>
      </c>
      <c r="J1795" s="3">
        <v>0</v>
      </c>
      <c r="K1795" s="3">
        <v>4000</v>
      </c>
    </row>
    <row r="1796" spans="1:11" x14ac:dyDescent="0.2">
      <c r="A1796" s="1" t="s">
        <v>4994</v>
      </c>
      <c r="B1796" s="1" t="s">
        <v>2277</v>
      </c>
      <c r="C1796" s="1"/>
      <c r="D1796" s="1"/>
      <c r="E1796" s="1"/>
      <c r="F1796" s="1"/>
      <c r="G1796" s="1"/>
      <c r="H1796" s="1" t="str">
        <f>"7501438301897"</f>
        <v>7501438301897</v>
      </c>
      <c r="I1796" s="3">
        <v>3</v>
      </c>
      <c r="J1796" s="3">
        <v>0</v>
      </c>
      <c r="K1796" s="3">
        <v>5000</v>
      </c>
    </row>
    <row r="1797" spans="1:11" x14ac:dyDescent="0.2">
      <c r="A1797" s="1" t="s">
        <v>4994</v>
      </c>
      <c r="B1797" s="1" t="s">
        <v>2278</v>
      </c>
      <c r="C1797" s="1"/>
      <c r="D1797" s="1"/>
      <c r="E1797" s="1"/>
      <c r="F1797" s="1"/>
      <c r="G1797" s="1"/>
      <c r="H1797" s="1" t="str">
        <f>"65675182"</f>
        <v>65675182</v>
      </c>
      <c r="I1797" s="3">
        <v>6</v>
      </c>
      <c r="J1797" s="3">
        <v>0</v>
      </c>
      <c r="K1797" s="3">
        <v>6500</v>
      </c>
    </row>
    <row r="1798" spans="1:11" x14ac:dyDescent="0.2">
      <c r="A1798" s="1" t="s">
        <v>4994</v>
      </c>
      <c r="B1798" s="1" t="s">
        <v>2279</v>
      </c>
      <c r="C1798" s="1"/>
      <c r="D1798" s="1"/>
      <c r="E1798" s="1"/>
      <c r="F1798" s="1"/>
      <c r="G1798" s="1"/>
      <c r="H1798" s="1" t="str">
        <f>"7804969800656"</f>
        <v>7804969800656</v>
      </c>
      <c r="I1798" s="3">
        <v>0</v>
      </c>
      <c r="J1798" s="3">
        <v>0</v>
      </c>
      <c r="K1798" s="3">
        <v>3000</v>
      </c>
    </row>
    <row r="1799" spans="1:11" x14ac:dyDescent="0.2">
      <c r="A1799" s="1" t="s">
        <v>4994</v>
      </c>
      <c r="B1799" s="1" t="s">
        <v>2280</v>
      </c>
      <c r="C1799" s="1"/>
      <c r="D1799" s="1"/>
      <c r="E1799" s="1"/>
      <c r="F1799" s="1"/>
      <c r="G1799" s="1"/>
      <c r="H1799" s="1" t="str">
        <f>"65675380"</f>
        <v>65675380</v>
      </c>
      <c r="I1799" s="3">
        <v>0</v>
      </c>
      <c r="J1799" s="3">
        <v>0</v>
      </c>
      <c r="K1799" s="3">
        <v>1000</v>
      </c>
    </row>
    <row r="1800" spans="1:11" x14ac:dyDescent="0.2">
      <c r="A1800" s="1" t="s">
        <v>4994</v>
      </c>
      <c r="B1800" s="1" t="s">
        <v>2281</v>
      </c>
      <c r="C1800" s="1"/>
      <c r="D1800" s="1"/>
      <c r="E1800" s="1"/>
      <c r="F1800" s="1"/>
      <c r="G1800" s="1"/>
      <c r="H1800" s="1" t="str">
        <f>"8410225555407"</f>
        <v>8410225555407</v>
      </c>
      <c r="I1800" s="3">
        <v>0</v>
      </c>
      <c r="J1800" s="3">
        <v>0</v>
      </c>
      <c r="K1800" s="3">
        <v>14000</v>
      </c>
    </row>
    <row r="1801" spans="1:11" x14ac:dyDescent="0.2">
      <c r="A1801" s="1" t="s">
        <v>4994</v>
      </c>
      <c r="B1801" s="1" t="s">
        <v>2282</v>
      </c>
      <c r="C1801" s="1"/>
      <c r="D1801" s="1"/>
      <c r="E1801" s="1"/>
      <c r="F1801" s="1"/>
      <c r="G1801" s="1"/>
      <c r="H1801" s="1" t="str">
        <f>"310119052136"</f>
        <v>310119052136</v>
      </c>
      <c r="I1801" s="3">
        <v>0</v>
      </c>
      <c r="J1801" s="3">
        <v>0</v>
      </c>
      <c r="K1801" s="3">
        <v>4500</v>
      </c>
    </row>
    <row r="1802" spans="1:11" x14ac:dyDescent="0.2">
      <c r="A1802" s="1" t="s">
        <v>4994</v>
      </c>
      <c r="B1802" s="1" t="s">
        <v>2283</v>
      </c>
      <c r="C1802" s="1"/>
      <c r="D1802" s="1"/>
      <c r="E1802" s="1"/>
      <c r="F1802" s="1"/>
      <c r="G1802" s="1"/>
      <c r="H1802" s="1" t="str">
        <f>"7730979095556"</f>
        <v>7730979095556</v>
      </c>
      <c r="I1802" s="3">
        <v>4</v>
      </c>
      <c r="J1802" s="3">
        <v>0</v>
      </c>
      <c r="K1802" s="3">
        <v>31000</v>
      </c>
    </row>
    <row r="1803" spans="1:11" x14ac:dyDescent="0.2">
      <c r="A1803" s="1" t="s">
        <v>4994</v>
      </c>
      <c r="B1803" s="1" t="s">
        <v>2284</v>
      </c>
      <c r="C1803" s="1"/>
      <c r="D1803" s="1"/>
      <c r="E1803" s="1"/>
      <c r="F1803" s="1"/>
      <c r="G1803" s="1"/>
      <c r="H1803" s="1" t="str">
        <f>"7730979099493"</f>
        <v>7730979099493</v>
      </c>
      <c r="I1803" s="3">
        <v>0</v>
      </c>
      <c r="J1803" s="3">
        <v>0</v>
      </c>
      <c r="K1803" s="3">
        <v>16000</v>
      </c>
    </row>
    <row r="1804" spans="1:11" x14ac:dyDescent="0.2">
      <c r="A1804" s="1" t="s">
        <v>4994</v>
      </c>
      <c r="B1804" s="1" t="s">
        <v>2285</v>
      </c>
      <c r="C1804" s="1"/>
      <c r="D1804" s="1"/>
      <c r="E1804" s="1"/>
      <c r="F1804" s="1"/>
      <c r="G1804" s="1"/>
      <c r="H1804" s="1" t="str">
        <f>"2000341103338"</f>
        <v>2000341103338</v>
      </c>
      <c r="I1804" s="3">
        <v>0</v>
      </c>
      <c r="J1804" s="3">
        <v>0</v>
      </c>
      <c r="K1804" s="3">
        <v>5000</v>
      </c>
    </row>
    <row r="1805" spans="1:11" x14ac:dyDescent="0.2">
      <c r="A1805" s="1" t="s">
        <v>4994</v>
      </c>
      <c r="B1805" s="1" t="s">
        <v>2286</v>
      </c>
      <c r="C1805" s="1"/>
      <c r="D1805" s="1"/>
      <c r="E1805" s="1"/>
      <c r="F1805" s="1"/>
      <c r="G1805" s="1"/>
      <c r="H1805" s="1" t="str">
        <f>"2030750017438"</f>
        <v>2030750017438</v>
      </c>
      <c r="I1805" s="3">
        <v>0</v>
      </c>
      <c r="J1805" s="3">
        <v>0</v>
      </c>
      <c r="K1805" s="3">
        <v>5000</v>
      </c>
    </row>
    <row r="1806" spans="1:11" x14ac:dyDescent="0.2">
      <c r="A1806" s="1" t="s">
        <v>4994</v>
      </c>
      <c r="B1806" s="1" t="s">
        <v>2289</v>
      </c>
      <c r="C1806" s="1"/>
      <c r="D1806" s="1"/>
      <c r="E1806" s="1"/>
      <c r="F1806" s="1"/>
      <c r="G1806" s="1"/>
      <c r="H1806" s="1" t="str">
        <f>"7809561400129"</f>
        <v>7809561400129</v>
      </c>
      <c r="I1806" s="3">
        <v>0</v>
      </c>
      <c r="J1806" s="3">
        <v>0</v>
      </c>
      <c r="K1806" s="3">
        <v>14000</v>
      </c>
    </row>
    <row r="1807" spans="1:11" x14ac:dyDescent="0.2">
      <c r="A1807" s="1" t="s">
        <v>4994</v>
      </c>
      <c r="B1807" s="1" t="s">
        <v>2290</v>
      </c>
      <c r="C1807" s="1"/>
      <c r="D1807" s="1"/>
      <c r="E1807" s="1"/>
      <c r="F1807" s="1"/>
      <c r="G1807" s="1"/>
      <c r="H1807" s="1" t="str">
        <f>"7800085130011"</f>
        <v>7800085130011</v>
      </c>
      <c r="I1807" s="3">
        <v>0</v>
      </c>
      <c r="J1807" s="3">
        <v>0</v>
      </c>
      <c r="K1807" s="3">
        <v>2000</v>
      </c>
    </row>
    <row r="1808" spans="1:11" x14ac:dyDescent="0.2">
      <c r="A1808" s="1" t="s">
        <v>4994</v>
      </c>
      <c r="B1808" s="1" t="s">
        <v>2291</v>
      </c>
      <c r="C1808" s="1"/>
      <c r="D1808" s="1"/>
      <c r="E1808" s="1"/>
      <c r="F1808" s="1"/>
      <c r="G1808" s="1"/>
      <c r="H1808" s="1" t="str">
        <f>"75952236172948"</f>
        <v>75952236172948</v>
      </c>
      <c r="I1808" s="3">
        <v>1</v>
      </c>
      <c r="J1808" s="3">
        <v>0</v>
      </c>
      <c r="K1808" s="3">
        <v>0</v>
      </c>
    </row>
    <row r="1809" spans="1:11" x14ac:dyDescent="0.2">
      <c r="A1809" s="1" t="s">
        <v>4994</v>
      </c>
      <c r="B1809" s="1" t="s">
        <v>2292</v>
      </c>
      <c r="C1809" s="1"/>
      <c r="D1809" s="1"/>
      <c r="E1809" s="1"/>
      <c r="F1809" s="1"/>
      <c r="G1809" s="1"/>
      <c r="H1809" s="1" t="str">
        <f>"75952229098619"</f>
        <v>75952229098619</v>
      </c>
      <c r="I1809" s="3">
        <v>1</v>
      </c>
      <c r="J1809" s="3">
        <v>0</v>
      </c>
      <c r="K1809" s="3">
        <v>0</v>
      </c>
    </row>
    <row r="1810" spans="1:11" x14ac:dyDescent="0.2">
      <c r="A1810" s="1" t="s">
        <v>4994</v>
      </c>
      <c r="B1810" s="1" t="s">
        <v>2293</v>
      </c>
      <c r="C1810" s="1"/>
      <c r="D1810" s="1"/>
      <c r="E1810" s="1"/>
      <c r="F1810" s="1"/>
      <c r="G1810" s="1"/>
      <c r="H1810" s="1" t="str">
        <f>"9557601220364"</f>
        <v>9557601220364</v>
      </c>
      <c r="I1810" s="3">
        <v>0</v>
      </c>
      <c r="J1810" s="3">
        <v>0</v>
      </c>
      <c r="K1810" s="3">
        <v>5000</v>
      </c>
    </row>
    <row r="1811" spans="1:11" x14ac:dyDescent="0.2">
      <c r="A1811" s="1" t="s">
        <v>4994</v>
      </c>
      <c r="B1811" s="1" t="s">
        <v>2294</v>
      </c>
      <c r="C1811" s="1"/>
      <c r="D1811" s="1"/>
      <c r="E1811" s="1"/>
      <c r="F1811" s="1"/>
      <c r="G1811" s="1"/>
      <c r="H1811" s="1" t="str">
        <f>"9557601017032"</f>
        <v>9557601017032</v>
      </c>
      <c r="I1811" s="3">
        <v>0</v>
      </c>
      <c r="J1811" s="3">
        <v>0</v>
      </c>
      <c r="K1811" s="3">
        <v>5000</v>
      </c>
    </row>
    <row r="1812" spans="1:11" x14ac:dyDescent="0.2">
      <c r="A1812" s="1" t="s">
        <v>4994</v>
      </c>
      <c r="B1812" s="1" t="s">
        <v>2295</v>
      </c>
      <c r="C1812" s="1"/>
      <c r="D1812" s="1"/>
      <c r="E1812" s="1"/>
      <c r="F1812" s="1"/>
      <c r="G1812" s="1"/>
      <c r="H1812" s="1" t="str">
        <f>"7806130012813"</f>
        <v>7806130012813</v>
      </c>
      <c r="I1812" s="3">
        <v>0</v>
      </c>
      <c r="J1812" s="3">
        <v>0</v>
      </c>
      <c r="K1812" s="3">
        <v>5000</v>
      </c>
    </row>
    <row r="1813" spans="1:11" x14ac:dyDescent="0.2">
      <c r="A1813" s="1" t="s">
        <v>4994</v>
      </c>
      <c r="B1813" s="1" t="s">
        <v>2296</v>
      </c>
      <c r="C1813" s="1"/>
      <c r="D1813" s="1"/>
      <c r="E1813" s="1"/>
      <c r="F1813" s="1"/>
      <c r="G1813" s="1"/>
      <c r="H1813" s="1" t="str">
        <f>"7806130010475"</f>
        <v>7806130010475</v>
      </c>
      <c r="I1813" s="3">
        <v>0</v>
      </c>
      <c r="J1813" s="3">
        <v>0</v>
      </c>
      <c r="K1813" s="3">
        <v>5000</v>
      </c>
    </row>
    <row r="1814" spans="1:11" x14ac:dyDescent="0.2">
      <c r="A1814" s="1" t="s">
        <v>4994</v>
      </c>
      <c r="B1814" s="1" t="s">
        <v>2297</v>
      </c>
      <c r="C1814" s="1"/>
      <c r="D1814" s="1"/>
      <c r="E1814" s="1"/>
      <c r="F1814" s="1"/>
      <c r="G1814" s="1"/>
      <c r="H1814" s="1" t="str">
        <f>"7806130013155"</f>
        <v>7806130013155</v>
      </c>
      <c r="I1814" s="3">
        <v>10</v>
      </c>
      <c r="J1814" s="3">
        <v>0</v>
      </c>
      <c r="K1814" s="3">
        <v>4000</v>
      </c>
    </row>
    <row r="1815" spans="1:11" x14ac:dyDescent="0.2">
      <c r="A1815" s="1" t="s">
        <v>4994</v>
      </c>
      <c r="B1815" s="1" t="s">
        <v>2298</v>
      </c>
      <c r="C1815" s="1"/>
      <c r="D1815" s="1"/>
      <c r="E1815" s="1"/>
      <c r="F1815" s="1"/>
      <c r="G1815" s="1"/>
      <c r="H1815" s="1" t="str">
        <f>"7804969800540"</f>
        <v>7804969800540</v>
      </c>
      <c r="I1815" s="3">
        <v>0</v>
      </c>
      <c r="J1815" s="3">
        <v>0</v>
      </c>
      <c r="K1815" s="3">
        <v>2000</v>
      </c>
    </row>
    <row r="1816" spans="1:11" x14ac:dyDescent="0.2">
      <c r="A1816" s="1" t="s">
        <v>4994</v>
      </c>
      <c r="B1816" s="1" t="s">
        <v>2299</v>
      </c>
      <c r="C1816" s="1"/>
      <c r="D1816" s="1"/>
      <c r="E1816" s="1"/>
      <c r="F1816" s="1"/>
      <c r="G1816" s="1"/>
      <c r="H1816" s="1" t="str">
        <f>"4490075900750"</f>
        <v>4490075900750</v>
      </c>
      <c r="I1816" s="3">
        <v>0</v>
      </c>
      <c r="J1816" s="3">
        <v>0</v>
      </c>
      <c r="K1816" s="3">
        <v>4000</v>
      </c>
    </row>
    <row r="1817" spans="1:11" x14ac:dyDescent="0.2">
      <c r="A1817" s="1" t="s">
        <v>4994</v>
      </c>
      <c r="B1817" s="1" t="s">
        <v>2300</v>
      </c>
      <c r="C1817" s="1"/>
      <c r="D1817" s="1"/>
      <c r="E1817" s="1"/>
      <c r="F1817" s="1"/>
      <c r="G1817" s="1"/>
      <c r="H1817" s="1" t="str">
        <f>"4490077900772"</f>
        <v>4490077900772</v>
      </c>
      <c r="I1817" s="3">
        <v>0</v>
      </c>
      <c r="J1817" s="3">
        <v>0</v>
      </c>
      <c r="K1817" s="3">
        <v>4000</v>
      </c>
    </row>
    <row r="1818" spans="1:11" x14ac:dyDescent="0.2">
      <c r="A1818" s="1" t="s">
        <v>4994</v>
      </c>
      <c r="B1818" s="1" t="s">
        <v>2301</v>
      </c>
      <c r="C1818" s="1"/>
      <c r="D1818" s="1"/>
      <c r="E1818" s="1"/>
      <c r="F1818" s="1"/>
      <c r="G1818" s="1"/>
      <c r="H1818" s="1" t="str">
        <f>"7801617900768"</f>
        <v>7801617900768</v>
      </c>
      <c r="I1818" s="3">
        <v>0</v>
      </c>
      <c r="J1818" s="3">
        <v>0</v>
      </c>
      <c r="K1818" s="3">
        <v>4000</v>
      </c>
    </row>
    <row r="1819" spans="1:11" x14ac:dyDescent="0.2">
      <c r="A1819" s="1" t="s">
        <v>4994</v>
      </c>
      <c r="B1819" s="1" t="s">
        <v>2302</v>
      </c>
      <c r="C1819" s="1"/>
      <c r="D1819" s="1"/>
      <c r="E1819" s="1"/>
      <c r="F1819" s="1"/>
      <c r="G1819" s="1"/>
      <c r="H1819" s="1" t="str">
        <f>"9557601017049"</f>
        <v>9557601017049</v>
      </c>
      <c r="I1819" s="3">
        <v>0</v>
      </c>
      <c r="J1819" s="3">
        <v>0</v>
      </c>
      <c r="K1819" s="3">
        <v>5000</v>
      </c>
    </row>
    <row r="1820" spans="1:11" x14ac:dyDescent="0.2">
      <c r="A1820" s="1" t="s">
        <v>4994</v>
      </c>
      <c r="B1820" s="1" t="s">
        <v>2303</v>
      </c>
      <c r="C1820" s="1"/>
      <c r="D1820" s="1"/>
      <c r="E1820" s="1"/>
      <c r="F1820" s="1"/>
      <c r="G1820" s="1"/>
      <c r="H1820" s="1" t="str">
        <f>"7806130005280"</f>
        <v>7806130005280</v>
      </c>
      <c r="I1820" s="3">
        <v>3</v>
      </c>
      <c r="J1820" s="3">
        <v>0</v>
      </c>
      <c r="K1820" s="3">
        <v>4800</v>
      </c>
    </row>
    <row r="1821" spans="1:11" x14ac:dyDescent="0.2">
      <c r="A1821" s="1" t="s">
        <v>4994</v>
      </c>
      <c r="B1821" s="1" t="s">
        <v>2304</v>
      </c>
      <c r="C1821" s="1"/>
      <c r="D1821" s="1"/>
      <c r="E1821" s="1"/>
      <c r="F1821" s="1"/>
      <c r="G1821" s="1"/>
      <c r="H1821" s="1" t="str">
        <f>"7806130005266"</f>
        <v>7806130005266</v>
      </c>
      <c r="I1821" s="3">
        <v>1</v>
      </c>
      <c r="J1821" s="3">
        <v>0</v>
      </c>
      <c r="K1821" s="3">
        <v>5000</v>
      </c>
    </row>
    <row r="1822" spans="1:11" x14ac:dyDescent="0.2">
      <c r="A1822" s="1" t="s">
        <v>4994</v>
      </c>
      <c r="B1822" s="1" t="s">
        <v>2305</v>
      </c>
      <c r="C1822" s="1"/>
      <c r="D1822" s="1"/>
      <c r="E1822" s="1"/>
      <c r="F1822" s="1"/>
      <c r="G1822" s="1"/>
      <c r="H1822" s="1" t="str">
        <f>"7806130013292"</f>
        <v>7806130013292</v>
      </c>
      <c r="I1822" s="3">
        <v>0</v>
      </c>
      <c r="J1822" s="3">
        <v>0</v>
      </c>
      <c r="K1822" s="3">
        <v>5000</v>
      </c>
    </row>
    <row r="1823" spans="1:11" x14ac:dyDescent="0.2">
      <c r="A1823" s="1" t="s">
        <v>4994</v>
      </c>
      <c r="B1823" s="1" t="s">
        <v>2306</v>
      </c>
      <c r="C1823" s="1"/>
      <c r="D1823" s="1"/>
      <c r="E1823" s="1"/>
      <c r="F1823" s="1"/>
      <c r="G1823" s="1"/>
      <c r="H1823" s="1" t="str">
        <f>"4260740981939"</f>
        <v>4260740981939</v>
      </c>
      <c r="I1823" s="3">
        <v>0</v>
      </c>
      <c r="J1823" s="3">
        <v>0</v>
      </c>
      <c r="K1823" s="3">
        <v>5000</v>
      </c>
    </row>
    <row r="1824" spans="1:11" x14ac:dyDescent="0.2">
      <c r="A1824" s="1" t="s">
        <v>4994</v>
      </c>
      <c r="B1824" s="1" t="s">
        <v>2307</v>
      </c>
      <c r="C1824" s="1"/>
      <c r="D1824" s="1"/>
      <c r="E1824" s="1"/>
      <c r="F1824" s="1"/>
      <c r="G1824" s="1"/>
      <c r="H1824" s="1" t="str">
        <f>"43D9CCICKBF4BM"</f>
        <v>43D9CCICKBF4BM</v>
      </c>
      <c r="I1824" s="3">
        <v>0</v>
      </c>
      <c r="J1824" s="3">
        <v>0</v>
      </c>
      <c r="K1824" s="3">
        <v>3500</v>
      </c>
    </row>
    <row r="1825" spans="1:11" x14ac:dyDescent="0.2">
      <c r="A1825" s="1" t="s">
        <v>4994</v>
      </c>
      <c r="B1825" s="1" t="s">
        <v>2308</v>
      </c>
      <c r="C1825" s="1"/>
      <c r="D1825" s="1"/>
      <c r="E1825" s="1"/>
      <c r="F1825" s="1"/>
      <c r="G1825" s="1"/>
      <c r="H1825" s="1" t="str">
        <f>"9555076109801"</f>
        <v>9555076109801</v>
      </c>
      <c r="I1825" s="3">
        <v>0</v>
      </c>
      <c r="J1825" s="3">
        <v>0</v>
      </c>
      <c r="K1825" s="3">
        <v>700</v>
      </c>
    </row>
    <row r="1826" spans="1:11" x14ac:dyDescent="0.2">
      <c r="A1826" s="1" t="s">
        <v>4994</v>
      </c>
      <c r="B1826" s="1" t="s">
        <v>2309</v>
      </c>
      <c r="C1826" s="1"/>
      <c r="D1826" s="1"/>
      <c r="E1826" s="1"/>
      <c r="F1826" s="1"/>
      <c r="G1826" s="1"/>
      <c r="H1826" s="1" t="str">
        <f>"7806130010482"</f>
        <v>7806130010482</v>
      </c>
      <c r="I1826" s="3">
        <v>0</v>
      </c>
      <c r="J1826" s="3">
        <v>0</v>
      </c>
      <c r="K1826" s="3">
        <v>5000</v>
      </c>
    </row>
    <row r="1827" spans="1:11" x14ac:dyDescent="0.2">
      <c r="A1827" s="1" t="s">
        <v>4994</v>
      </c>
      <c r="B1827" s="1" t="s">
        <v>2310</v>
      </c>
      <c r="C1827" s="1"/>
      <c r="D1827" s="1"/>
      <c r="E1827" s="1"/>
      <c r="F1827" s="1"/>
      <c r="G1827" s="1"/>
      <c r="H1827" s="1" t="str">
        <f>"7806130008878"</f>
        <v>7806130008878</v>
      </c>
      <c r="I1827" s="3">
        <v>3</v>
      </c>
      <c r="J1827" s="3">
        <v>0</v>
      </c>
      <c r="K1827" s="3">
        <v>4500</v>
      </c>
    </row>
    <row r="1828" spans="1:11" x14ac:dyDescent="0.2">
      <c r="A1828" s="1" t="s">
        <v>4994</v>
      </c>
      <c r="B1828" s="1" t="s">
        <v>2311</v>
      </c>
      <c r="C1828" s="1"/>
      <c r="D1828" s="1"/>
      <c r="E1828" s="1"/>
      <c r="F1828" s="1"/>
      <c r="G1828" s="1"/>
      <c r="H1828" s="1" t="str">
        <f>"7806130008861"</f>
        <v>7806130008861</v>
      </c>
      <c r="I1828" s="3">
        <v>1</v>
      </c>
      <c r="J1828" s="3">
        <v>0</v>
      </c>
      <c r="K1828" s="3">
        <v>4500</v>
      </c>
    </row>
    <row r="1829" spans="1:11" x14ac:dyDescent="0.2">
      <c r="A1829" s="1" t="s">
        <v>4994</v>
      </c>
      <c r="B1829" s="1" t="s">
        <v>2312</v>
      </c>
      <c r="C1829" s="1"/>
      <c r="D1829" s="1"/>
      <c r="E1829" s="1"/>
      <c r="F1829" s="1"/>
      <c r="G1829" s="1"/>
      <c r="H1829" s="1" t="str">
        <f>"7806130010499K"</f>
        <v>7806130010499K</v>
      </c>
      <c r="I1829" s="3">
        <v>0</v>
      </c>
      <c r="J1829" s="3">
        <v>0</v>
      </c>
      <c r="K1829" s="3">
        <v>5000</v>
      </c>
    </row>
    <row r="1830" spans="1:11" x14ac:dyDescent="0.2">
      <c r="A1830" s="1" t="s">
        <v>4994</v>
      </c>
      <c r="B1830" s="1" t="s">
        <v>2313</v>
      </c>
      <c r="C1830" s="1"/>
      <c r="D1830" s="1"/>
      <c r="E1830" s="1"/>
      <c r="F1830" s="1"/>
      <c r="G1830" s="1"/>
      <c r="H1830" s="1" t="str">
        <f>"7806130013162"</f>
        <v>7806130013162</v>
      </c>
      <c r="I1830" s="3">
        <v>10</v>
      </c>
      <c r="J1830" s="3">
        <v>0</v>
      </c>
      <c r="K1830" s="3">
        <v>4000</v>
      </c>
    </row>
    <row r="1831" spans="1:11" x14ac:dyDescent="0.2">
      <c r="A1831" s="1" t="s">
        <v>4994</v>
      </c>
      <c r="B1831" s="1" t="s">
        <v>2314</v>
      </c>
      <c r="C1831" s="1"/>
      <c r="D1831" s="1"/>
      <c r="E1831" s="1"/>
      <c r="F1831" s="1"/>
      <c r="G1831" s="1"/>
      <c r="H1831" s="1" t="str">
        <f>"7806130005273"</f>
        <v>7806130005273</v>
      </c>
      <c r="I1831" s="3">
        <v>3</v>
      </c>
      <c r="J1831" s="3">
        <v>0</v>
      </c>
      <c r="K1831" s="3">
        <v>5000</v>
      </c>
    </row>
    <row r="1832" spans="1:11" x14ac:dyDescent="0.2">
      <c r="A1832" s="1" t="s">
        <v>4994</v>
      </c>
      <c r="B1832" s="1" t="s">
        <v>2315</v>
      </c>
      <c r="C1832" s="1"/>
      <c r="D1832" s="1"/>
      <c r="E1832" s="1"/>
      <c r="F1832" s="1"/>
      <c r="G1832" s="1"/>
      <c r="H1832" s="1" t="str">
        <f>"5609000256094"</f>
        <v>5609000256094</v>
      </c>
      <c r="I1832" s="3">
        <v>0</v>
      </c>
      <c r="J1832" s="3">
        <v>0</v>
      </c>
      <c r="K1832" s="3">
        <v>5000</v>
      </c>
    </row>
    <row r="1833" spans="1:11" x14ac:dyDescent="0.2">
      <c r="A1833" s="1" t="s">
        <v>4994</v>
      </c>
      <c r="B1833" s="1" t="s">
        <v>2316</v>
      </c>
      <c r="C1833" s="1"/>
      <c r="D1833" s="1"/>
      <c r="E1833" s="1"/>
      <c r="F1833" s="1"/>
      <c r="G1833" s="1"/>
      <c r="H1833" s="1" t="str">
        <f>"7806130008854"</f>
        <v>7806130008854</v>
      </c>
      <c r="I1833" s="3">
        <v>11</v>
      </c>
      <c r="J1833" s="3">
        <v>0</v>
      </c>
      <c r="K1833" s="3">
        <v>4500</v>
      </c>
    </row>
    <row r="1834" spans="1:11" x14ac:dyDescent="0.2">
      <c r="A1834" s="1" t="s">
        <v>4994</v>
      </c>
      <c r="B1834" s="1" t="s">
        <v>2317</v>
      </c>
      <c r="C1834" s="1"/>
      <c r="D1834" s="1"/>
      <c r="E1834" s="1"/>
      <c r="F1834" s="1"/>
      <c r="G1834" s="1"/>
      <c r="H1834" s="1" t="str">
        <f>"7806130013179"</f>
        <v>7806130013179</v>
      </c>
      <c r="I1834" s="3">
        <v>11</v>
      </c>
      <c r="J1834" s="3">
        <v>0</v>
      </c>
      <c r="K1834" s="3">
        <v>3500</v>
      </c>
    </row>
    <row r="1835" spans="1:11" x14ac:dyDescent="0.2">
      <c r="A1835" s="1" t="s">
        <v>4994</v>
      </c>
      <c r="B1835" s="1" t="s">
        <v>2319</v>
      </c>
      <c r="C1835" s="1"/>
      <c r="D1835" s="1"/>
      <c r="E1835" s="1"/>
      <c r="F1835" s="1"/>
      <c r="G1835" s="1"/>
      <c r="H1835" s="1" t="str">
        <f>"781159467004"</f>
        <v>781159467004</v>
      </c>
      <c r="I1835" s="3">
        <v>0</v>
      </c>
      <c r="J1835" s="3">
        <v>0</v>
      </c>
      <c r="K1835" s="3">
        <v>6500</v>
      </c>
    </row>
    <row r="1836" spans="1:11" x14ac:dyDescent="0.2">
      <c r="A1836" s="1" t="s">
        <v>4994</v>
      </c>
      <c r="B1836" s="1" t="s">
        <v>2321</v>
      </c>
      <c r="C1836" s="1"/>
      <c r="D1836" s="1"/>
      <c r="E1836" s="1"/>
      <c r="F1836" s="1"/>
      <c r="G1836" s="1"/>
      <c r="H1836" s="1" t="str">
        <f>"7804995109891"</f>
        <v>7804995109891</v>
      </c>
      <c r="I1836" s="3">
        <v>0</v>
      </c>
      <c r="J1836" s="3">
        <v>0</v>
      </c>
      <c r="K1836" s="3">
        <v>9000</v>
      </c>
    </row>
    <row r="1837" spans="1:11" x14ac:dyDescent="0.2">
      <c r="A1837" s="1" t="s">
        <v>4994</v>
      </c>
      <c r="B1837" s="1" t="s">
        <v>2323</v>
      </c>
      <c r="C1837" s="1"/>
      <c r="D1837" s="1"/>
      <c r="E1837" s="1"/>
      <c r="F1837" s="1"/>
      <c r="G1837" s="1"/>
      <c r="H1837" s="1" t="str">
        <f>"7806130001459"</f>
        <v>7806130001459</v>
      </c>
      <c r="I1837" s="3">
        <v>1</v>
      </c>
      <c r="J1837" s="3">
        <v>0</v>
      </c>
      <c r="K1837" s="3">
        <v>500</v>
      </c>
    </row>
    <row r="1838" spans="1:11" x14ac:dyDescent="0.2">
      <c r="A1838" s="1" t="s">
        <v>4994</v>
      </c>
      <c r="B1838" s="1" t="s">
        <v>2324</v>
      </c>
      <c r="C1838" s="1"/>
      <c r="D1838" s="1"/>
      <c r="E1838" s="1"/>
      <c r="F1838" s="1"/>
      <c r="G1838" s="1"/>
      <c r="H1838" s="1" t="str">
        <f>"7800020032110"</f>
        <v>7800020032110</v>
      </c>
      <c r="I1838" s="3">
        <v>2</v>
      </c>
      <c r="J1838" s="3">
        <v>0</v>
      </c>
      <c r="K1838" s="3">
        <v>21000</v>
      </c>
    </row>
    <row r="1839" spans="1:11" x14ac:dyDescent="0.2">
      <c r="A1839" s="1" t="s">
        <v>4994</v>
      </c>
      <c r="B1839" s="1" t="s">
        <v>2326</v>
      </c>
      <c r="C1839" s="1"/>
      <c r="D1839" s="1"/>
      <c r="E1839" s="1"/>
      <c r="F1839" s="1"/>
      <c r="G1839" s="1"/>
      <c r="H1839" s="1" t="str">
        <f>"7798324330349"</f>
        <v>7798324330349</v>
      </c>
      <c r="I1839" s="3">
        <v>0</v>
      </c>
      <c r="J1839" s="3">
        <v>0</v>
      </c>
      <c r="K1839" s="3">
        <v>4000</v>
      </c>
    </row>
    <row r="1840" spans="1:11" x14ac:dyDescent="0.2">
      <c r="A1840" s="1" t="s">
        <v>4994</v>
      </c>
      <c r="B1840" s="1" t="s">
        <v>2327</v>
      </c>
      <c r="C1840" s="1"/>
      <c r="D1840" s="1"/>
      <c r="E1840" s="1"/>
      <c r="F1840" s="1"/>
      <c r="G1840" s="1"/>
      <c r="H1840" s="1" t="str">
        <f>"0764451229549"</f>
        <v>0764451229549</v>
      </c>
      <c r="I1840" s="3">
        <v>40</v>
      </c>
      <c r="J1840" s="3">
        <v>0</v>
      </c>
      <c r="K1840" s="3">
        <v>5000</v>
      </c>
    </row>
    <row r="1841" spans="1:11" x14ac:dyDescent="0.2">
      <c r="A1841" s="1" t="s">
        <v>4994</v>
      </c>
      <c r="B1841" s="1" t="s">
        <v>2328</v>
      </c>
      <c r="C1841" s="1"/>
      <c r="D1841" s="1"/>
      <c r="E1841" s="1"/>
      <c r="F1841" s="1"/>
      <c r="G1841" s="1"/>
      <c r="H1841" s="1" t="str">
        <f>"7800008010055"</f>
        <v>7800008010055</v>
      </c>
      <c r="I1841" s="3">
        <v>2</v>
      </c>
      <c r="J1841" s="3">
        <v>0</v>
      </c>
      <c r="K1841" s="3">
        <v>3000</v>
      </c>
    </row>
    <row r="1842" spans="1:11" x14ac:dyDescent="0.2">
      <c r="A1842" s="1" t="s">
        <v>4994</v>
      </c>
      <c r="B1842" s="1" t="s">
        <v>2329</v>
      </c>
      <c r="C1842" s="1"/>
      <c r="D1842" s="1"/>
      <c r="E1842" s="1"/>
      <c r="F1842" s="1"/>
      <c r="G1842" s="1"/>
      <c r="H1842" s="1" t="str">
        <f>"7800008010093"</f>
        <v>7800008010093</v>
      </c>
      <c r="I1842" s="3">
        <v>4</v>
      </c>
      <c r="J1842" s="3">
        <v>0</v>
      </c>
      <c r="K1842" s="3">
        <v>5000</v>
      </c>
    </row>
    <row r="1843" spans="1:11" x14ac:dyDescent="0.2">
      <c r="A1843" s="1" t="s">
        <v>4994</v>
      </c>
      <c r="B1843" s="1" t="s">
        <v>2330</v>
      </c>
      <c r="C1843" s="1"/>
      <c r="D1843" s="1"/>
      <c r="E1843" s="1"/>
      <c r="F1843" s="1"/>
      <c r="G1843" s="1"/>
      <c r="H1843" s="1" t="str">
        <f>"2000341103345"</f>
        <v>2000341103345</v>
      </c>
      <c r="I1843" s="3">
        <v>0</v>
      </c>
      <c r="J1843" s="3">
        <v>0</v>
      </c>
      <c r="K1843" s="3">
        <v>5000</v>
      </c>
    </row>
    <row r="1844" spans="1:11" x14ac:dyDescent="0.2">
      <c r="A1844" s="1" t="s">
        <v>4994</v>
      </c>
      <c r="B1844" s="1" t="s">
        <v>2331</v>
      </c>
      <c r="C1844" s="1"/>
      <c r="D1844" s="1"/>
      <c r="E1844" s="1"/>
      <c r="F1844" s="1"/>
      <c r="G1844" s="1"/>
      <c r="H1844" s="1" t="str">
        <f>"7803504001718"</f>
        <v>7803504001718</v>
      </c>
      <c r="I1844" s="3">
        <v>15</v>
      </c>
      <c r="J1844" s="3">
        <v>0</v>
      </c>
      <c r="K1844" s="3">
        <v>4500</v>
      </c>
    </row>
    <row r="1845" spans="1:11" x14ac:dyDescent="0.2">
      <c r="A1845" s="1" t="s">
        <v>4994</v>
      </c>
      <c r="B1845" s="1" t="s">
        <v>2332</v>
      </c>
      <c r="C1845" s="1"/>
      <c r="D1845" s="1"/>
      <c r="E1845" s="1"/>
      <c r="F1845" s="1"/>
      <c r="G1845" s="1"/>
      <c r="H1845" s="1" t="str">
        <f>"2000110417611"</f>
        <v>2000110417611</v>
      </c>
      <c r="I1845" s="3">
        <v>0</v>
      </c>
      <c r="J1845" s="3">
        <v>0</v>
      </c>
      <c r="K1845" s="3">
        <v>4000</v>
      </c>
    </row>
    <row r="1846" spans="1:11" x14ac:dyDescent="0.2">
      <c r="A1846" s="1" t="s">
        <v>4994</v>
      </c>
      <c r="B1846" s="1" t="s">
        <v>2333</v>
      </c>
      <c r="C1846" s="1"/>
      <c r="D1846" s="1"/>
      <c r="E1846" s="1"/>
      <c r="F1846" s="1"/>
      <c r="G1846" s="1"/>
      <c r="H1846" s="1" t="str">
        <f>"7803504004900"</f>
        <v>7803504004900</v>
      </c>
      <c r="I1846" s="3">
        <v>16</v>
      </c>
      <c r="J1846" s="3">
        <v>0</v>
      </c>
      <c r="K1846" s="3">
        <v>7000</v>
      </c>
    </row>
    <row r="1847" spans="1:11" x14ac:dyDescent="0.2">
      <c r="A1847" s="1" t="s">
        <v>4994</v>
      </c>
      <c r="B1847" s="1" t="s">
        <v>2335</v>
      </c>
      <c r="C1847" s="1"/>
      <c r="D1847" s="1"/>
      <c r="E1847" s="1"/>
      <c r="F1847" s="1"/>
      <c r="G1847" s="1"/>
      <c r="H1847" s="1" t="str">
        <f>"7804916662016"</f>
        <v>7804916662016</v>
      </c>
      <c r="I1847" s="3">
        <v>7</v>
      </c>
      <c r="J1847" s="3">
        <v>0</v>
      </c>
      <c r="K1847" s="3">
        <v>2000</v>
      </c>
    </row>
    <row r="1848" spans="1:11" x14ac:dyDescent="0.2">
      <c r="A1848" s="1" t="s">
        <v>4994</v>
      </c>
      <c r="B1848" s="1" t="s">
        <v>2336</v>
      </c>
      <c r="C1848" s="1"/>
      <c r="D1848" s="1"/>
      <c r="E1848" s="1"/>
      <c r="F1848" s="1"/>
      <c r="G1848" s="1"/>
      <c r="H1848" s="1" t="str">
        <f>"7500435138000"</f>
        <v>7500435138000</v>
      </c>
      <c r="I1848" s="3">
        <v>0</v>
      </c>
      <c r="J1848" s="3">
        <v>0</v>
      </c>
      <c r="K1848" s="3">
        <v>3500</v>
      </c>
    </row>
    <row r="1849" spans="1:11" x14ac:dyDescent="0.2">
      <c r="A1849" s="1" t="s">
        <v>4994</v>
      </c>
      <c r="B1849" s="1" t="s">
        <v>2337</v>
      </c>
      <c r="C1849" s="1"/>
      <c r="D1849" s="1"/>
      <c r="E1849" s="1"/>
      <c r="F1849" s="1"/>
      <c r="G1849" s="1"/>
      <c r="H1849" s="1" t="str">
        <f>"7500435159210"</f>
        <v>7500435159210</v>
      </c>
      <c r="I1849" s="3">
        <v>0</v>
      </c>
      <c r="J1849" s="3">
        <v>0</v>
      </c>
      <c r="K1849" s="3">
        <v>3500</v>
      </c>
    </row>
    <row r="1850" spans="1:11" x14ac:dyDescent="0.2">
      <c r="A1850" s="1" t="s">
        <v>4994</v>
      </c>
      <c r="B1850" s="1" t="s">
        <v>2338</v>
      </c>
      <c r="C1850" s="1"/>
      <c r="D1850" s="1"/>
      <c r="E1850" s="1"/>
      <c r="F1850" s="1"/>
      <c r="G1850" s="1"/>
      <c r="H1850" s="1" t="str">
        <f>"7500435127035"</f>
        <v>7500435127035</v>
      </c>
      <c r="I1850" s="3">
        <v>0</v>
      </c>
      <c r="J1850" s="3">
        <v>0</v>
      </c>
      <c r="K1850" s="3">
        <v>8000</v>
      </c>
    </row>
    <row r="1851" spans="1:11" x14ac:dyDescent="0.2">
      <c r="A1851" s="1" t="s">
        <v>4994</v>
      </c>
      <c r="B1851" s="1" t="s">
        <v>2339</v>
      </c>
      <c r="C1851" s="1"/>
      <c r="D1851" s="1"/>
      <c r="E1851" s="1"/>
      <c r="F1851" s="1"/>
      <c r="G1851" s="1"/>
      <c r="H1851" s="1" t="str">
        <f>"7500435213813"</f>
        <v>7500435213813</v>
      </c>
      <c r="I1851" s="3">
        <v>0</v>
      </c>
      <c r="J1851" s="3">
        <v>0</v>
      </c>
      <c r="K1851" s="3">
        <v>8000</v>
      </c>
    </row>
    <row r="1852" spans="1:11" x14ac:dyDescent="0.2">
      <c r="A1852" s="1" t="s">
        <v>4994</v>
      </c>
      <c r="B1852" s="1" t="s">
        <v>2340</v>
      </c>
      <c r="C1852" s="1"/>
      <c r="D1852" s="1"/>
      <c r="E1852" s="1"/>
      <c r="F1852" s="1"/>
      <c r="G1852" s="1"/>
      <c r="H1852" s="1" t="str">
        <f>"7500435019880"</f>
        <v>7500435019880</v>
      </c>
      <c r="I1852" s="3">
        <v>0</v>
      </c>
      <c r="J1852" s="3">
        <v>0</v>
      </c>
      <c r="K1852" s="3">
        <v>3500</v>
      </c>
    </row>
    <row r="1853" spans="1:11" x14ac:dyDescent="0.2">
      <c r="A1853" s="1" t="s">
        <v>4994</v>
      </c>
      <c r="B1853" s="1" t="s">
        <v>2341</v>
      </c>
      <c r="C1853" s="1"/>
      <c r="D1853" s="1"/>
      <c r="E1853" s="1"/>
      <c r="F1853" s="1"/>
      <c r="G1853" s="1"/>
      <c r="H1853" s="1" t="str">
        <f>"7500435142557"</f>
        <v>7500435142557</v>
      </c>
      <c r="I1853" s="3">
        <v>0</v>
      </c>
      <c r="J1853" s="3">
        <v>0</v>
      </c>
      <c r="K1853" s="3">
        <v>3500</v>
      </c>
    </row>
    <row r="1854" spans="1:11" x14ac:dyDescent="0.2">
      <c r="A1854" s="1" t="s">
        <v>4994</v>
      </c>
      <c r="B1854" s="1" t="s">
        <v>2342</v>
      </c>
      <c r="C1854" s="1"/>
      <c r="D1854" s="1"/>
      <c r="E1854" s="1"/>
      <c r="F1854" s="1"/>
      <c r="G1854" s="1"/>
      <c r="H1854" s="1" t="str">
        <f>"7500435020008"</f>
        <v>7500435020008</v>
      </c>
      <c r="I1854" s="3">
        <v>0</v>
      </c>
      <c r="J1854" s="3">
        <v>0</v>
      </c>
      <c r="K1854" s="3">
        <v>3500</v>
      </c>
    </row>
    <row r="1855" spans="1:11" x14ac:dyDescent="0.2">
      <c r="A1855" s="1" t="s">
        <v>4994</v>
      </c>
      <c r="B1855" s="1" t="s">
        <v>2343</v>
      </c>
      <c r="C1855" s="1"/>
      <c r="D1855" s="1"/>
      <c r="E1855" s="1"/>
      <c r="F1855" s="1"/>
      <c r="G1855" s="1"/>
      <c r="H1855" s="1" t="str">
        <f>"7500435019545"</f>
        <v>7500435019545</v>
      </c>
      <c r="I1855" s="3">
        <v>0</v>
      </c>
      <c r="J1855" s="3">
        <v>0</v>
      </c>
      <c r="K1855" s="3">
        <v>3500</v>
      </c>
    </row>
    <row r="1856" spans="1:11" x14ac:dyDescent="0.2">
      <c r="A1856" s="1" t="s">
        <v>4994</v>
      </c>
      <c r="B1856" s="1" t="s">
        <v>2344</v>
      </c>
      <c r="C1856" s="1"/>
      <c r="D1856" s="1"/>
      <c r="E1856" s="1"/>
      <c r="F1856" s="1"/>
      <c r="G1856" s="1"/>
      <c r="H1856" s="1" t="str">
        <f>"7809561400471"</f>
        <v>7809561400471</v>
      </c>
      <c r="I1856" s="3">
        <v>0</v>
      </c>
      <c r="J1856" s="3">
        <v>0</v>
      </c>
      <c r="K1856" s="3">
        <v>14500</v>
      </c>
    </row>
    <row r="1857" spans="1:11" x14ac:dyDescent="0.2">
      <c r="A1857" s="1" t="s">
        <v>4994</v>
      </c>
      <c r="B1857" s="1" t="s">
        <v>2345</v>
      </c>
      <c r="C1857" s="1"/>
      <c r="D1857" s="1"/>
      <c r="E1857" s="1"/>
      <c r="F1857" s="1"/>
      <c r="G1857" s="1"/>
      <c r="H1857" s="1" t="str">
        <f>"7809561400723"</f>
        <v>7809561400723</v>
      </c>
      <c r="I1857" s="3">
        <v>3</v>
      </c>
      <c r="J1857" s="3">
        <v>0</v>
      </c>
      <c r="K1857" s="3">
        <v>20000</v>
      </c>
    </row>
    <row r="1858" spans="1:11" x14ac:dyDescent="0.2">
      <c r="A1858" s="1" t="s">
        <v>4994</v>
      </c>
      <c r="B1858" s="1" t="s">
        <v>2347</v>
      </c>
      <c r="C1858" s="1"/>
      <c r="D1858" s="1"/>
      <c r="E1858" s="1"/>
      <c r="F1858" s="1"/>
      <c r="G1858" s="1"/>
      <c r="H1858" s="1" t="str">
        <f>"035000987433"</f>
        <v>035000987433</v>
      </c>
      <c r="I1858" s="3">
        <v>0</v>
      </c>
      <c r="J1858" s="3">
        <v>0</v>
      </c>
      <c r="K1858" s="3">
        <v>4000</v>
      </c>
    </row>
    <row r="1859" spans="1:11" x14ac:dyDescent="0.2">
      <c r="A1859" s="1" t="s">
        <v>4994</v>
      </c>
      <c r="B1859" s="1" t="s">
        <v>2348</v>
      </c>
      <c r="C1859" s="1"/>
      <c r="D1859" s="1"/>
      <c r="E1859" s="1"/>
      <c r="F1859" s="1"/>
      <c r="G1859" s="1"/>
      <c r="H1859" s="1" t="str">
        <f>"7804656600279"</f>
        <v>7804656600279</v>
      </c>
      <c r="I1859" s="3">
        <v>0</v>
      </c>
      <c r="J1859" s="3">
        <v>0</v>
      </c>
      <c r="K1859" s="3">
        <v>17000</v>
      </c>
    </row>
    <row r="1860" spans="1:11" x14ac:dyDescent="0.2">
      <c r="A1860" s="1" t="s">
        <v>4994</v>
      </c>
      <c r="B1860" s="1" t="s">
        <v>2350</v>
      </c>
      <c r="C1860" s="1"/>
      <c r="D1860" s="1"/>
      <c r="E1860" s="1"/>
      <c r="F1860" s="1"/>
      <c r="G1860" s="1"/>
      <c r="H1860" s="1" t="str">
        <f>"1469852311143"</f>
        <v>1469852311143</v>
      </c>
      <c r="I1860" s="3">
        <v>0</v>
      </c>
      <c r="J1860" s="3">
        <v>0</v>
      </c>
      <c r="K1860" s="3">
        <v>5000</v>
      </c>
    </row>
    <row r="1861" spans="1:11" x14ac:dyDescent="0.2">
      <c r="A1861" s="1" t="s">
        <v>4994</v>
      </c>
      <c r="B1861" s="1" t="s">
        <v>2351</v>
      </c>
      <c r="C1861" s="1"/>
      <c r="D1861" s="1"/>
      <c r="E1861" s="1"/>
      <c r="F1861" s="1"/>
      <c r="G1861" s="1"/>
      <c r="H1861" s="1" t="str">
        <f>"7800060124677"</f>
        <v>7800060124677</v>
      </c>
      <c r="I1861" s="3">
        <v>0</v>
      </c>
      <c r="J1861" s="3">
        <v>0</v>
      </c>
      <c r="K1861" s="3">
        <v>15000</v>
      </c>
    </row>
    <row r="1862" spans="1:11" x14ac:dyDescent="0.2">
      <c r="A1862" s="1" t="s">
        <v>4994</v>
      </c>
      <c r="B1862" s="1" t="s">
        <v>2356</v>
      </c>
      <c r="C1862" s="1"/>
      <c r="D1862" s="1"/>
      <c r="E1862" s="1"/>
      <c r="F1862" s="1"/>
      <c r="G1862" s="1"/>
      <c r="H1862" s="1" t="str">
        <f>"7800007770707"</f>
        <v>7800007770707</v>
      </c>
      <c r="I1862" s="3">
        <v>0</v>
      </c>
      <c r="J1862" s="3">
        <v>0</v>
      </c>
      <c r="K1862" s="3">
        <v>19000</v>
      </c>
    </row>
    <row r="1863" spans="1:11" x14ac:dyDescent="0.2">
      <c r="A1863" s="1" t="s">
        <v>4994</v>
      </c>
      <c r="B1863" s="1" t="s">
        <v>2358</v>
      </c>
      <c r="C1863" s="1"/>
      <c r="D1863" s="1"/>
      <c r="E1863" s="1"/>
      <c r="F1863" s="1"/>
      <c r="G1863" s="1"/>
      <c r="H1863" s="1" t="str">
        <f>"7800008030053"</f>
        <v>7800008030053</v>
      </c>
      <c r="I1863" s="3">
        <v>0</v>
      </c>
      <c r="J1863" s="3">
        <v>0</v>
      </c>
      <c r="K1863" s="3">
        <v>8000</v>
      </c>
    </row>
    <row r="1864" spans="1:11" x14ac:dyDescent="0.2">
      <c r="A1864" s="1" t="s">
        <v>4994</v>
      </c>
      <c r="B1864" s="1" t="s">
        <v>2359</v>
      </c>
      <c r="C1864" s="1"/>
      <c r="D1864" s="1"/>
      <c r="E1864" s="1"/>
      <c r="F1864" s="1"/>
      <c r="G1864" s="1"/>
      <c r="H1864" s="1" t="str">
        <f>"7804907938809"</f>
        <v>7804907938809</v>
      </c>
      <c r="I1864" s="3">
        <v>0</v>
      </c>
      <c r="J1864" s="3">
        <v>0</v>
      </c>
      <c r="K1864" s="3">
        <v>4000</v>
      </c>
    </row>
    <row r="1865" spans="1:11" x14ac:dyDescent="0.2">
      <c r="A1865" s="1" t="s">
        <v>4994</v>
      </c>
      <c r="B1865" s="1" t="s">
        <v>2360</v>
      </c>
      <c r="C1865" s="1"/>
      <c r="D1865" s="1"/>
      <c r="E1865" s="1"/>
      <c r="F1865" s="1"/>
      <c r="G1865" s="1"/>
      <c r="H1865" s="1" t="str">
        <f>"7804907937659"</f>
        <v>7804907937659</v>
      </c>
      <c r="I1865" s="3">
        <v>0</v>
      </c>
      <c r="J1865" s="3">
        <v>0</v>
      </c>
      <c r="K1865" s="3">
        <v>2000</v>
      </c>
    </row>
    <row r="1866" spans="1:11" x14ac:dyDescent="0.2">
      <c r="A1866" s="1" t="s">
        <v>4994</v>
      </c>
      <c r="B1866" s="1" t="s">
        <v>2361</v>
      </c>
      <c r="C1866" s="1"/>
      <c r="D1866" s="1"/>
      <c r="E1866" s="1"/>
      <c r="F1866" s="1"/>
      <c r="G1866" s="1"/>
      <c r="H1866" s="1" t="str">
        <f>"7509552911992"</f>
        <v>7509552911992</v>
      </c>
      <c r="I1866" s="3">
        <v>0</v>
      </c>
      <c r="J1866" s="3">
        <v>0</v>
      </c>
      <c r="K1866" s="3">
        <v>7500</v>
      </c>
    </row>
    <row r="1867" spans="1:11" x14ac:dyDescent="0.2">
      <c r="A1867" s="1" t="s">
        <v>4994</v>
      </c>
      <c r="B1867" s="1" t="s">
        <v>2362</v>
      </c>
      <c r="C1867" s="1"/>
      <c r="D1867" s="1"/>
      <c r="E1867" s="1"/>
      <c r="F1867" s="1"/>
      <c r="G1867" s="1"/>
      <c r="H1867" s="1" t="str">
        <f>"7509552905366"</f>
        <v>7509552905366</v>
      </c>
      <c r="I1867" s="3">
        <v>0</v>
      </c>
      <c r="J1867" s="3">
        <v>0</v>
      </c>
      <c r="K1867" s="3">
        <v>6500</v>
      </c>
    </row>
    <row r="1868" spans="1:11" x14ac:dyDescent="0.2">
      <c r="A1868" s="1" t="s">
        <v>4994</v>
      </c>
      <c r="B1868" s="1" t="s">
        <v>2364</v>
      </c>
      <c r="C1868" s="1"/>
      <c r="D1868" s="1"/>
      <c r="E1868" s="1"/>
      <c r="F1868" s="1"/>
      <c r="G1868" s="1"/>
      <c r="H1868" s="1" t="str">
        <f>"8436025480299"</f>
        <v>8436025480299</v>
      </c>
      <c r="I1868" s="3">
        <v>0</v>
      </c>
      <c r="J1868" s="3">
        <v>0</v>
      </c>
      <c r="K1868" s="3">
        <v>12000</v>
      </c>
    </row>
    <row r="1869" spans="1:11" x14ac:dyDescent="0.2">
      <c r="A1869" s="1" t="s">
        <v>4994</v>
      </c>
      <c r="B1869" s="1" t="s">
        <v>2365</v>
      </c>
      <c r="C1869" s="1"/>
      <c r="D1869" s="1"/>
      <c r="E1869" s="1"/>
      <c r="F1869" s="1"/>
      <c r="G1869" s="1"/>
      <c r="H1869" s="1" t="str">
        <f>"7800060009912"</f>
        <v>7800060009912</v>
      </c>
      <c r="I1869" s="3">
        <v>0</v>
      </c>
      <c r="J1869" s="3">
        <v>0</v>
      </c>
      <c r="K1869" s="3">
        <v>11000</v>
      </c>
    </row>
    <row r="1870" spans="1:11" x14ac:dyDescent="0.2">
      <c r="A1870" s="1" t="s">
        <v>4994</v>
      </c>
      <c r="B1870" s="1" t="s">
        <v>2366</v>
      </c>
      <c r="C1870" s="1"/>
      <c r="D1870" s="1"/>
      <c r="E1870" s="1"/>
      <c r="F1870" s="1"/>
      <c r="G1870" s="1"/>
      <c r="H1870" s="1" t="str">
        <f>"LFKJSDF"</f>
        <v>LFKJSDF</v>
      </c>
      <c r="I1870" s="3">
        <v>0</v>
      </c>
      <c r="J1870" s="3">
        <v>0</v>
      </c>
      <c r="K1870" s="3">
        <v>11000</v>
      </c>
    </row>
    <row r="1871" spans="1:11" x14ac:dyDescent="0.2">
      <c r="A1871" s="1" t="s">
        <v>4994</v>
      </c>
      <c r="B1871" s="1" t="s">
        <v>2367</v>
      </c>
      <c r="C1871" s="1"/>
      <c r="D1871" s="1"/>
      <c r="E1871" s="1"/>
      <c r="F1871" s="1"/>
      <c r="G1871" s="1"/>
      <c r="H1871" s="1" t="str">
        <f>"4005800344978"</f>
        <v>4005800344978</v>
      </c>
      <c r="I1871" s="3">
        <v>0</v>
      </c>
      <c r="J1871" s="3">
        <v>0</v>
      </c>
      <c r="K1871" s="3">
        <v>10000</v>
      </c>
    </row>
    <row r="1872" spans="1:11" x14ac:dyDescent="0.2">
      <c r="A1872" s="1" t="s">
        <v>4994</v>
      </c>
      <c r="B1872" s="1" t="s">
        <v>2370</v>
      </c>
      <c r="C1872" s="1"/>
      <c r="D1872" s="1"/>
      <c r="E1872" s="1"/>
      <c r="F1872" s="1"/>
      <c r="G1872" s="1"/>
      <c r="H1872" s="1" t="str">
        <f>"7800007117465"</f>
        <v>7800007117465</v>
      </c>
      <c r="I1872" s="3">
        <v>0</v>
      </c>
      <c r="J1872" s="3">
        <v>0</v>
      </c>
      <c r="K1872" s="3">
        <v>5000</v>
      </c>
    </row>
    <row r="1873" spans="1:11" x14ac:dyDescent="0.2">
      <c r="A1873" s="1" t="s">
        <v>4994</v>
      </c>
      <c r="B1873" s="1" t="s">
        <v>2371</v>
      </c>
      <c r="C1873" s="1"/>
      <c r="D1873" s="1"/>
      <c r="E1873" s="1"/>
      <c r="F1873" s="1"/>
      <c r="G1873" s="1"/>
      <c r="H1873" s="1" t="str">
        <f>"8901790720333"</f>
        <v>8901790720333</v>
      </c>
      <c r="I1873" s="3">
        <v>24</v>
      </c>
      <c r="J1873" s="3">
        <v>0</v>
      </c>
      <c r="K1873" s="3">
        <v>4500</v>
      </c>
    </row>
    <row r="1874" spans="1:11" x14ac:dyDescent="0.2">
      <c r="A1874" s="1" t="s">
        <v>4994</v>
      </c>
      <c r="B1874" s="1" t="s">
        <v>2372</v>
      </c>
      <c r="C1874" s="1"/>
      <c r="D1874" s="1"/>
      <c r="E1874" s="1"/>
      <c r="F1874" s="1"/>
      <c r="G1874" s="1"/>
      <c r="H1874" s="1" t="str">
        <f>"7804633500752"</f>
        <v>7804633500752</v>
      </c>
      <c r="I1874" s="3">
        <v>0</v>
      </c>
      <c r="J1874" s="3">
        <v>0</v>
      </c>
      <c r="K1874" s="3">
        <v>2500</v>
      </c>
    </row>
    <row r="1875" spans="1:11" x14ac:dyDescent="0.2">
      <c r="A1875" s="1" t="s">
        <v>4994</v>
      </c>
      <c r="B1875" s="1" t="s">
        <v>2373</v>
      </c>
      <c r="C1875" s="1"/>
      <c r="D1875" s="1"/>
      <c r="E1875" s="1"/>
      <c r="F1875" s="1"/>
      <c r="G1875" s="1"/>
      <c r="H1875" s="1" t="str">
        <f>"8436024613421"</f>
        <v>8436024613421</v>
      </c>
      <c r="I1875" s="3">
        <v>9</v>
      </c>
      <c r="J1875" s="3">
        <v>0</v>
      </c>
      <c r="K1875" s="3">
        <v>24000</v>
      </c>
    </row>
    <row r="1876" spans="1:11" x14ac:dyDescent="0.2">
      <c r="A1876" s="1" t="s">
        <v>4994</v>
      </c>
      <c r="B1876" s="1" t="s">
        <v>2374</v>
      </c>
      <c r="C1876" s="1"/>
      <c r="D1876" s="1"/>
      <c r="E1876" s="1"/>
      <c r="F1876" s="1"/>
      <c r="G1876" s="1"/>
      <c r="H1876" s="1" t="str">
        <f>"4006000088549"</f>
        <v>4006000088549</v>
      </c>
      <c r="I1876" s="3">
        <v>0</v>
      </c>
      <c r="J1876" s="3">
        <v>0</v>
      </c>
      <c r="K1876" s="3">
        <v>10000</v>
      </c>
    </row>
    <row r="1877" spans="1:11" x14ac:dyDescent="0.2">
      <c r="A1877" s="1" t="s">
        <v>4994</v>
      </c>
      <c r="B1877" s="1" t="s">
        <v>2375</v>
      </c>
      <c r="C1877" s="1"/>
      <c r="D1877" s="1"/>
      <c r="E1877" s="1"/>
      <c r="F1877" s="1"/>
      <c r="G1877" s="1"/>
      <c r="H1877" s="1" t="str">
        <f>"6920230614003"</f>
        <v>6920230614003</v>
      </c>
      <c r="I1877" s="3">
        <v>2</v>
      </c>
      <c r="J1877" s="3">
        <v>0</v>
      </c>
      <c r="K1877" s="3">
        <v>2500</v>
      </c>
    </row>
    <row r="1878" spans="1:11" x14ac:dyDescent="0.2">
      <c r="A1878" s="1" t="s">
        <v>4994</v>
      </c>
      <c r="B1878" s="1" t="s">
        <v>2376</v>
      </c>
      <c r="C1878" s="1"/>
      <c r="D1878" s="1"/>
      <c r="E1878" s="1"/>
      <c r="F1878" s="1"/>
      <c r="G1878" s="1"/>
      <c r="H1878" s="1" t="str">
        <f>"7809591401387"</f>
        <v>7809591401387</v>
      </c>
      <c r="I1878" s="3">
        <v>3</v>
      </c>
      <c r="J1878" s="3">
        <v>0</v>
      </c>
      <c r="K1878" s="3">
        <v>9580</v>
      </c>
    </row>
    <row r="1879" spans="1:11" x14ac:dyDescent="0.2">
      <c r="A1879" s="1" t="s">
        <v>4994</v>
      </c>
      <c r="B1879" s="1" t="s">
        <v>2377</v>
      </c>
      <c r="C1879" s="1"/>
      <c r="D1879" s="1"/>
      <c r="E1879" s="1"/>
      <c r="F1879" s="1"/>
      <c r="G1879" s="1"/>
      <c r="H1879" s="1" t="str">
        <f>"7809591400595"</f>
        <v>7809591400595</v>
      </c>
      <c r="I1879" s="3">
        <v>0</v>
      </c>
      <c r="J1879" s="3">
        <v>0</v>
      </c>
      <c r="K1879" s="3">
        <v>5000</v>
      </c>
    </row>
    <row r="1880" spans="1:11" x14ac:dyDescent="0.2">
      <c r="A1880" s="1" t="s">
        <v>4994</v>
      </c>
      <c r="B1880" s="1" t="s">
        <v>2378</v>
      </c>
      <c r="C1880" s="1"/>
      <c r="D1880" s="1"/>
      <c r="E1880" s="1"/>
      <c r="F1880" s="1"/>
      <c r="G1880" s="1"/>
      <c r="H1880" s="1" t="str">
        <f>"7809591401370"</f>
        <v>7809591401370</v>
      </c>
      <c r="I1880" s="3">
        <v>2</v>
      </c>
      <c r="J1880" s="3">
        <v>0</v>
      </c>
      <c r="K1880" s="3">
        <v>9500</v>
      </c>
    </row>
    <row r="1881" spans="1:11" x14ac:dyDescent="0.2">
      <c r="A1881" s="1" t="s">
        <v>4994</v>
      </c>
      <c r="B1881" s="1" t="s">
        <v>2379</v>
      </c>
      <c r="C1881" s="1"/>
      <c r="D1881" s="1"/>
      <c r="E1881" s="1"/>
      <c r="F1881" s="1"/>
      <c r="G1881" s="1"/>
      <c r="H1881" s="1" t="str">
        <f>"7800007808929"</f>
        <v>7800007808929</v>
      </c>
      <c r="I1881" s="3">
        <v>0</v>
      </c>
      <c r="J1881" s="3">
        <v>0</v>
      </c>
      <c r="K1881" s="3">
        <v>8000</v>
      </c>
    </row>
    <row r="1882" spans="1:11" x14ac:dyDescent="0.2">
      <c r="A1882" s="1" t="s">
        <v>4994</v>
      </c>
      <c r="B1882" s="1" t="s">
        <v>2381</v>
      </c>
      <c r="C1882" s="1"/>
      <c r="D1882" s="1"/>
      <c r="E1882" s="1"/>
      <c r="F1882" s="1"/>
      <c r="G1882" s="1"/>
      <c r="H1882" s="1" t="str">
        <f>"7804625951227"</f>
        <v>7804625951227</v>
      </c>
      <c r="I1882" s="3">
        <v>2</v>
      </c>
      <c r="J1882" s="3">
        <v>0</v>
      </c>
      <c r="K1882" s="3">
        <v>10000</v>
      </c>
    </row>
    <row r="1883" spans="1:11" x14ac:dyDescent="0.2">
      <c r="A1883" s="1" t="s">
        <v>4994</v>
      </c>
      <c r="B1883" s="1" t="s">
        <v>2382</v>
      </c>
      <c r="C1883" s="1"/>
      <c r="D1883" s="1"/>
      <c r="E1883" s="1"/>
      <c r="F1883" s="1"/>
      <c r="G1883" s="1"/>
      <c r="H1883" s="1" t="str">
        <f>"7891024183120"</f>
        <v>7891024183120</v>
      </c>
      <c r="I1883" s="3">
        <v>12</v>
      </c>
      <c r="J1883" s="3">
        <v>0</v>
      </c>
      <c r="K1883" s="3">
        <v>4500</v>
      </c>
    </row>
    <row r="1884" spans="1:11" x14ac:dyDescent="0.2">
      <c r="A1884" s="1" t="s">
        <v>4994</v>
      </c>
      <c r="B1884" s="1" t="s">
        <v>2383</v>
      </c>
      <c r="C1884" s="1"/>
      <c r="D1884" s="1"/>
      <c r="E1884" s="1"/>
      <c r="F1884" s="1"/>
      <c r="G1884" s="1"/>
      <c r="H1884" s="1" t="str">
        <f>"7809601116492"</f>
        <v>7809601116492</v>
      </c>
      <c r="I1884" s="3">
        <v>0</v>
      </c>
      <c r="J1884" s="3">
        <v>0</v>
      </c>
      <c r="K1884" s="3">
        <v>2500</v>
      </c>
    </row>
    <row r="1885" spans="1:11" x14ac:dyDescent="0.2">
      <c r="A1885" s="1" t="s">
        <v>4994</v>
      </c>
      <c r="B1885" s="1" t="s">
        <v>2384</v>
      </c>
      <c r="C1885" s="1"/>
      <c r="D1885" s="1"/>
      <c r="E1885" s="1"/>
      <c r="F1885" s="1"/>
      <c r="G1885" s="1"/>
      <c r="H1885" s="1" t="str">
        <f>"HIOOOS"</f>
        <v>HIOOOS</v>
      </c>
      <c r="I1885" s="3">
        <v>0</v>
      </c>
      <c r="J1885" s="3">
        <v>0</v>
      </c>
      <c r="K1885" s="3">
        <v>5500</v>
      </c>
    </row>
    <row r="1886" spans="1:11" x14ac:dyDescent="0.2">
      <c r="A1886" s="1" t="s">
        <v>4994</v>
      </c>
      <c r="B1886" s="1" t="s">
        <v>2385</v>
      </c>
      <c r="C1886" s="1"/>
      <c r="D1886" s="1"/>
      <c r="E1886" s="1"/>
      <c r="F1886" s="1"/>
      <c r="G1886" s="1"/>
      <c r="H1886" s="1" t="str">
        <f>"7500435129749"</f>
        <v>7500435129749</v>
      </c>
      <c r="I1886" s="3">
        <v>0</v>
      </c>
      <c r="J1886" s="3">
        <v>0</v>
      </c>
      <c r="K1886" s="3">
        <v>4500</v>
      </c>
    </row>
    <row r="1887" spans="1:11" x14ac:dyDescent="0.2">
      <c r="A1887" s="1" t="s">
        <v>4994</v>
      </c>
      <c r="B1887" s="1" t="s">
        <v>2386</v>
      </c>
      <c r="C1887" s="1"/>
      <c r="D1887" s="1"/>
      <c r="E1887" s="1"/>
      <c r="F1887" s="1"/>
      <c r="G1887" s="1"/>
      <c r="H1887" s="1" t="str">
        <f>"7861073971061"</f>
        <v>7861073971061</v>
      </c>
      <c r="I1887" s="3">
        <v>55</v>
      </c>
      <c r="J1887" s="3">
        <v>0</v>
      </c>
      <c r="K1887" s="3">
        <v>5000</v>
      </c>
    </row>
    <row r="1888" spans="1:11" x14ac:dyDescent="0.2">
      <c r="A1888" s="1" t="s">
        <v>4994</v>
      </c>
      <c r="B1888" s="1" t="s">
        <v>2387</v>
      </c>
      <c r="C1888" s="1"/>
      <c r="D1888" s="1"/>
      <c r="E1888" s="1"/>
      <c r="F1888" s="1"/>
      <c r="G1888" s="1"/>
      <c r="H1888" s="1" t="str">
        <f>"7861073971030"</f>
        <v>7861073971030</v>
      </c>
      <c r="I1888" s="3">
        <v>0</v>
      </c>
      <c r="J1888" s="3">
        <v>0</v>
      </c>
      <c r="K1888" s="3">
        <v>2000</v>
      </c>
    </row>
    <row r="1889" spans="1:11" x14ac:dyDescent="0.2">
      <c r="A1889" s="1" t="s">
        <v>4994</v>
      </c>
      <c r="B1889" s="1" t="s">
        <v>2393</v>
      </c>
      <c r="C1889" s="1"/>
      <c r="D1889" s="1"/>
      <c r="E1889" s="1"/>
      <c r="F1889" s="1"/>
      <c r="G1889" s="1"/>
      <c r="H1889" s="1" t="str">
        <f>"9980774555627"</f>
        <v>9980774555627</v>
      </c>
      <c r="I1889" s="3">
        <v>24</v>
      </c>
      <c r="J1889" s="3">
        <v>0</v>
      </c>
      <c r="K1889" s="3">
        <v>1500</v>
      </c>
    </row>
    <row r="1890" spans="1:11" x14ac:dyDescent="0.2">
      <c r="A1890" s="1" t="s">
        <v>4994</v>
      </c>
      <c r="B1890" s="1" t="s">
        <v>2394</v>
      </c>
      <c r="C1890" s="1"/>
      <c r="D1890" s="1"/>
      <c r="E1890" s="1"/>
      <c r="F1890" s="1"/>
      <c r="G1890" s="1"/>
      <c r="H1890" s="1" t="str">
        <f>"7809601112524"</f>
        <v>7809601112524</v>
      </c>
      <c r="I1890" s="3">
        <v>0</v>
      </c>
      <c r="J1890" s="3">
        <v>0</v>
      </c>
      <c r="K1890" s="3">
        <v>3000</v>
      </c>
    </row>
    <row r="1891" spans="1:11" x14ac:dyDescent="0.2">
      <c r="A1891" s="1" t="s">
        <v>4994</v>
      </c>
      <c r="B1891" s="1" t="s">
        <v>2395</v>
      </c>
      <c r="C1891" s="1"/>
      <c r="D1891" s="1"/>
      <c r="E1891" s="1"/>
      <c r="F1891" s="1"/>
      <c r="G1891" s="1"/>
      <c r="H1891" s="1" t="str">
        <f>"7809601112548"</f>
        <v>7809601112548</v>
      </c>
      <c r="I1891" s="3">
        <v>0</v>
      </c>
      <c r="J1891" s="3">
        <v>0</v>
      </c>
      <c r="K1891" s="3">
        <v>4000</v>
      </c>
    </row>
    <row r="1892" spans="1:11" x14ac:dyDescent="0.2">
      <c r="A1892" s="1" t="s">
        <v>4994</v>
      </c>
      <c r="B1892" s="1" t="s">
        <v>2396</v>
      </c>
      <c r="C1892" s="1"/>
      <c r="D1892" s="1"/>
      <c r="E1892" s="1"/>
      <c r="F1892" s="1"/>
      <c r="G1892" s="1"/>
      <c r="H1892" s="1" t="str">
        <f>"7804947003550"</f>
        <v>7804947003550</v>
      </c>
      <c r="I1892" s="3">
        <v>0</v>
      </c>
      <c r="J1892" s="3">
        <v>0</v>
      </c>
      <c r="K1892" s="3">
        <v>3000</v>
      </c>
    </row>
    <row r="1893" spans="1:11" x14ac:dyDescent="0.2">
      <c r="A1893" s="1" t="s">
        <v>4994</v>
      </c>
      <c r="B1893" s="1" t="s">
        <v>2397</v>
      </c>
      <c r="C1893" s="1"/>
      <c r="D1893" s="1"/>
      <c r="E1893" s="1"/>
      <c r="F1893" s="1"/>
      <c r="G1893" s="1"/>
      <c r="H1893" s="1" t="str">
        <f>"7809601116959"</f>
        <v>7809601116959</v>
      </c>
      <c r="I1893" s="3">
        <v>0</v>
      </c>
      <c r="J1893" s="3">
        <v>0</v>
      </c>
      <c r="K1893" s="3">
        <v>5000</v>
      </c>
    </row>
    <row r="1894" spans="1:11" x14ac:dyDescent="0.2">
      <c r="A1894" s="1" t="s">
        <v>4994</v>
      </c>
      <c r="B1894" s="1" t="s">
        <v>2398</v>
      </c>
      <c r="C1894" s="1"/>
      <c r="D1894" s="1"/>
      <c r="E1894" s="1"/>
      <c r="F1894" s="1"/>
      <c r="G1894" s="1"/>
      <c r="H1894" s="1" t="str">
        <f>"247980010173"</f>
        <v>247980010173</v>
      </c>
      <c r="I1894" s="3">
        <v>0</v>
      </c>
      <c r="J1894" s="3">
        <v>0</v>
      </c>
      <c r="K1894" s="3">
        <v>4500</v>
      </c>
    </row>
    <row r="1895" spans="1:11" x14ac:dyDescent="0.2">
      <c r="A1895" s="1" t="s">
        <v>4994</v>
      </c>
      <c r="B1895" s="1" t="s">
        <v>2399</v>
      </c>
      <c r="C1895" s="1"/>
      <c r="D1895" s="1"/>
      <c r="E1895" s="1"/>
      <c r="F1895" s="1"/>
      <c r="G1895" s="1"/>
      <c r="H1895" s="1" t="str">
        <f>"7804640562019"</f>
        <v>7804640562019</v>
      </c>
      <c r="I1895" s="3">
        <v>33</v>
      </c>
      <c r="J1895" s="3">
        <v>0</v>
      </c>
      <c r="K1895" s="3">
        <v>6000</v>
      </c>
    </row>
    <row r="1896" spans="1:11" x14ac:dyDescent="0.2">
      <c r="A1896" s="1" t="s">
        <v>4994</v>
      </c>
      <c r="B1896" s="1" t="s">
        <v>2400</v>
      </c>
      <c r="C1896" s="1"/>
      <c r="D1896" s="1"/>
      <c r="E1896" s="1"/>
      <c r="F1896" s="1"/>
      <c r="G1896" s="1"/>
      <c r="H1896" s="1" t="str">
        <f>"7805633002291"</f>
        <v>7805633002291</v>
      </c>
      <c r="I1896" s="3">
        <v>0</v>
      </c>
      <c r="J1896" s="3">
        <v>0</v>
      </c>
      <c r="K1896" s="3">
        <v>5000</v>
      </c>
    </row>
    <row r="1897" spans="1:11" x14ac:dyDescent="0.2">
      <c r="A1897" s="1" t="s">
        <v>4994</v>
      </c>
      <c r="B1897" s="1" t="s">
        <v>2401</v>
      </c>
      <c r="C1897" s="1"/>
      <c r="D1897" s="1"/>
      <c r="E1897" s="1"/>
      <c r="F1897" s="1"/>
      <c r="G1897" s="1"/>
      <c r="H1897" s="1" t="str">
        <f>"7805633002253"</f>
        <v>7805633002253</v>
      </c>
      <c r="I1897" s="3">
        <v>0</v>
      </c>
      <c r="J1897" s="3">
        <v>0</v>
      </c>
      <c r="K1897" s="3">
        <v>8000</v>
      </c>
    </row>
    <row r="1898" spans="1:11" x14ac:dyDescent="0.2">
      <c r="A1898" s="1" t="s">
        <v>4994</v>
      </c>
      <c r="B1898" s="1" t="s">
        <v>2402</v>
      </c>
      <c r="C1898" s="1"/>
      <c r="D1898" s="1"/>
      <c r="E1898" s="1"/>
      <c r="F1898" s="1"/>
      <c r="G1898" s="1"/>
      <c r="H1898" s="1" t="str">
        <f>"7805633002345"</f>
        <v>7805633002345</v>
      </c>
      <c r="I1898" s="3">
        <v>0</v>
      </c>
      <c r="J1898" s="3">
        <v>0</v>
      </c>
      <c r="K1898" s="3">
        <v>10000</v>
      </c>
    </row>
    <row r="1899" spans="1:11" x14ac:dyDescent="0.2">
      <c r="A1899" s="1" t="s">
        <v>4994</v>
      </c>
      <c r="B1899" s="1" t="s">
        <v>2403</v>
      </c>
      <c r="C1899" s="1"/>
      <c r="D1899" s="1"/>
      <c r="E1899" s="1"/>
      <c r="F1899" s="1"/>
      <c r="G1899" s="1"/>
      <c r="H1899" s="1" t="str">
        <f>"7805633002352"</f>
        <v>7805633002352</v>
      </c>
      <c r="I1899" s="3">
        <v>0</v>
      </c>
      <c r="J1899" s="3">
        <v>0</v>
      </c>
      <c r="K1899" s="3">
        <v>10000</v>
      </c>
    </row>
    <row r="1900" spans="1:11" x14ac:dyDescent="0.2">
      <c r="A1900" s="1" t="s">
        <v>4994</v>
      </c>
      <c r="B1900" s="1" t="s">
        <v>2404</v>
      </c>
      <c r="C1900" s="1"/>
      <c r="D1900" s="1"/>
      <c r="E1900" s="1"/>
      <c r="F1900" s="1"/>
      <c r="G1900" s="1"/>
      <c r="H1900" s="1" t="str">
        <f>"7805633002307"</f>
        <v>7805633002307</v>
      </c>
      <c r="I1900" s="3">
        <v>0</v>
      </c>
      <c r="J1900" s="3">
        <v>0</v>
      </c>
      <c r="K1900" s="3">
        <v>7000</v>
      </c>
    </row>
    <row r="1901" spans="1:11" x14ac:dyDescent="0.2">
      <c r="A1901" s="1" t="s">
        <v>4994</v>
      </c>
      <c r="B1901" s="1" t="s">
        <v>2405</v>
      </c>
      <c r="C1901" s="1"/>
      <c r="D1901" s="1"/>
      <c r="E1901" s="1"/>
      <c r="F1901" s="1"/>
      <c r="G1901" s="1"/>
      <c r="H1901" s="1" t="str">
        <f>"7805633011033"</f>
        <v>7805633011033</v>
      </c>
      <c r="I1901" s="3">
        <v>3</v>
      </c>
      <c r="J1901" s="3">
        <v>0</v>
      </c>
      <c r="K1901" s="3">
        <v>5000</v>
      </c>
    </row>
    <row r="1902" spans="1:11" x14ac:dyDescent="0.2">
      <c r="A1902" s="1" t="s">
        <v>4994</v>
      </c>
      <c r="B1902" s="1" t="s">
        <v>2406</v>
      </c>
      <c r="C1902" s="1"/>
      <c r="D1902" s="1"/>
      <c r="E1902" s="1"/>
      <c r="F1902" s="1"/>
      <c r="G1902" s="1"/>
      <c r="H1902" s="1" t="str">
        <f>"7805633011057"</f>
        <v>7805633011057</v>
      </c>
      <c r="I1902" s="3">
        <v>7</v>
      </c>
      <c r="J1902" s="3">
        <v>0</v>
      </c>
      <c r="K1902" s="3">
        <v>5000</v>
      </c>
    </row>
    <row r="1903" spans="1:11" x14ac:dyDescent="0.2">
      <c r="A1903" s="1" t="s">
        <v>4994</v>
      </c>
      <c r="B1903" s="1" t="s">
        <v>2407</v>
      </c>
      <c r="C1903" s="1"/>
      <c r="D1903" s="1"/>
      <c r="E1903" s="1"/>
      <c r="F1903" s="1"/>
      <c r="G1903" s="1"/>
      <c r="H1903" s="1" t="str">
        <f>"7805633003205"</f>
        <v>7805633003205</v>
      </c>
      <c r="I1903" s="3">
        <v>10</v>
      </c>
      <c r="J1903" s="3">
        <v>0</v>
      </c>
      <c r="K1903" s="3">
        <v>4000</v>
      </c>
    </row>
    <row r="1904" spans="1:11" x14ac:dyDescent="0.2">
      <c r="A1904" s="1" t="s">
        <v>4994</v>
      </c>
      <c r="B1904" s="1" t="s">
        <v>2408</v>
      </c>
      <c r="C1904" s="1"/>
      <c r="D1904" s="1"/>
      <c r="E1904" s="1"/>
      <c r="F1904" s="1"/>
      <c r="G1904" s="1"/>
      <c r="H1904" s="1" t="str">
        <f>"7805633002314"</f>
        <v>7805633002314</v>
      </c>
      <c r="I1904" s="3">
        <v>0</v>
      </c>
      <c r="J1904" s="3">
        <v>0</v>
      </c>
      <c r="K1904" s="3">
        <v>7000</v>
      </c>
    </row>
    <row r="1905" spans="1:11" x14ac:dyDescent="0.2">
      <c r="A1905" s="1" t="s">
        <v>4994</v>
      </c>
      <c r="B1905" s="1" t="s">
        <v>2409</v>
      </c>
      <c r="C1905" s="1"/>
      <c r="D1905" s="1"/>
      <c r="E1905" s="1"/>
      <c r="F1905" s="1"/>
      <c r="G1905" s="1"/>
      <c r="H1905" s="1" t="str">
        <f>"7805633002239"</f>
        <v>7805633002239</v>
      </c>
      <c r="I1905" s="3">
        <v>2</v>
      </c>
      <c r="J1905" s="3">
        <v>0</v>
      </c>
      <c r="K1905" s="3">
        <v>5000</v>
      </c>
    </row>
    <row r="1906" spans="1:11" x14ac:dyDescent="0.2">
      <c r="A1906" s="1" t="s">
        <v>4994</v>
      </c>
      <c r="B1906" s="1" t="s">
        <v>2410</v>
      </c>
      <c r="C1906" s="1"/>
      <c r="D1906" s="1"/>
      <c r="E1906" s="1"/>
      <c r="F1906" s="1"/>
      <c r="G1906" s="1"/>
      <c r="H1906" s="1" t="str">
        <f>"7805633011026"</f>
        <v>7805633011026</v>
      </c>
      <c r="I1906" s="3">
        <v>0</v>
      </c>
      <c r="J1906" s="3">
        <v>0</v>
      </c>
      <c r="K1906" s="3">
        <v>3500</v>
      </c>
    </row>
    <row r="1907" spans="1:11" x14ac:dyDescent="0.2">
      <c r="A1907" s="1" t="s">
        <v>4994</v>
      </c>
      <c r="B1907" s="1" t="s">
        <v>2411</v>
      </c>
      <c r="C1907" s="1"/>
      <c r="D1907" s="1"/>
      <c r="E1907" s="1"/>
      <c r="F1907" s="1"/>
      <c r="G1907" s="1"/>
      <c r="H1907" s="1" t="str">
        <f>"7805633002222"</f>
        <v>7805633002222</v>
      </c>
      <c r="I1907" s="3">
        <v>0</v>
      </c>
      <c r="J1907" s="3">
        <v>0</v>
      </c>
      <c r="K1907" s="3">
        <v>5000</v>
      </c>
    </row>
    <row r="1908" spans="1:11" x14ac:dyDescent="0.2">
      <c r="A1908" s="1" t="s">
        <v>4994</v>
      </c>
      <c r="B1908" s="1" t="s">
        <v>2412</v>
      </c>
      <c r="C1908" s="1"/>
      <c r="D1908" s="1"/>
      <c r="E1908" s="1"/>
      <c r="F1908" s="1"/>
      <c r="G1908" s="1"/>
      <c r="H1908" s="1" t="str">
        <f>"7809604030726"</f>
        <v>7809604030726</v>
      </c>
      <c r="I1908" s="3">
        <v>0</v>
      </c>
      <c r="J1908" s="3">
        <v>0</v>
      </c>
      <c r="K1908" s="3">
        <v>2500</v>
      </c>
    </row>
    <row r="1909" spans="1:11" x14ac:dyDescent="0.2">
      <c r="A1909" s="1" t="s">
        <v>4994</v>
      </c>
      <c r="B1909" s="1" t="s">
        <v>2413</v>
      </c>
      <c r="C1909" s="1"/>
      <c r="D1909" s="1"/>
      <c r="E1909" s="1"/>
      <c r="F1909" s="1"/>
      <c r="G1909" s="1"/>
      <c r="H1909" s="1" t="str">
        <f>"75917849339129"</f>
        <v>75917849339129</v>
      </c>
      <c r="I1909" s="3">
        <v>2</v>
      </c>
      <c r="J1909" s="3">
        <v>0</v>
      </c>
      <c r="K1909" s="3">
        <v>9500</v>
      </c>
    </row>
    <row r="1910" spans="1:11" x14ac:dyDescent="0.2">
      <c r="A1910" s="1" t="s">
        <v>4994</v>
      </c>
      <c r="B1910" s="1" t="s">
        <v>2414</v>
      </c>
      <c r="C1910" s="1"/>
      <c r="D1910" s="1"/>
      <c r="E1910" s="1"/>
      <c r="F1910" s="1"/>
      <c r="G1910" s="1"/>
      <c r="H1910" s="1" t="str">
        <f>"7794626013737"</f>
        <v>7794626013737</v>
      </c>
      <c r="I1910" s="3">
        <v>0</v>
      </c>
      <c r="J1910" s="3">
        <v>0</v>
      </c>
      <c r="K1910" s="3">
        <v>1000</v>
      </c>
    </row>
    <row r="1911" spans="1:11" x14ac:dyDescent="0.2">
      <c r="A1911" s="1" t="s">
        <v>4994</v>
      </c>
      <c r="B1911" s="1" t="s">
        <v>2415</v>
      </c>
      <c r="C1911" s="1"/>
      <c r="D1911" s="1"/>
      <c r="E1911" s="1"/>
      <c r="F1911" s="1"/>
      <c r="G1911" s="1"/>
      <c r="H1911" s="1" t="str">
        <f>"7794626009624"</f>
        <v>7794626009624</v>
      </c>
      <c r="I1911" s="3">
        <v>1</v>
      </c>
      <c r="J1911" s="3">
        <v>0</v>
      </c>
      <c r="K1911" s="3">
        <v>8500</v>
      </c>
    </row>
    <row r="1912" spans="1:11" x14ac:dyDescent="0.2">
      <c r="A1912" s="1" t="s">
        <v>4994</v>
      </c>
      <c r="B1912" s="1" t="s">
        <v>2416</v>
      </c>
      <c r="C1912" s="1"/>
      <c r="D1912" s="1"/>
      <c r="E1912" s="1"/>
      <c r="F1912" s="1"/>
      <c r="G1912" s="1"/>
      <c r="H1912" s="1" t="str">
        <f>"3662042006258"</f>
        <v>3662042006258</v>
      </c>
      <c r="I1912" s="3">
        <v>6</v>
      </c>
      <c r="J1912" s="3">
        <v>0</v>
      </c>
      <c r="K1912" s="3">
        <v>26000</v>
      </c>
    </row>
    <row r="1913" spans="1:11" x14ac:dyDescent="0.2">
      <c r="A1913" s="1" t="s">
        <v>4994</v>
      </c>
      <c r="B1913" s="1" t="s">
        <v>2417</v>
      </c>
      <c r="C1913" s="1"/>
      <c r="D1913" s="1"/>
      <c r="E1913" s="1"/>
      <c r="F1913" s="1"/>
      <c r="G1913" s="1"/>
      <c r="H1913" s="1" t="str">
        <f>"4031626710789"</f>
        <v>4031626710789</v>
      </c>
      <c r="I1913" s="3">
        <v>0</v>
      </c>
      <c r="J1913" s="3">
        <v>0</v>
      </c>
      <c r="K1913" s="3">
        <v>23000</v>
      </c>
    </row>
    <row r="1914" spans="1:11" x14ac:dyDescent="0.2">
      <c r="A1914" s="1" t="s">
        <v>4994</v>
      </c>
      <c r="B1914" s="1" t="s">
        <v>2418</v>
      </c>
      <c r="C1914" s="1"/>
      <c r="D1914" s="1"/>
      <c r="E1914" s="1"/>
      <c r="F1914" s="1"/>
      <c r="G1914" s="1"/>
      <c r="H1914" s="1" t="str">
        <f>"8888700000122"</f>
        <v>8888700000122</v>
      </c>
      <c r="I1914" s="3">
        <v>0</v>
      </c>
      <c r="J1914" s="3">
        <v>0</v>
      </c>
      <c r="K1914" s="3">
        <v>4000</v>
      </c>
    </row>
    <row r="1915" spans="1:11" x14ac:dyDescent="0.2">
      <c r="A1915" s="1" t="s">
        <v>4994</v>
      </c>
      <c r="B1915" s="1" t="s">
        <v>2419</v>
      </c>
      <c r="C1915" s="1"/>
      <c r="D1915" s="1"/>
      <c r="E1915" s="1"/>
      <c r="F1915" s="1"/>
      <c r="G1915" s="1"/>
      <c r="H1915" s="1" t="str">
        <f>"7800018178394"</f>
        <v>7800018178394</v>
      </c>
      <c r="I1915" s="3">
        <v>0</v>
      </c>
      <c r="J1915" s="3">
        <v>0</v>
      </c>
      <c r="K1915" s="3">
        <v>40000</v>
      </c>
    </row>
    <row r="1916" spans="1:11" x14ac:dyDescent="0.2">
      <c r="A1916" s="1" t="s">
        <v>4994</v>
      </c>
      <c r="B1916" s="1" t="s">
        <v>2420</v>
      </c>
      <c r="C1916" s="1"/>
      <c r="D1916" s="1"/>
      <c r="E1916" s="1"/>
      <c r="F1916" s="1"/>
      <c r="G1916" s="1"/>
      <c r="H1916" s="1" t="str">
        <f>"7801505002864"</f>
        <v>7801505002864</v>
      </c>
      <c r="I1916" s="3">
        <v>0</v>
      </c>
      <c r="J1916" s="3">
        <v>0</v>
      </c>
      <c r="K1916" s="3">
        <v>3500</v>
      </c>
    </row>
    <row r="1917" spans="1:11" x14ac:dyDescent="0.2">
      <c r="A1917" s="1" t="s">
        <v>4994</v>
      </c>
      <c r="B1917" s="1" t="s">
        <v>2421</v>
      </c>
      <c r="C1917" s="1"/>
      <c r="D1917" s="1"/>
      <c r="E1917" s="1"/>
      <c r="F1917" s="1"/>
      <c r="G1917" s="1"/>
      <c r="H1917" s="1" t="str">
        <f>"7800018160702"</f>
        <v>7800018160702</v>
      </c>
      <c r="I1917" s="3">
        <v>0</v>
      </c>
      <c r="J1917" s="3">
        <v>0</v>
      </c>
      <c r="K1917" s="3">
        <v>37000</v>
      </c>
    </row>
    <row r="1918" spans="1:11" x14ac:dyDescent="0.2">
      <c r="A1918" s="1" t="s">
        <v>4994</v>
      </c>
      <c r="B1918" s="1" t="s">
        <v>2422</v>
      </c>
      <c r="C1918" s="1"/>
      <c r="D1918" s="1"/>
      <c r="E1918" s="1"/>
      <c r="F1918" s="1"/>
      <c r="G1918" s="1"/>
      <c r="H1918" s="1" t="str">
        <f>"7804620835652"</f>
        <v>7804620835652</v>
      </c>
      <c r="I1918" s="3">
        <v>0</v>
      </c>
      <c r="J1918" s="3">
        <v>0</v>
      </c>
      <c r="K1918" s="3">
        <v>1500</v>
      </c>
    </row>
    <row r="1919" spans="1:11" x14ac:dyDescent="0.2">
      <c r="A1919" s="1" t="s">
        <v>4994</v>
      </c>
      <c r="B1919" s="1" t="s">
        <v>2423</v>
      </c>
      <c r="C1919" s="1"/>
      <c r="D1919" s="1"/>
      <c r="E1919" s="1"/>
      <c r="F1919" s="1"/>
      <c r="G1919" s="1"/>
      <c r="H1919" s="1" t="str">
        <f>"7804620836109"</f>
        <v>7804620836109</v>
      </c>
      <c r="I1919" s="3">
        <v>0</v>
      </c>
      <c r="J1919" s="3">
        <v>0</v>
      </c>
      <c r="K1919" s="3">
        <v>2000</v>
      </c>
    </row>
    <row r="1920" spans="1:11" x14ac:dyDescent="0.2">
      <c r="A1920" s="1" t="s">
        <v>4994</v>
      </c>
      <c r="B1920" s="1" t="s">
        <v>2426</v>
      </c>
      <c r="C1920" s="1"/>
      <c r="D1920" s="1"/>
      <c r="E1920" s="1"/>
      <c r="F1920" s="1"/>
      <c r="G1920" s="1"/>
      <c r="H1920" s="1" t="str">
        <f>"7800041000044"</f>
        <v>7800041000044</v>
      </c>
      <c r="I1920" s="3">
        <v>0</v>
      </c>
      <c r="J1920" s="3">
        <v>0</v>
      </c>
      <c r="K1920" s="3">
        <v>2000</v>
      </c>
    </row>
    <row r="1921" spans="1:11" x14ac:dyDescent="0.2">
      <c r="A1921" s="1" t="s">
        <v>4994</v>
      </c>
      <c r="B1921" s="1" t="s">
        <v>2427</v>
      </c>
      <c r="C1921" s="1"/>
      <c r="D1921" s="1"/>
      <c r="E1921" s="1"/>
      <c r="F1921" s="1"/>
      <c r="G1921" s="1"/>
      <c r="H1921" s="1" t="str">
        <f>"7800041043980"</f>
        <v>7800041043980</v>
      </c>
      <c r="I1921" s="3">
        <v>0</v>
      </c>
      <c r="J1921" s="3">
        <v>0</v>
      </c>
      <c r="K1921" s="3">
        <v>4000</v>
      </c>
    </row>
    <row r="1922" spans="1:11" x14ac:dyDescent="0.2">
      <c r="A1922" s="1" t="s">
        <v>4994</v>
      </c>
      <c r="B1922" s="1" t="s">
        <v>2429</v>
      </c>
      <c r="C1922" s="1"/>
      <c r="D1922" s="1"/>
      <c r="E1922" s="1"/>
      <c r="F1922" s="1"/>
      <c r="G1922" s="1"/>
      <c r="H1922" s="1" t="str">
        <f>"7804620833504"</f>
        <v>7804620833504</v>
      </c>
      <c r="I1922" s="3">
        <v>0</v>
      </c>
      <c r="J1922" s="3">
        <v>0</v>
      </c>
      <c r="K1922" s="3">
        <v>2000</v>
      </c>
    </row>
    <row r="1923" spans="1:11" x14ac:dyDescent="0.2">
      <c r="A1923" s="1" t="s">
        <v>4994</v>
      </c>
      <c r="B1923" s="1" t="s">
        <v>2430</v>
      </c>
      <c r="C1923" s="1"/>
      <c r="D1923" s="1"/>
      <c r="E1923" s="1"/>
      <c r="F1923" s="1"/>
      <c r="G1923" s="1"/>
      <c r="H1923" s="1" t="str">
        <f>"7804650880059"</f>
        <v>7804650880059</v>
      </c>
      <c r="I1923" s="3">
        <v>0</v>
      </c>
      <c r="J1923" s="3">
        <v>0</v>
      </c>
      <c r="K1923" s="3">
        <v>1500</v>
      </c>
    </row>
    <row r="1924" spans="1:11" x14ac:dyDescent="0.2">
      <c r="A1924" s="1" t="s">
        <v>4994</v>
      </c>
      <c r="B1924" s="1" t="s">
        <v>2436</v>
      </c>
      <c r="C1924" s="1"/>
      <c r="D1924" s="1"/>
      <c r="E1924" s="1"/>
      <c r="F1924" s="1"/>
      <c r="G1924" s="1"/>
      <c r="H1924" s="1" t="str">
        <f>"7804650880028"</f>
        <v>7804650880028</v>
      </c>
      <c r="I1924" s="3">
        <v>0</v>
      </c>
      <c r="J1924" s="3">
        <v>0</v>
      </c>
      <c r="K1924" s="3">
        <v>1000</v>
      </c>
    </row>
    <row r="1925" spans="1:11" x14ac:dyDescent="0.2">
      <c r="A1925" s="1" t="s">
        <v>4994</v>
      </c>
      <c r="B1925" s="1" t="s">
        <v>2437</v>
      </c>
      <c r="C1925" s="1"/>
      <c r="D1925" s="1"/>
      <c r="E1925" s="1"/>
      <c r="F1925" s="1"/>
      <c r="G1925" s="1"/>
      <c r="H1925" s="1" t="str">
        <f>"7793640992530"</f>
        <v>7793640992530</v>
      </c>
      <c r="I1925" s="3">
        <v>26</v>
      </c>
      <c r="J1925" s="3">
        <v>0</v>
      </c>
      <c r="K1925" s="3">
        <v>2500</v>
      </c>
    </row>
    <row r="1926" spans="1:11" x14ac:dyDescent="0.2">
      <c r="A1926" s="1" t="s">
        <v>4994</v>
      </c>
      <c r="B1926" s="1" t="s">
        <v>2438</v>
      </c>
      <c r="C1926" s="1"/>
      <c r="D1926" s="1"/>
      <c r="E1926" s="1"/>
      <c r="F1926" s="1"/>
      <c r="G1926" s="1"/>
      <c r="H1926" s="1" t="str">
        <f>"7800070006154"</f>
        <v>7800070006154</v>
      </c>
      <c r="I1926" s="3">
        <v>0</v>
      </c>
      <c r="J1926" s="3">
        <v>0</v>
      </c>
      <c r="K1926" s="3">
        <v>23000</v>
      </c>
    </row>
    <row r="1927" spans="1:11" x14ac:dyDescent="0.2">
      <c r="A1927" s="1" t="s">
        <v>4994</v>
      </c>
      <c r="B1927" s="1" t="s">
        <v>2439</v>
      </c>
      <c r="C1927" s="1"/>
      <c r="D1927" s="1"/>
      <c r="E1927" s="1"/>
      <c r="F1927" s="1"/>
      <c r="G1927" s="1"/>
      <c r="H1927" s="1" t="str">
        <f>"7800060009363"</f>
        <v>7800060009363</v>
      </c>
      <c r="I1927" s="3">
        <v>0</v>
      </c>
      <c r="J1927" s="3">
        <v>0</v>
      </c>
      <c r="K1927" s="3">
        <v>12000</v>
      </c>
    </row>
    <row r="1928" spans="1:11" x14ac:dyDescent="0.2">
      <c r="A1928" s="1" t="s">
        <v>4994</v>
      </c>
      <c r="B1928" s="1" t="s">
        <v>2440</v>
      </c>
      <c r="C1928" s="1"/>
      <c r="D1928" s="1"/>
      <c r="E1928" s="1"/>
      <c r="F1928" s="1"/>
      <c r="G1928" s="1"/>
      <c r="H1928" s="1" t="str">
        <f>"7800060414327"</f>
        <v>7800060414327</v>
      </c>
      <c r="I1928" s="3">
        <v>11</v>
      </c>
      <c r="J1928" s="3">
        <v>0</v>
      </c>
      <c r="K1928" s="3">
        <v>8500</v>
      </c>
    </row>
    <row r="1929" spans="1:11" x14ac:dyDescent="0.2">
      <c r="A1929" s="1" t="s">
        <v>4994</v>
      </c>
      <c r="B1929" s="1" t="s">
        <v>2442</v>
      </c>
      <c r="C1929" s="1"/>
      <c r="D1929" s="1"/>
      <c r="E1929" s="1"/>
      <c r="F1929" s="1"/>
      <c r="G1929" s="1"/>
      <c r="H1929" s="1" t="str">
        <f>"2000341103369"</f>
        <v>2000341103369</v>
      </c>
      <c r="I1929" s="3">
        <v>8</v>
      </c>
      <c r="J1929" s="3">
        <v>0</v>
      </c>
      <c r="K1929" s="3">
        <v>6500</v>
      </c>
    </row>
    <row r="1930" spans="1:11" x14ac:dyDescent="0.2">
      <c r="A1930" s="1" t="s">
        <v>4994</v>
      </c>
      <c r="B1930" s="1" t="s">
        <v>2443</v>
      </c>
      <c r="C1930" s="1"/>
      <c r="D1930" s="1"/>
      <c r="E1930" s="1"/>
      <c r="F1930" s="1"/>
      <c r="G1930" s="1"/>
      <c r="H1930" s="1" t="str">
        <f>"2000111102103"</f>
        <v>2000111102103</v>
      </c>
      <c r="I1930" s="3">
        <v>0</v>
      </c>
      <c r="J1930" s="3">
        <v>0</v>
      </c>
      <c r="K1930" s="3">
        <v>6500</v>
      </c>
    </row>
    <row r="1931" spans="1:11" x14ac:dyDescent="0.2">
      <c r="A1931" s="1" t="s">
        <v>4994</v>
      </c>
      <c r="B1931" s="1" t="s">
        <v>2444</v>
      </c>
      <c r="C1931" s="1"/>
      <c r="D1931" s="1"/>
      <c r="E1931" s="1"/>
      <c r="F1931" s="1"/>
      <c r="G1931" s="1"/>
      <c r="H1931" s="1" t="str">
        <f>"2000111102233"</f>
        <v>2000111102233</v>
      </c>
      <c r="I1931" s="3">
        <v>3</v>
      </c>
      <c r="J1931" s="3">
        <v>0</v>
      </c>
      <c r="K1931" s="3">
        <v>6500</v>
      </c>
    </row>
    <row r="1932" spans="1:11" x14ac:dyDescent="0.2">
      <c r="A1932" s="1" t="s">
        <v>4994</v>
      </c>
      <c r="B1932" s="1" t="s">
        <v>2445</v>
      </c>
      <c r="C1932" s="1"/>
      <c r="D1932" s="1"/>
      <c r="E1932" s="1"/>
      <c r="F1932" s="1"/>
      <c r="G1932" s="1"/>
      <c r="H1932" s="1" t="str">
        <f>"7501298215228"</f>
        <v>7501298215228</v>
      </c>
      <c r="I1932" s="3">
        <v>8</v>
      </c>
      <c r="J1932" s="3">
        <v>0</v>
      </c>
      <c r="K1932" s="3">
        <v>0</v>
      </c>
    </row>
    <row r="1933" spans="1:11" x14ac:dyDescent="0.2">
      <c r="A1933" s="1" t="s">
        <v>4994</v>
      </c>
      <c r="B1933" s="1" t="s">
        <v>2446</v>
      </c>
      <c r="C1933" s="1"/>
      <c r="D1933" s="1"/>
      <c r="E1933" s="1"/>
      <c r="F1933" s="1"/>
      <c r="G1933" s="1"/>
      <c r="H1933" s="1" t="str">
        <f>"7804923031560"</f>
        <v>7804923031560</v>
      </c>
      <c r="I1933" s="3">
        <v>0</v>
      </c>
      <c r="J1933" s="3">
        <v>0</v>
      </c>
      <c r="K1933" s="3">
        <v>2500</v>
      </c>
    </row>
    <row r="1934" spans="1:11" x14ac:dyDescent="0.2">
      <c r="A1934" s="1" t="s">
        <v>4994</v>
      </c>
      <c r="B1934" s="1" t="s">
        <v>2447</v>
      </c>
      <c r="C1934" s="1"/>
      <c r="D1934" s="1"/>
      <c r="E1934" s="1"/>
      <c r="F1934" s="1"/>
      <c r="G1934" s="1"/>
      <c r="H1934" s="1" t="str">
        <f>"7804923031249"</f>
        <v>7804923031249</v>
      </c>
      <c r="I1934" s="3">
        <v>0</v>
      </c>
      <c r="J1934" s="3">
        <v>0</v>
      </c>
      <c r="K1934" s="3">
        <v>2500</v>
      </c>
    </row>
    <row r="1935" spans="1:11" x14ac:dyDescent="0.2">
      <c r="A1935" s="1" t="s">
        <v>4994</v>
      </c>
      <c r="B1935" s="1" t="s">
        <v>2447</v>
      </c>
      <c r="C1935" s="1"/>
      <c r="D1935" s="1"/>
      <c r="E1935" s="1"/>
      <c r="F1935" s="1"/>
      <c r="G1935" s="1"/>
      <c r="H1935" s="1" t="str">
        <f>"iliitno"</f>
        <v>iliitno</v>
      </c>
      <c r="I1935" s="3">
        <v>0</v>
      </c>
      <c r="J1935" s="3">
        <v>0</v>
      </c>
      <c r="K1935" s="3">
        <v>2500</v>
      </c>
    </row>
    <row r="1936" spans="1:11" x14ac:dyDescent="0.2">
      <c r="A1936" s="1" t="s">
        <v>4994</v>
      </c>
      <c r="B1936" s="1" t="s">
        <v>2448</v>
      </c>
      <c r="C1936" s="1"/>
      <c r="D1936" s="1"/>
      <c r="E1936" s="1"/>
      <c r="F1936" s="1"/>
      <c r="G1936" s="1"/>
      <c r="H1936" s="1" t="str">
        <f>"7804923031287"</f>
        <v>7804923031287</v>
      </c>
      <c r="I1936" s="3">
        <v>0</v>
      </c>
      <c r="J1936" s="3">
        <v>0</v>
      </c>
      <c r="K1936" s="3">
        <v>2500</v>
      </c>
    </row>
    <row r="1937" spans="1:11" x14ac:dyDescent="0.2">
      <c r="A1937" s="1" t="s">
        <v>4994</v>
      </c>
      <c r="B1937" s="1" t="s">
        <v>2449</v>
      </c>
      <c r="C1937" s="1"/>
      <c r="D1937" s="1"/>
      <c r="E1937" s="1"/>
      <c r="F1937" s="1"/>
      <c r="G1937" s="1"/>
      <c r="H1937" s="1" t="str">
        <f>"7804923031454"</f>
        <v>7804923031454</v>
      </c>
      <c r="I1937" s="3">
        <v>0</v>
      </c>
      <c r="J1937" s="3">
        <v>0</v>
      </c>
      <c r="K1937" s="3">
        <v>2500</v>
      </c>
    </row>
    <row r="1938" spans="1:11" x14ac:dyDescent="0.2">
      <c r="A1938" s="1" t="s">
        <v>4994</v>
      </c>
      <c r="B1938" s="1" t="s">
        <v>2450</v>
      </c>
      <c r="C1938" s="1"/>
      <c r="D1938" s="1"/>
      <c r="E1938" s="1"/>
      <c r="F1938" s="1"/>
      <c r="G1938" s="1"/>
      <c r="H1938" s="1" t="str">
        <f>"7804923031317"</f>
        <v>7804923031317</v>
      </c>
      <c r="I1938" s="3">
        <v>0</v>
      </c>
      <c r="J1938" s="3">
        <v>0</v>
      </c>
      <c r="K1938" s="3">
        <v>2500</v>
      </c>
    </row>
    <row r="1939" spans="1:11" x14ac:dyDescent="0.2">
      <c r="A1939" s="1" t="s">
        <v>4994</v>
      </c>
      <c r="B1939" s="1" t="s">
        <v>2451</v>
      </c>
      <c r="C1939" s="1"/>
      <c r="D1939" s="1"/>
      <c r="E1939" s="1"/>
      <c r="F1939" s="1"/>
      <c r="G1939" s="1"/>
      <c r="H1939" s="1" t="str">
        <f>"7804923031409"</f>
        <v>7804923031409</v>
      </c>
      <c r="I1939" s="3">
        <v>0</v>
      </c>
      <c r="J1939" s="3">
        <v>0</v>
      </c>
      <c r="K1939" s="3">
        <v>2500</v>
      </c>
    </row>
    <row r="1940" spans="1:11" x14ac:dyDescent="0.2">
      <c r="A1940" s="1" t="s">
        <v>4994</v>
      </c>
      <c r="B1940" s="1" t="s">
        <v>2452</v>
      </c>
      <c r="C1940" s="1"/>
      <c r="D1940" s="1"/>
      <c r="E1940" s="1"/>
      <c r="F1940" s="1"/>
      <c r="G1940" s="1"/>
      <c r="H1940" s="1" t="str">
        <f>"7804923031478"</f>
        <v>7804923031478</v>
      </c>
      <c r="I1940" s="3">
        <v>2</v>
      </c>
      <c r="J1940" s="3">
        <v>0</v>
      </c>
      <c r="K1940" s="3">
        <v>2500</v>
      </c>
    </row>
    <row r="1941" spans="1:11" x14ac:dyDescent="0.2">
      <c r="A1941" s="1" t="s">
        <v>4994</v>
      </c>
      <c r="B1941" s="1" t="s">
        <v>2453</v>
      </c>
      <c r="C1941" s="1"/>
      <c r="D1941" s="1"/>
      <c r="E1941" s="1"/>
      <c r="F1941" s="1"/>
      <c r="G1941" s="1"/>
      <c r="H1941" s="1" t="str">
        <f>"7804923031522"</f>
        <v>7804923031522</v>
      </c>
      <c r="I1941" s="3">
        <v>0</v>
      </c>
      <c r="J1941" s="3">
        <v>0</v>
      </c>
      <c r="K1941" s="3">
        <v>2500</v>
      </c>
    </row>
    <row r="1942" spans="1:11" x14ac:dyDescent="0.2">
      <c r="A1942" s="1" t="s">
        <v>4994</v>
      </c>
      <c r="B1942" s="1" t="s">
        <v>2454</v>
      </c>
      <c r="C1942" s="1"/>
      <c r="D1942" s="1"/>
      <c r="E1942" s="1"/>
      <c r="F1942" s="1"/>
      <c r="G1942" s="1"/>
      <c r="H1942" s="1" t="str">
        <f>"7804923031553"</f>
        <v>7804923031553</v>
      </c>
      <c r="I1942" s="3">
        <v>6</v>
      </c>
      <c r="J1942" s="3">
        <v>0</v>
      </c>
      <c r="K1942" s="3">
        <v>2500</v>
      </c>
    </row>
    <row r="1943" spans="1:11" x14ac:dyDescent="0.2">
      <c r="A1943" s="1" t="s">
        <v>4994</v>
      </c>
      <c r="B1943" s="1" t="s">
        <v>2455</v>
      </c>
      <c r="C1943" s="1"/>
      <c r="D1943" s="1"/>
      <c r="E1943" s="1"/>
      <c r="F1943" s="1"/>
      <c r="G1943" s="1"/>
      <c r="H1943" s="1" t="str">
        <f>"7804923041354"</f>
        <v>7804923041354</v>
      </c>
      <c r="I1943" s="3">
        <v>0</v>
      </c>
      <c r="J1943" s="3">
        <v>0</v>
      </c>
      <c r="K1943" s="3">
        <v>1500</v>
      </c>
    </row>
    <row r="1944" spans="1:11" x14ac:dyDescent="0.2">
      <c r="A1944" s="1" t="s">
        <v>4994</v>
      </c>
      <c r="B1944" s="1" t="s">
        <v>2456</v>
      </c>
      <c r="C1944" s="1"/>
      <c r="D1944" s="1"/>
      <c r="E1944" s="1"/>
      <c r="F1944" s="1"/>
      <c r="G1944" s="1"/>
      <c r="H1944" s="1" t="str">
        <f>"7804923031461"</f>
        <v>7804923031461</v>
      </c>
      <c r="I1944" s="3">
        <v>1</v>
      </c>
      <c r="J1944" s="3">
        <v>0</v>
      </c>
      <c r="K1944" s="3">
        <v>2500</v>
      </c>
    </row>
    <row r="1945" spans="1:11" x14ac:dyDescent="0.2">
      <c r="A1945" s="1" t="s">
        <v>4994</v>
      </c>
      <c r="B1945" s="1" t="s">
        <v>2457</v>
      </c>
      <c r="C1945" s="1"/>
      <c r="D1945" s="1"/>
      <c r="E1945" s="1"/>
      <c r="F1945" s="1"/>
      <c r="G1945" s="1"/>
      <c r="H1945" s="1" t="str">
        <f>"7804923031515"</f>
        <v>7804923031515</v>
      </c>
      <c r="I1945" s="3">
        <v>6</v>
      </c>
      <c r="J1945" s="3">
        <v>0</v>
      </c>
      <c r="K1945" s="3">
        <v>2500</v>
      </c>
    </row>
    <row r="1946" spans="1:11" x14ac:dyDescent="0.2">
      <c r="A1946" s="1" t="s">
        <v>4994</v>
      </c>
      <c r="B1946" s="1" t="s">
        <v>2458</v>
      </c>
      <c r="C1946" s="1"/>
      <c r="D1946" s="1"/>
      <c r="E1946" s="1"/>
      <c r="F1946" s="1"/>
      <c r="G1946" s="1"/>
      <c r="H1946" s="1" t="str">
        <f>"7841141002750"</f>
        <v>7841141002750</v>
      </c>
      <c r="I1946" s="3">
        <v>0</v>
      </c>
      <c r="J1946" s="3">
        <v>0</v>
      </c>
      <c r="K1946" s="3">
        <v>18000</v>
      </c>
    </row>
    <row r="1947" spans="1:11" x14ac:dyDescent="0.2">
      <c r="A1947" s="1" t="s">
        <v>4994</v>
      </c>
      <c r="B1947" s="1" t="s">
        <v>2459</v>
      </c>
      <c r="C1947" s="1"/>
      <c r="D1947" s="1"/>
      <c r="E1947" s="1"/>
      <c r="F1947" s="1"/>
      <c r="G1947" s="1"/>
      <c r="H1947" s="1" t="str">
        <f>"7841141002736"</f>
        <v>7841141002736</v>
      </c>
      <c r="I1947" s="3">
        <v>0</v>
      </c>
      <c r="J1947" s="3">
        <v>0</v>
      </c>
      <c r="K1947" s="3">
        <v>17000</v>
      </c>
    </row>
    <row r="1948" spans="1:11" x14ac:dyDescent="0.2">
      <c r="A1948" s="1" t="s">
        <v>4994</v>
      </c>
      <c r="B1948" s="1" t="s">
        <v>2464</v>
      </c>
      <c r="C1948" s="1"/>
      <c r="D1948" s="1"/>
      <c r="E1948" s="1"/>
      <c r="F1948" s="1"/>
      <c r="G1948" s="1"/>
      <c r="H1948" s="1" t="str">
        <f>"7841141003474"</f>
        <v>7841141003474</v>
      </c>
      <c r="I1948" s="3">
        <v>8</v>
      </c>
      <c r="J1948" s="3">
        <v>0</v>
      </c>
      <c r="K1948" s="3">
        <v>15500</v>
      </c>
    </row>
    <row r="1949" spans="1:11" x14ac:dyDescent="0.2">
      <c r="A1949" s="1" t="s">
        <v>4994</v>
      </c>
      <c r="B1949" s="1" t="s">
        <v>2466</v>
      </c>
      <c r="C1949" s="1"/>
      <c r="D1949" s="1"/>
      <c r="E1949" s="1"/>
      <c r="F1949" s="1"/>
      <c r="G1949" s="1"/>
      <c r="H1949" s="1" t="str">
        <f>"7800004002146"</f>
        <v>7800004002146</v>
      </c>
      <c r="I1949" s="3">
        <v>37</v>
      </c>
      <c r="J1949" s="3">
        <v>0</v>
      </c>
      <c r="K1949" s="3">
        <v>4000</v>
      </c>
    </row>
    <row r="1950" spans="1:11" x14ac:dyDescent="0.2">
      <c r="A1950" s="1" t="s">
        <v>4994</v>
      </c>
      <c r="B1950" s="1" t="s">
        <v>2468</v>
      </c>
      <c r="C1950" s="1"/>
      <c r="D1950" s="1"/>
      <c r="E1950" s="1"/>
      <c r="F1950" s="1"/>
      <c r="G1950" s="1"/>
      <c r="H1950" s="1" t="str">
        <f>"7800086764307"</f>
        <v>7800086764307</v>
      </c>
      <c r="I1950" s="3">
        <v>0</v>
      </c>
      <c r="J1950" s="3">
        <v>0</v>
      </c>
      <c r="K1950" s="3">
        <v>2000</v>
      </c>
    </row>
    <row r="1951" spans="1:11" x14ac:dyDescent="0.2">
      <c r="A1951" s="1" t="s">
        <v>4994</v>
      </c>
      <c r="B1951" s="1" t="s">
        <v>2469</v>
      </c>
      <c r="C1951" s="1"/>
      <c r="D1951" s="1"/>
      <c r="E1951" s="1"/>
      <c r="F1951" s="1"/>
      <c r="G1951" s="1"/>
      <c r="H1951" s="1" t="str">
        <f>"9228088777787"</f>
        <v>9228088777787</v>
      </c>
      <c r="I1951" s="3">
        <v>0</v>
      </c>
      <c r="J1951" s="3">
        <v>0</v>
      </c>
      <c r="K1951" s="3">
        <v>500</v>
      </c>
    </row>
    <row r="1952" spans="1:11" x14ac:dyDescent="0.2">
      <c r="A1952" s="1" t="s">
        <v>4994</v>
      </c>
      <c r="B1952" s="1" t="s">
        <v>2470</v>
      </c>
      <c r="C1952" s="1"/>
      <c r="D1952" s="1"/>
      <c r="E1952" s="1"/>
      <c r="F1952" s="1"/>
      <c r="G1952" s="1"/>
      <c r="H1952" s="1" t="str">
        <f>"9480797574082"</f>
        <v>9480797574082</v>
      </c>
      <c r="I1952" s="3">
        <v>0</v>
      </c>
      <c r="J1952" s="3">
        <v>0</v>
      </c>
      <c r="K1952" s="3">
        <v>500</v>
      </c>
    </row>
    <row r="1953" spans="1:11" x14ac:dyDescent="0.2">
      <c r="A1953" s="1" t="s">
        <v>4994</v>
      </c>
      <c r="B1953" s="1" t="s">
        <v>2471</v>
      </c>
      <c r="C1953" s="1"/>
      <c r="D1953" s="1"/>
      <c r="E1953" s="1"/>
      <c r="F1953" s="1"/>
      <c r="G1953" s="1"/>
      <c r="H1953" s="1" t="str">
        <f>"8903726277140"</f>
        <v>8903726277140</v>
      </c>
      <c r="I1953" s="3">
        <v>0</v>
      </c>
      <c r="J1953" s="3">
        <v>0</v>
      </c>
      <c r="K1953" s="3">
        <v>4000</v>
      </c>
    </row>
    <row r="1954" spans="1:11" x14ac:dyDescent="0.2">
      <c r="A1954" s="1" t="s">
        <v>4994</v>
      </c>
      <c r="B1954" s="1" t="s">
        <v>2472</v>
      </c>
      <c r="C1954" s="1"/>
      <c r="D1954" s="1"/>
      <c r="E1954" s="1"/>
      <c r="F1954" s="1"/>
      <c r="G1954" s="1"/>
      <c r="H1954" s="1" t="str">
        <f>"7800057000991"</f>
        <v>7800057000991</v>
      </c>
      <c r="I1954" s="3">
        <v>11</v>
      </c>
      <c r="J1954" s="3">
        <v>0</v>
      </c>
      <c r="K1954" s="3">
        <v>4500</v>
      </c>
    </row>
    <row r="1955" spans="1:11" x14ac:dyDescent="0.2">
      <c r="A1955" s="1" t="s">
        <v>4994</v>
      </c>
      <c r="B1955" s="1" t="s">
        <v>2473</v>
      </c>
      <c r="C1955" s="1"/>
      <c r="D1955" s="1"/>
      <c r="E1955" s="1"/>
      <c r="F1955" s="1"/>
      <c r="G1955" s="1"/>
      <c r="H1955" s="1" t="str">
        <f>"7800085000581"</f>
        <v>7800085000581</v>
      </c>
      <c r="I1955" s="3">
        <v>0</v>
      </c>
      <c r="J1955" s="3">
        <v>0</v>
      </c>
      <c r="K1955" s="3">
        <v>6500</v>
      </c>
    </row>
    <row r="1956" spans="1:11" x14ac:dyDescent="0.2">
      <c r="A1956" s="1" t="s">
        <v>4994</v>
      </c>
      <c r="B1956" s="1" t="s">
        <v>2475</v>
      </c>
      <c r="C1956" s="1"/>
      <c r="D1956" s="1"/>
      <c r="E1956" s="1"/>
      <c r="F1956" s="1"/>
      <c r="G1956" s="1"/>
      <c r="H1956" s="1" t="str">
        <f>"7804918451564"</f>
        <v>7804918451564</v>
      </c>
      <c r="I1956" s="3">
        <v>3</v>
      </c>
      <c r="J1956" s="3">
        <v>0</v>
      </c>
      <c r="K1956" s="3">
        <v>9000</v>
      </c>
    </row>
    <row r="1957" spans="1:11" x14ac:dyDescent="0.2">
      <c r="A1957" s="1" t="s">
        <v>4994</v>
      </c>
      <c r="B1957" s="1" t="s">
        <v>2476</v>
      </c>
      <c r="C1957" s="1"/>
      <c r="D1957" s="1"/>
      <c r="E1957" s="1"/>
      <c r="F1957" s="1"/>
      <c r="G1957" s="1"/>
      <c r="H1957" s="1" t="str">
        <f>"7804918500767"</f>
        <v>7804918500767</v>
      </c>
      <c r="I1957" s="3">
        <v>7</v>
      </c>
      <c r="J1957" s="3">
        <v>0</v>
      </c>
      <c r="K1957" s="3">
        <v>7500</v>
      </c>
    </row>
    <row r="1958" spans="1:11" x14ac:dyDescent="0.2">
      <c r="A1958" s="1" t="s">
        <v>4994</v>
      </c>
      <c r="B1958" s="1" t="s">
        <v>2478</v>
      </c>
      <c r="C1958" s="1"/>
      <c r="D1958" s="1"/>
      <c r="E1958" s="1"/>
      <c r="F1958" s="1"/>
      <c r="G1958" s="1"/>
      <c r="H1958" s="1" t="str">
        <f>"7804918451755"</f>
        <v>7804918451755</v>
      </c>
      <c r="I1958" s="3">
        <v>0</v>
      </c>
      <c r="J1958" s="3">
        <v>0</v>
      </c>
      <c r="K1958" s="3">
        <v>5000</v>
      </c>
    </row>
    <row r="1959" spans="1:11" x14ac:dyDescent="0.2">
      <c r="A1959" s="1" t="s">
        <v>4994</v>
      </c>
      <c r="B1959" s="1" t="s">
        <v>2479</v>
      </c>
      <c r="C1959" s="1"/>
      <c r="D1959" s="1"/>
      <c r="E1959" s="1"/>
      <c r="F1959" s="1"/>
      <c r="G1959" s="1"/>
      <c r="H1959" s="1" t="str">
        <f>"7804918500118"</f>
        <v>7804918500118</v>
      </c>
      <c r="I1959" s="3">
        <v>0</v>
      </c>
      <c r="J1959" s="3">
        <v>0</v>
      </c>
      <c r="K1959" s="3">
        <v>8000</v>
      </c>
    </row>
    <row r="1960" spans="1:11" x14ac:dyDescent="0.2">
      <c r="A1960" s="1" t="s">
        <v>4994</v>
      </c>
      <c r="B1960" s="1" t="s">
        <v>2480</v>
      </c>
      <c r="C1960" s="1"/>
      <c r="D1960" s="1"/>
      <c r="E1960" s="1"/>
      <c r="F1960" s="1"/>
      <c r="G1960" s="1"/>
      <c r="H1960" s="1" t="str">
        <f>"010742206011"</f>
        <v>010742206011</v>
      </c>
      <c r="I1960" s="3">
        <v>2</v>
      </c>
      <c r="J1960" s="3">
        <v>0</v>
      </c>
      <c r="K1960" s="3">
        <v>3500</v>
      </c>
    </row>
    <row r="1961" spans="1:11" x14ac:dyDescent="0.2">
      <c r="A1961" s="1" t="s">
        <v>4994</v>
      </c>
      <c r="B1961" s="1" t="s">
        <v>2482</v>
      </c>
      <c r="C1961" s="1"/>
      <c r="D1961" s="1"/>
      <c r="E1961" s="1"/>
      <c r="F1961" s="1"/>
      <c r="G1961" s="1"/>
      <c r="H1961" s="1" t="str">
        <f>"7804947003864"</f>
        <v>7804947003864</v>
      </c>
      <c r="I1961" s="3">
        <v>0</v>
      </c>
      <c r="J1961" s="3">
        <v>0</v>
      </c>
      <c r="K1961" s="3">
        <v>2800</v>
      </c>
    </row>
    <row r="1962" spans="1:11" x14ac:dyDescent="0.2">
      <c r="A1962" s="1" t="s">
        <v>4994</v>
      </c>
      <c r="B1962" s="1" t="s">
        <v>2483</v>
      </c>
      <c r="C1962" s="1"/>
      <c r="D1962" s="1"/>
      <c r="E1962" s="1"/>
      <c r="F1962" s="1"/>
      <c r="G1962" s="1"/>
      <c r="H1962" s="1" t="str">
        <f>"7804947003888"</f>
        <v>7804947003888</v>
      </c>
      <c r="I1962" s="3">
        <v>0</v>
      </c>
      <c r="J1962" s="3">
        <v>0</v>
      </c>
      <c r="K1962" s="3">
        <v>3000</v>
      </c>
    </row>
    <row r="1963" spans="1:11" x14ac:dyDescent="0.2">
      <c r="A1963" s="1" t="s">
        <v>4994</v>
      </c>
      <c r="B1963" s="1" t="s">
        <v>2484</v>
      </c>
      <c r="C1963" s="1"/>
      <c r="D1963" s="1"/>
      <c r="E1963" s="1"/>
      <c r="F1963" s="1"/>
      <c r="G1963" s="1"/>
      <c r="H1963" s="1" t="str">
        <f>"7804947003826"</f>
        <v>7804947003826</v>
      </c>
      <c r="I1963" s="3">
        <v>0</v>
      </c>
      <c r="J1963" s="3">
        <v>0</v>
      </c>
      <c r="K1963" s="3">
        <v>3000</v>
      </c>
    </row>
    <row r="1964" spans="1:11" x14ac:dyDescent="0.2">
      <c r="A1964" s="1" t="s">
        <v>4994</v>
      </c>
      <c r="B1964" s="1" t="s">
        <v>2485</v>
      </c>
      <c r="C1964" s="1"/>
      <c r="D1964" s="1"/>
      <c r="E1964" s="1"/>
      <c r="F1964" s="1"/>
      <c r="G1964" s="1"/>
      <c r="H1964" s="1" t="str">
        <f>"7804947003840"</f>
        <v>7804947003840</v>
      </c>
      <c r="I1964" s="3">
        <v>0</v>
      </c>
      <c r="J1964" s="3">
        <v>0</v>
      </c>
      <c r="K1964" s="3">
        <v>3000</v>
      </c>
    </row>
    <row r="1965" spans="1:11" x14ac:dyDescent="0.2">
      <c r="A1965" s="1" t="s">
        <v>4994</v>
      </c>
      <c r="B1965" s="1" t="s">
        <v>2486</v>
      </c>
      <c r="C1965" s="1"/>
      <c r="D1965" s="1"/>
      <c r="E1965" s="1"/>
      <c r="F1965" s="1"/>
      <c r="G1965" s="1"/>
      <c r="H1965" s="1" t="str">
        <f>"7805357001945"</f>
        <v>7805357001945</v>
      </c>
      <c r="I1965" s="3">
        <v>53</v>
      </c>
      <c r="J1965" s="3">
        <v>0</v>
      </c>
      <c r="K1965" s="3">
        <v>1500</v>
      </c>
    </row>
    <row r="1966" spans="1:11" x14ac:dyDescent="0.2">
      <c r="A1966" s="1" t="s">
        <v>4994</v>
      </c>
      <c r="B1966" s="1" t="s">
        <v>2486</v>
      </c>
      <c r="C1966" s="1"/>
      <c r="D1966" s="1"/>
      <c r="E1966" s="1"/>
      <c r="F1966" s="1"/>
      <c r="G1966" s="1"/>
      <c r="H1966" s="1" t="str">
        <f>"7809526397921"</f>
        <v>7809526397921</v>
      </c>
      <c r="I1966" s="3">
        <v>0</v>
      </c>
      <c r="J1966" s="3">
        <v>0</v>
      </c>
      <c r="K1966" s="3">
        <v>1000</v>
      </c>
    </row>
    <row r="1967" spans="1:11" x14ac:dyDescent="0.2">
      <c r="A1967" s="1" t="s">
        <v>4994</v>
      </c>
      <c r="B1967" s="1" t="s">
        <v>2487</v>
      </c>
      <c r="C1967" s="1"/>
      <c r="D1967" s="1"/>
      <c r="E1967" s="1"/>
      <c r="F1967" s="1"/>
      <c r="G1967" s="1"/>
      <c r="H1967" s="1" t="str">
        <f>"7804621200824"</f>
        <v>7804621200824</v>
      </c>
      <c r="I1967" s="3">
        <v>0</v>
      </c>
      <c r="J1967" s="3">
        <v>0</v>
      </c>
      <c r="K1967" s="3">
        <v>35000</v>
      </c>
    </row>
    <row r="1968" spans="1:11" x14ac:dyDescent="0.2">
      <c r="A1968" s="1" t="s">
        <v>4994</v>
      </c>
      <c r="B1968" s="1" t="s">
        <v>2488</v>
      </c>
      <c r="C1968" s="1"/>
      <c r="D1968" s="1"/>
      <c r="E1968" s="1"/>
      <c r="F1968" s="1"/>
      <c r="G1968" s="1"/>
      <c r="H1968" s="1" t="str">
        <f>"8427426033290"</f>
        <v>8427426033290</v>
      </c>
      <c r="I1968" s="3">
        <v>0</v>
      </c>
      <c r="J1968" s="3">
        <v>0</v>
      </c>
      <c r="K1968" s="3">
        <v>5500</v>
      </c>
    </row>
    <row r="1969" spans="1:11" x14ac:dyDescent="0.2">
      <c r="A1969" s="1" t="s">
        <v>4994</v>
      </c>
      <c r="B1969" s="1" t="s">
        <v>2489</v>
      </c>
      <c r="C1969" s="1"/>
      <c r="D1969" s="1"/>
      <c r="E1969" s="1"/>
      <c r="F1969" s="1"/>
      <c r="G1969" s="1"/>
      <c r="H1969" s="1" t="str">
        <f>"8427426005938"</f>
        <v>8427426005938</v>
      </c>
      <c r="I1969" s="3">
        <v>0</v>
      </c>
      <c r="J1969" s="3">
        <v>0</v>
      </c>
      <c r="K1969" s="3">
        <v>5500</v>
      </c>
    </row>
    <row r="1970" spans="1:11" x14ac:dyDescent="0.2">
      <c r="A1970" s="1" t="s">
        <v>4994</v>
      </c>
      <c r="B1970" s="1" t="s">
        <v>2490</v>
      </c>
      <c r="C1970" s="1"/>
      <c r="D1970" s="1"/>
      <c r="E1970" s="1"/>
      <c r="F1970" s="1"/>
      <c r="G1970" s="1"/>
      <c r="H1970" s="1" t="str">
        <f>"8427426005983"</f>
        <v>8427426005983</v>
      </c>
      <c r="I1970" s="3">
        <v>0</v>
      </c>
      <c r="J1970" s="3">
        <v>0</v>
      </c>
      <c r="K1970" s="3">
        <v>5000</v>
      </c>
    </row>
    <row r="1971" spans="1:11" x14ac:dyDescent="0.2">
      <c r="A1971" s="1" t="s">
        <v>4994</v>
      </c>
      <c r="B1971" s="1" t="s">
        <v>2491</v>
      </c>
      <c r="C1971" s="1"/>
      <c r="D1971" s="1"/>
      <c r="E1971" s="1"/>
      <c r="F1971" s="1"/>
      <c r="G1971" s="1"/>
      <c r="H1971" s="1" t="str">
        <f>"8427426005952"</f>
        <v>8427426005952</v>
      </c>
      <c r="I1971" s="3">
        <v>0</v>
      </c>
      <c r="J1971" s="3">
        <v>0</v>
      </c>
      <c r="K1971" s="3">
        <v>5000</v>
      </c>
    </row>
    <row r="1972" spans="1:11" x14ac:dyDescent="0.2">
      <c r="A1972" s="1" t="s">
        <v>4994</v>
      </c>
      <c r="B1972" s="1" t="s">
        <v>2492</v>
      </c>
      <c r="C1972" s="1"/>
      <c r="D1972" s="1"/>
      <c r="E1972" s="1"/>
      <c r="F1972" s="1"/>
      <c r="G1972" s="1"/>
      <c r="H1972" s="1" t="str">
        <f>"8427426006058"</f>
        <v>8427426006058</v>
      </c>
      <c r="I1972" s="3">
        <v>0</v>
      </c>
      <c r="J1972" s="3">
        <v>0</v>
      </c>
      <c r="K1972" s="3">
        <v>5500</v>
      </c>
    </row>
    <row r="1973" spans="1:11" x14ac:dyDescent="0.2">
      <c r="A1973" s="1" t="s">
        <v>4994</v>
      </c>
      <c r="B1973" s="1" t="s">
        <v>2493</v>
      </c>
      <c r="C1973" s="1"/>
      <c r="D1973" s="1"/>
      <c r="E1973" s="1"/>
      <c r="F1973" s="1"/>
      <c r="G1973" s="1"/>
      <c r="H1973" s="1" t="str">
        <f>"8427426033283"</f>
        <v>8427426033283</v>
      </c>
      <c r="I1973" s="3">
        <v>0</v>
      </c>
      <c r="J1973" s="3">
        <v>0</v>
      </c>
      <c r="K1973" s="3">
        <v>5500</v>
      </c>
    </row>
    <row r="1974" spans="1:11" x14ac:dyDescent="0.2">
      <c r="A1974" s="1" t="s">
        <v>4994</v>
      </c>
      <c r="B1974" s="1" t="s">
        <v>2494</v>
      </c>
      <c r="C1974" s="1"/>
      <c r="D1974" s="1"/>
      <c r="E1974" s="1"/>
      <c r="F1974" s="1"/>
      <c r="G1974" s="1"/>
      <c r="H1974" s="1" t="str">
        <f>"8427426006010"</f>
        <v>8427426006010</v>
      </c>
      <c r="I1974" s="3">
        <v>0</v>
      </c>
      <c r="J1974" s="3">
        <v>0</v>
      </c>
      <c r="K1974" s="3">
        <v>5700</v>
      </c>
    </row>
    <row r="1975" spans="1:11" x14ac:dyDescent="0.2">
      <c r="A1975" s="1" t="s">
        <v>4994</v>
      </c>
      <c r="B1975" s="1" t="s">
        <v>2501</v>
      </c>
      <c r="C1975" s="1"/>
      <c r="D1975" s="1"/>
      <c r="E1975" s="1"/>
      <c r="F1975" s="1"/>
      <c r="G1975" s="1"/>
      <c r="H1975" s="1" t="str">
        <f>"2000341103383"</f>
        <v>2000341103383</v>
      </c>
      <c r="I1975" s="3">
        <v>0</v>
      </c>
      <c r="J1975" s="3">
        <v>0</v>
      </c>
      <c r="K1975" s="3">
        <v>5500</v>
      </c>
    </row>
    <row r="1976" spans="1:11" x14ac:dyDescent="0.2">
      <c r="A1976" s="1" t="s">
        <v>4994</v>
      </c>
      <c r="B1976" s="1" t="s">
        <v>2502</v>
      </c>
      <c r="C1976" s="1"/>
      <c r="D1976" s="1"/>
      <c r="E1976" s="1"/>
      <c r="F1976" s="1"/>
      <c r="G1976" s="1"/>
      <c r="H1976" s="1" t="str">
        <f>"2000110418342"</f>
        <v>2000110418342</v>
      </c>
      <c r="I1976" s="3">
        <v>0</v>
      </c>
      <c r="J1976" s="3">
        <v>0</v>
      </c>
      <c r="K1976" s="3">
        <v>4000</v>
      </c>
    </row>
    <row r="1977" spans="1:11" x14ac:dyDescent="0.2">
      <c r="A1977" s="1" t="s">
        <v>4994</v>
      </c>
      <c r="B1977" s="1" t="s">
        <v>2503</v>
      </c>
      <c r="C1977" s="1"/>
      <c r="D1977" s="1"/>
      <c r="E1977" s="1"/>
      <c r="F1977" s="1"/>
      <c r="G1977" s="1"/>
      <c r="H1977" s="1" t="str">
        <f>"7804650886235"</f>
        <v>7804650886235</v>
      </c>
      <c r="I1977" s="3">
        <v>0</v>
      </c>
      <c r="J1977" s="3">
        <v>0</v>
      </c>
      <c r="K1977" s="3">
        <v>9000</v>
      </c>
    </row>
    <row r="1978" spans="1:11" x14ac:dyDescent="0.2">
      <c r="A1978" s="1" t="s">
        <v>4994</v>
      </c>
      <c r="B1978" s="1" t="s">
        <v>2504</v>
      </c>
      <c r="C1978" s="1"/>
      <c r="D1978" s="1"/>
      <c r="E1978" s="1"/>
      <c r="F1978" s="1"/>
      <c r="G1978" s="1"/>
      <c r="H1978" s="1" t="str">
        <f>"76044988928270"</f>
        <v>76044988928270</v>
      </c>
      <c r="I1978" s="3">
        <v>1</v>
      </c>
      <c r="J1978" s="3">
        <v>0</v>
      </c>
      <c r="K1978" s="3">
        <v>11000</v>
      </c>
    </row>
    <row r="1979" spans="1:11" x14ac:dyDescent="0.2">
      <c r="A1979" s="1" t="s">
        <v>4994</v>
      </c>
      <c r="B1979" s="1" t="s">
        <v>2506</v>
      </c>
      <c r="C1979" s="1"/>
      <c r="D1979" s="1"/>
      <c r="E1979" s="1"/>
      <c r="F1979" s="1"/>
      <c r="G1979" s="1"/>
      <c r="H1979" s="1" t="str">
        <f>"8470003233941"</f>
        <v>8470003233941</v>
      </c>
      <c r="I1979" s="3">
        <v>4</v>
      </c>
      <c r="J1979" s="3">
        <v>0</v>
      </c>
      <c r="K1979" s="3">
        <v>14000</v>
      </c>
    </row>
    <row r="1980" spans="1:11" x14ac:dyDescent="0.2">
      <c r="A1980" s="1" t="s">
        <v>4994</v>
      </c>
      <c r="B1980" s="1" t="s">
        <v>2507</v>
      </c>
      <c r="C1980" s="1"/>
      <c r="D1980" s="1"/>
      <c r="E1980" s="1"/>
      <c r="F1980" s="1"/>
      <c r="G1980" s="1"/>
      <c r="H1980" s="1" t="str">
        <f>"8470001585066"</f>
        <v>8470001585066</v>
      </c>
      <c r="I1980" s="3">
        <v>4</v>
      </c>
      <c r="J1980" s="3">
        <v>0</v>
      </c>
      <c r="K1980" s="3">
        <v>22000</v>
      </c>
    </row>
    <row r="1981" spans="1:11" x14ac:dyDescent="0.2">
      <c r="A1981" s="1" t="s">
        <v>4994</v>
      </c>
      <c r="B1981" s="1" t="s">
        <v>2508</v>
      </c>
      <c r="C1981" s="1"/>
      <c r="D1981" s="1"/>
      <c r="E1981" s="1"/>
      <c r="F1981" s="1"/>
      <c r="G1981" s="1"/>
      <c r="H1981" s="1" t="str">
        <f>"8429420188020"</f>
        <v>8429420188020</v>
      </c>
      <c r="I1981" s="3">
        <v>1</v>
      </c>
      <c r="J1981" s="3">
        <v>0</v>
      </c>
      <c r="K1981" s="3">
        <v>21000</v>
      </c>
    </row>
    <row r="1982" spans="1:11" x14ac:dyDescent="0.2">
      <c r="A1982" s="1" t="s">
        <v>4994</v>
      </c>
      <c r="B1982" s="1" t="s">
        <v>2509</v>
      </c>
      <c r="C1982" s="1"/>
      <c r="D1982" s="1"/>
      <c r="E1982" s="1"/>
      <c r="F1982" s="1"/>
      <c r="G1982" s="1"/>
      <c r="H1982" s="1" t="str">
        <f>"8429420285637"</f>
        <v>8429420285637</v>
      </c>
      <c r="I1982" s="3">
        <v>11</v>
      </c>
      <c r="J1982" s="3">
        <v>0</v>
      </c>
      <c r="K1982" s="3">
        <v>18000</v>
      </c>
    </row>
    <row r="1983" spans="1:11" x14ac:dyDescent="0.2">
      <c r="A1983" s="1" t="s">
        <v>4994</v>
      </c>
      <c r="B1983" s="1" t="s">
        <v>2510</v>
      </c>
      <c r="C1983" s="1"/>
      <c r="D1983" s="1"/>
      <c r="E1983" s="1"/>
      <c r="F1983" s="1"/>
      <c r="G1983" s="1"/>
      <c r="H1983" s="1" t="str">
        <f>"8429420248977"</f>
        <v>8429420248977</v>
      </c>
      <c r="I1983" s="3">
        <v>4</v>
      </c>
      <c r="J1983" s="3">
        <v>0</v>
      </c>
      <c r="K1983" s="3">
        <v>20000</v>
      </c>
    </row>
    <row r="1984" spans="1:11" x14ac:dyDescent="0.2">
      <c r="A1984" s="1" t="s">
        <v>4994</v>
      </c>
      <c r="B1984" s="1" t="s">
        <v>2511</v>
      </c>
      <c r="C1984" s="1"/>
      <c r="D1984" s="1"/>
      <c r="E1984" s="1"/>
      <c r="F1984" s="1"/>
      <c r="G1984" s="1"/>
      <c r="H1984" s="1" t="str">
        <f>"8429420285644"</f>
        <v>8429420285644</v>
      </c>
      <c r="I1984" s="3">
        <v>0</v>
      </c>
      <c r="J1984" s="3">
        <v>0</v>
      </c>
      <c r="K1984" s="3">
        <v>24000</v>
      </c>
    </row>
    <row r="1985" spans="1:11" x14ac:dyDescent="0.2">
      <c r="A1985" s="1" t="s">
        <v>4994</v>
      </c>
      <c r="B1985" s="1" t="s">
        <v>2512</v>
      </c>
      <c r="C1985" s="1"/>
      <c r="D1985" s="1"/>
      <c r="E1985" s="1"/>
      <c r="F1985" s="1"/>
      <c r="G1985" s="1"/>
      <c r="H1985" s="1" t="str">
        <f>"8429420187917"</f>
        <v>8429420187917</v>
      </c>
      <c r="I1985" s="3">
        <v>0</v>
      </c>
      <c r="J1985" s="3">
        <v>0</v>
      </c>
      <c r="K1985" s="3">
        <v>20000</v>
      </c>
    </row>
    <row r="1986" spans="1:11" x14ac:dyDescent="0.2">
      <c r="A1986" s="1" t="s">
        <v>4994</v>
      </c>
      <c r="B1986" s="1" t="s">
        <v>2513</v>
      </c>
      <c r="C1986" s="1"/>
      <c r="D1986" s="1"/>
      <c r="E1986" s="1"/>
      <c r="F1986" s="1"/>
      <c r="G1986" s="1"/>
      <c r="H1986" s="1" t="str">
        <f>"8429420171718"</f>
        <v>8429420171718</v>
      </c>
      <c r="I1986" s="3">
        <v>0</v>
      </c>
      <c r="J1986" s="3">
        <v>0</v>
      </c>
      <c r="K1986" s="3">
        <v>22090</v>
      </c>
    </row>
    <row r="1987" spans="1:11" x14ac:dyDescent="0.2">
      <c r="A1987" s="1" t="s">
        <v>4994</v>
      </c>
      <c r="B1987" s="1" t="s">
        <v>2514</v>
      </c>
      <c r="C1987" s="1"/>
      <c r="D1987" s="1"/>
      <c r="E1987" s="1"/>
      <c r="F1987" s="1"/>
      <c r="G1987" s="1"/>
      <c r="H1987" s="1" t="str">
        <f>"8470001547927"</f>
        <v>8470001547927</v>
      </c>
      <c r="I1987" s="3">
        <v>13</v>
      </c>
      <c r="J1987" s="3">
        <v>0</v>
      </c>
      <c r="K1987" s="3">
        <v>15000</v>
      </c>
    </row>
    <row r="1988" spans="1:11" x14ac:dyDescent="0.2">
      <c r="A1988" s="1" t="s">
        <v>4994</v>
      </c>
      <c r="B1988" s="1" t="s">
        <v>2515</v>
      </c>
      <c r="C1988" s="1"/>
      <c r="D1988" s="1"/>
      <c r="E1988" s="1"/>
      <c r="F1988" s="1"/>
      <c r="G1988" s="1"/>
      <c r="H1988" s="1" t="str">
        <f>"8429420268302"</f>
        <v>8429420268302</v>
      </c>
      <c r="I1988" s="3">
        <v>0</v>
      </c>
      <c r="J1988" s="3">
        <v>0</v>
      </c>
      <c r="K1988" s="3">
        <v>6500</v>
      </c>
    </row>
    <row r="1989" spans="1:11" x14ac:dyDescent="0.2">
      <c r="A1989" s="1" t="s">
        <v>4994</v>
      </c>
      <c r="B1989" s="1" t="s">
        <v>2516</v>
      </c>
      <c r="C1989" s="1"/>
      <c r="D1989" s="1"/>
      <c r="E1989" s="1"/>
      <c r="F1989" s="1"/>
      <c r="G1989" s="1"/>
      <c r="H1989" s="1" t="str">
        <f>"8429420139336"</f>
        <v>8429420139336</v>
      </c>
      <c r="I1989" s="3">
        <v>2</v>
      </c>
      <c r="J1989" s="3">
        <v>0</v>
      </c>
      <c r="K1989" s="3">
        <v>21000</v>
      </c>
    </row>
    <row r="1990" spans="1:11" x14ac:dyDescent="0.2">
      <c r="A1990" s="1" t="s">
        <v>4994</v>
      </c>
      <c r="B1990" s="1" t="s">
        <v>2517</v>
      </c>
      <c r="C1990" s="1"/>
      <c r="D1990" s="1"/>
      <c r="E1990" s="1"/>
      <c r="F1990" s="1"/>
      <c r="G1990" s="1"/>
      <c r="H1990" s="1" t="str">
        <f>"7804680940228"</f>
        <v>7804680940228</v>
      </c>
      <c r="I1990" s="3">
        <v>0</v>
      </c>
      <c r="J1990" s="3">
        <v>0</v>
      </c>
      <c r="K1990" s="3">
        <v>2500</v>
      </c>
    </row>
    <row r="1991" spans="1:11" x14ac:dyDescent="0.2">
      <c r="A1991" s="1" t="s">
        <v>4994</v>
      </c>
      <c r="B1991" s="1" t="s">
        <v>2518</v>
      </c>
      <c r="C1991" s="1"/>
      <c r="D1991" s="1"/>
      <c r="E1991" s="1"/>
      <c r="F1991" s="1"/>
      <c r="G1991" s="1"/>
      <c r="H1991" s="1" t="str">
        <f>"7804680940198"</f>
        <v>7804680940198</v>
      </c>
      <c r="I1991" s="3">
        <v>0</v>
      </c>
      <c r="J1991" s="3">
        <v>0</v>
      </c>
      <c r="K1991" s="3">
        <v>1500</v>
      </c>
    </row>
    <row r="1992" spans="1:11" x14ac:dyDescent="0.2">
      <c r="A1992" s="1" t="s">
        <v>4994</v>
      </c>
      <c r="B1992" s="1" t="s">
        <v>2519</v>
      </c>
      <c r="C1992" s="1"/>
      <c r="D1992" s="1"/>
      <c r="E1992" s="1"/>
      <c r="F1992" s="1"/>
      <c r="G1992" s="1"/>
      <c r="H1992" s="1" t="str">
        <f>"7804680940204"</f>
        <v>7804680940204</v>
      </c>
      <c r="I1992" s="3">
        <v>0</v>
      </c>
      <c r="J1992" s="3">
        <v>0</v>
      </c>
      <c r="K1992" s="3">
        <v>1000</v>
      </c>
    </row>
    <row r="1993" spans="1:11" x14ac:dyDescent="0.2">
      <c r="A1993" s="1" t="s">
        <v>4994</v>
      </c>
      <c r="B1993" s="1" t="s">
        <v>2520</v>
      </c>
      <c r="C1993" s="1"/>
      <c r="D1993" s="1"/>
      <c r="E1993" s="1"/>
      <c r="F1993" s="1"/>
      <c r="G1993" s="1"/>
      <c r="H1993" s="1" t="str">
        <f>"7804680940167"</f>
        <v>7804680940167</v>
      </c>
      <c r="I1993" s="3">
        <v>0</v>
      </c>
      <c r="J1993" s="3">
        <v>0</v>
      </c>
      <c r="K1993" s="3">
        <v>6500</v>
      </c>
    </row>
    <row r="1994" spans="1:11" x14ac:dyDescent="0.2">
      <c r="A1994" s="1" t="s">
        <v>4994</v>
      </c>
      <c r="B1994" s="1" t="s">
        <v>2521</v>
      </c>
      <c r="C1994" s="1"/>
      <c r="D1994" s="1"/>
      <c r="E1994" s="1"/>
      <c r="F1994" s="1"/>
      <c r="G1994" s="1"/>
      <c r="H1994" s="1" t="str">
        <f>"XXU7"</f>
        <v>XXU7</v>
      </c>
      <c r="I1994" s="3">
        <v>0</v>
      </c>
      <c r="J1994" s="3">
        <v>0</v>
      </c>
      <c r="K1994" s="3">
        <v>500</v>
      </c>
    </row>
    <row r="1995" spans="1:11" x14ac:dyDescent="0.2">
      <c r="A1995" s="1" t="s">
        <v>4994</v>
      </c>
      <c r="B1995" s="1" t="s">
        <v>2522</v>
      </c>
      <c r="C1995" s="1"/>
      <c r="D1995" s="1"/>
      <c r="E1995" s="1"/>
      <c r="F1995" s="1"/>
      <c r="G1995" s="1"/>
      <c r="H1995" s="1" t="str">
        <f>"7804680940174"</f>
        <v>7804680940174</v>
      </c>
      <c r="I1995" s="3">
        <v>0</v>
      </c>
      <c r="J1995" s="3">
        <v>0</v>
      </c>
      <c r="K1995" s="3">
        <v>5500</v>
      </c>
    </row>
    <row r="1996" spans="1:11" x14ac:dyDescent="0.2">
      <c r="A1996" s="1" t="s">
        <v>4994</v>
      </c>
      <c r="B1996" s="1" t="s">
        <v>2523</v>
      </c>
      <c r="C1996" s="1"/>
      <c r="D1996" s="1"/>
      <c r="E1996" s="1"/>
      <c r="F1996" s="1"/>
      <c r="G1996" s="1"/>
      <c r="H1996" s="1" t="str">
        <f>"7800063111117"</f>
        <v>7800063111117</v>
      </c>
      <c r="I1996" s="3">
        <v>27</v>
      </c>
      <c r="J1996" s="3">
        <v>0</v>
      </c>
      <c r="K1996" s="3">
        <v>2000</v>
      </c>
    </row>
    <row r="1997" spans="1:11" x14ac:dyDescent="0.2">
      <c r="A1997" s="1" t="s">
        <v>4994</v>
      </c>
      <c r="B1997" s="1" t="s">
        <v>2524</v>
      </c>
      <c r="C1997" s="1"/>
      <c r="D1997" s="1"/>
      <c r="E1997" s="1"/>
      <c r="F1997" s="1"/>
      <c r="G1997" s="1"/>
      <c r="H1997" s="1" t="str">
        <f>"7800007808974"</f>
        <v>7800007808974</v>
      </c>
      <c r="I1997" s="3">
        <v>17</v>
      </c>
      <c r="J1997" s="3">
        <v>0</v>
      </c>
      <c r="K1997" s="3">
        <v>14000</v>
      </c>
    </row>
    <row r="1998" spans="1:11" x14ac:dyDescent="0.2">
      <c r="A1998" s="1" t="s">
        <v>4994</v>
      </c>
      <c r="B1998" s="1" t="s">
        <v>2526</v>
      </c>
      <c r="C1998" s="1"/>
      <c r="D1998" s="1"/>
      <c r="E1998" s="1"/>
      <c r="F1998" s="1"/>
      <c r="G1998" s="1"/>
      <c r="H1998" s="1" t="str">
        <f>"7800008011502"</f>
        <v>7800008011502</v>
      </c>
      <c r="I1998" s="3">
        <v>0</v>
      </c>
      <c r="J1998" s="3">
        <v>0</v>
      </c>
      <c r="K1998" s="3">
        <v>5000</v>
      </c>
    </row>
    <row r="1999" spans="1:11" x14ac:dyDescent="0.2">
      <c r="A1999" s="1" t="s">
        <v>4994</v>
      </c>
      <c r="B1999" s="1" t="s">
        <v>2527</v>
      </c>
      <c r="C1999" s="1"/>
      <c r="D1999" s="1"/>
      <c r="E1999" s="1"/>
      <c r="F1999" s="1"/>
      <c r="G1999" s="1"/>
      <c r="H1999" s="1" t="str">
        <f>"7795373015913"</f>
        <v>7795373015913</v>
      </c>
      <c r="I1999" s="3">
        <v>0</v>
      </c>
      <c r="J1999" s="3">
        <v>0</v>
      </c>
      <c r="K1999" s="3">
        <v>27000</v>
      </c>
    </row>
    <row r="2000" spans="1:11" x14ac:dyDescent="0.2">
      <c r="A2000" s="1" t="s">
        <v>4994</v>
      </c>
      <c r="B2000" s="1" t="s">
        <v>2529</v>
      </c>
      <c r="C2000" s="1"/>
      <c r="D2000" s="1"/>
      <c r="E2000" s="1"/>
      <c r="F2000" s="1"/>
      <c r="G2000" s="1"/>
      <c r="H2000" s="1" t="str">
        <f>"765066762612"</f>
        <v>765066762612</v>
      </c>
      <c r="I2000" s="3">
        <v>0</v>
      </c>
      <c r="J2000" s="3">
        <v>0</v>
      </c>
      <c r="K2000" s="3">
        <v>4000</v>
      </c>
    </row>
    <row r="2001" spans="1:11" x14ac:dyDescent="0.2">
      <c r="A2001" s="1" t="s">
        <v>4994</v>
      </c>
      <c r="B2001" s="1" t="s">
        <v>2530</v>
      </c>
      <c r="C2001" s="1"/>
      <c r="D2001" s="1"/>
      <c r="E2001" s="1"/>
      <c r="F2001" s="1"/>
      <c r="G2001" s="1"/>
      <c r="H2001" s="1" t="str">
        <f>"7795373000834"</f>
        <v>7795373000834</v>
      </c>
      <c r="I2001" s="3">
        <v>0</v>
      </c>
      <c r="J2001" s="3">
        <v>0</v>
      </c>
      <c r="K2001" s="3">
        <v>20000</v>
      </c>
    </row>
    <row r="2002" spans="1:11" x14ac:dyDescent="0.2">
      <c r="A2002" s="1" t="s">
        <v>4994</v>
      </c>
      <c r="B2002" s="1" t="s">
        <v>2532</v>
      </c>
      <c r="C2002" s="1"/>
      <c r="D2002" s="1"/>
      <c r="E2002" s="1"/>
      <c r="F2002" s="1"/>
      <c r="G2002" s="1"/>
      <c r="H2002" s="1" t="str">
        <f>"3665585002589"</f>
        <v>3665585002589</v>
      </c>
      <c r="I2002" s="3">
        <v>0</v>
      </c>
      <c r="J2002" s="3">
        <v>0</v>
      </c>
      <c r="K2002" s="3">
        <v>24000</v>
      </c>
    </row>
    <row r="2003" spans="1:11" x14ac:dyDescent="0.2">
      <c r="A2003" s="1" t="s">
        <v>4994</v>
      </c>
      <c r="B2003" s="1" t="s">
        <v>2534</v>
      </c>
      <c r="C2003" s="1"/>
      <c r="D2003" s="1"/>
      <c r="E2003" s="1"/>
      <c r="F2003" s="1"/>
      <c r="G2003" s="1"/>
      <c r="H2003" s="1" t="str">
        <f>"8681725025084"</f>
        <v>8681725025084</v>
      </c>
      <c r="I2003" s="3">
        <v>0</v>
      </c>
      <c r="J2003" s="3">
        <v>0</v>
      </c>
      <c r="K2003" s="3">
        <v>2000</v>
      </c>
    </row>
    <row r="2004" spans="1:11" x14ac:dyDescent="0.2">
      <c r="A2004" s="1" t="s">
        <v>4994</v>
      </c>
      <c r="B2004" s="1" t="s">
        <v>2535</v>
      </c>
      <c r="C2004" s="1"/>
      <c r="D2004" s="1"/>
      <c r="E2004" s="1"/>
      <c r="F2004" s="1"/>
      <c r="G2004" s="1"/>
      <c r="H2004" s="1" t="str">
        <f>"7805633020318"</f>
        <v>7805633020318</v>
      </c>
      <c r="I2004" s="3">
        <v>3</v>
      </c>
      <c r="J2004" s="3">
        <v>0</v>
      </c>
      <c r="K2004" s="3">
        <v>2000</v>
      </c>
    </row>
    <row r="2005" spans="1:11" x14ac:dyDescent="0.2">
      <c r="A2005" s="1" t="s">
        <v>4994</v>
      </c>
      <c r="B2005" s="1" t="s">
        <v>2536</v>
      </c>
      <c r="C2005" s="1"/>
      <c r="D2005" s="1"/>
      <c r="E2005" s="1"/>
      <c r="F2005" s="1"/>
      <c r="G2005" s="1"/>
      <c r="H2005" s="1" t="str">
        <f>"7891537722427"</f>
        <v>7891537722427</v>
      </c>
      <c r="I2005" s="3">
        <v>0</v>
      </c>
      <c r="J2005" s="3">
        <v>0</v>
      </c>
      <c r="K2005" s="3">
        <v>1000</v>
      </c>
    </row>
    <row r="2006" spans="1:11" x14ac:dyDescent="0.2">
      <c r="A2006" s="1" t="s">
        <v>4994</v>
      </c>
      <c r="B2006" s="1" t="s">
        <v>2537</v>
      </c>
      <c r="C2006" s="1"/>
      <c r="D2006" s="1"/>
      <c r="E2006" s="1"/>
      <c r="F2006" s="1"/>
      <c r="G2006" s="1"/>
      <c r="H2006" s="1" t="str">
        <f>"10030523"</f>
        <v>10030523</v>
      </c>
      <c r="I2006" s="3">
        <v>0</v>
      </c>
      <c r="J2006" s="3">
        <v>0</v>
      </c>
      <c r="K2006" s="3">
        <v>1000</v>
      </c>
    </row>
    <row r="2007" spans="1:11" x14ac:dyDescent="0.2">
      <c r="A2007" s="1" t="s">
        <v>4994</v>
      </c>
      <c r="B2007" s="1" t="s">
        <v>2538</v>
      </c>
      <c r="C2007" s="1"/>
      <c r="D2007" s="1"/>
      <c r="E2007" s="1"/>
      <c r="F2007" s="1"/>
      <c r="G2007" s="1"/>
      <c r="H2007" s="1" t="str">
        <f>"8008756422116"</f>
        <v>8008756422116</v>
      </c>
      <c r="I2007" s="3">
        <v>0</v>
      </c>
      <c r="J2007" s="3">
        <v>0</v>
      </c>
      <c r="K2007" s="3">
        <v>1200</v>
      </c>
    </row>
    <row r="2008" spans="1:11" x14ac:dyDescent="0.2">
      <c r="A2008" s="1" t="s">
        <v>4994</v>
      </c>
      <c r="B2008" s="1" t="s">
        <v>2539</v>
      </c>
      <c r="C2008" s="1"/>
      <c r="D2008" s="1"/>
      <c r="E2008" s="1"/>
      <c r="F2008" s="1"/>
      <c r="G2008" s="1"/>
      <c r="H2008" s="1" t="str">
        <f>"7891537254065"</f>
        <v>7891537254065</v>
      </c>
      <c r="I2008" s="3">
        <v>0</v>
      </c>
      <c r="J2008" s="3">
        <v>0</v>
      </c>
      <c r="K2008" s="3">
        <v>1000</v>
      </c>
    </row>
    <row r="2009" spans="1:11" x14ac:dyDescent="0.2">
      <c r="A2009" s="1" t="s">
        <v>4994</v>
      </c>
      <c r="B2009" s="1" t="s">
        <v>2540</v>
      </c>
      <c r="C2009" s="1"/>
      <c r="D2009" s="1"/>
      <c r="E2009" s="1"/>
      <c r="F2009" s="1"/>
      <c r="G2009" s="1"/>
      <c r="H2009" s="1" t="str">
        <f>"7891537750499"</f>
        <v>7891537750499</v>
      </c>
      <c r="I2009" s="3">
        <v>12</v>
      </c>
      <c r="J2009" s="3">
        <v>0</v>
      </c>
      <c r="K2009" s="3">
        <v>1000</v>
      </c>
    </row>
    <row r="2010" spans="1:11" x14ac:dyDescent="0.2">
      <c r="A2010" s="1" t="s">
        <v>4994</v>
      </c>
      <c r="B2010" s="1" t="s">
        <v>2541</v>
      </c>
      <c r="C2010" s="1"/>
      <c r="D2010" s="1"/>
      <c r="E2010" s="1"/>
      <c r="F2010" s="1"/>
      <c r="G2010" s="1"/>
      <c r="H2010" s="1" t="str">
        <f>"7804990000001"</f>
        <v>7804990000001</v>
      </c>
      <c r="I2010" s="3">
        <v>12</v>
      </c>
      <c r="J2010" s="3">
        <v>0</v>
      </c>
      <c r="K2010" s="3">
        <v>2000</v>
      </c>
    </row>
    <row r="2011" spans="1:11" x14ac:dyDescent="0.2">
      <c r="A2011" s="1" t="s">
        <v>4994</v>
      </c>
      <c r="B2011" s="1" t="s">
        <v>2542</v>
      </c>
      <c r="C2011" s="1"/>
      <c r="D2011" s="1"/>
      <c r="E2011" s="1"/>
      <c r="F2011" s="1"/>
      <c r="G2011" s="1"/>
      <c r="H2011" s="1" t="str">
        <f>"7800045009869"</f>
        <v>7800045009869</v>
      </c>
      <c r="I2011" s="3">
        <v>12</v>
      </c>
      <c r="J2011" s="3">
        <v>0</v>
      </c>
      <c r="K2011" s="3">
        <v>2000</v>
      </c>
    </row>
    <row r="2012" spans="1:11" x14ac:dyDescent="0.2">
      <c r="A2012" s="1" t="s">
        <v>4994</v>
      </c>
      <c r="B2012" s="1" t="s">
        <v>2543</v>
      </c>
      <c r="C2012" s="1"/>
      <c r="D2012" s="1"/>
      <c r="E2012" s="1"/>
      <c r="F2012" s="1"/>
      <c r="G2012" s="1"/>
      <c r="H2012" s="1" t="str">
        <f>"10030509"</f>
        <v>10030509</v>
      </c>
      <c r="I2012" s="3">
        <v>6</v>
      </c>
      <c r="J2012" s="3">
        <v>0</v>
      </c>
      <c r="K2012" s="3">
        <v>2000</v>
      </c>
    </row>
    <row r="2013" spans="1:11" x14ac:dyDescent="0.2">
      <c r="A2013" s="1" t="s">
        <v>4994</v>
      </c>
      <c r="B2013" s="1" t="s">
        <v>2544</v>
      </c>
      <c r="C2013" s="1"/>
      <c r="D2013" s="1"/>
      <c r="E2013" s="1"/>
      <c r="F2013" s="1"/>
      <c r="G2013" s="1"/>
      <c r="H2013" s="1" t="str">
        <f>"7800045001658"</f>
        <v>7800045001658</v>
      </c>
      <c r="I2013" s="3">
        <v>6</v>
      </c>
      <c r="J2013" s="3">
        <v>0</v>
      </c>
      <c r="K2013" s="3">
        <v>2000</v>
      </c>
    </row>
    <row r="2014" spans="1:11" x14ac:dyDescent="0.2">
      <c r="A2014" s="1" t="s">
        <v>4994</v>
      </c>
      <c r="B2014" s="1" t="s">
        <v>2545</v>
      </c>
      <c r="C2014" s="1"/>
      <c r="D2014" s="1"/>
      <c r="E2014" s="1"/>
      <c r="F2014" s="1"/>
      <c r="G2014" s="1"/>
      <c r="H2014" s="1" t="str">
        <f>"10030042"</f>
        <v>10030042</v>
      </c>
      <c r="I2014" s="3">
        <v>0</v>
      </c>
      <c r="J2014" s="3">
        <v>0</v>
      </c>
      <c r="K2014" s="3">
        <v>2500</v>
      </c>
    </row>
    <row r="2015" spans="1:11" x14ac:dyDescent="0.2">
      <c r="A2015" s="1" t="s">
        <v>4994</v>
      </c>
      <c r="B2015" s="1" t="s">
        <v>2546</v>
      </c>
      <c r="C2015" s="1"/>
      <c r="D2015" s="1"/>
      <c r="E2015" s="1"/>
      <c r="F2015" s="1"/>
      <c r="G2015" s="1"/>
      <c r="H2015" s="1" t="str">
        <f>"4005800630958"</f>
        <v>4005800630958</v>
      </c>
      <c r="I2015" s="3">
        <v>9</v>
      </c>
      <c r="J2015" s="3">
        <v>0</v>
      </c>
      <c r="K2015" s="3">
        <v>14000</v>
      </c>
    </row>
    <row r="2016" spans="1:11" x14ac:dyDescent="0.2">
      <c r="A2016" s="1" t="s">
        <v>4994</v>
      </c>
      <c r="B2016" s="1" t="s">
        <v>2547</v>
      </c>
      <c r="C2016" s="1"/>
      <c r="D2016" s="1"/>
      <c r="E2016" s="1"/>
      <c r="F2016" s="1"/>
      <c r="G2016" s="1"/>
      <c r="H2016" s="1" t="str">
        <f>"7501026027062"</f>
        <v>7501026027062</v>
      </c>
      <c r="I2016" s="3">
        <v>0</v>
      </c>
      <c r="J2016" s="3">
        <v>0</v>
      </c>
      <c r="K2016" s="3">
        <v>1000</v>
      </c>
    </row>
    <row r="2017" spans="1:11" x14ac:dyDescent="0.2">
      <c r="A2017" s="1" t="s">
        <v>4994</v>
      </c>
      <c r="B2017" s="1" t="s">
        <v>2548</v>
      </c>
      <c r="C2017" s="1"/>
      <c r="D2017" s="1"/>
      <c r="E2017" s="1"/>
      <c r="F2017" s="1"/>
      <c r="G2017" s="1"/>
      <c r="H2017" s="1" t="str">
        <f>"7800038000484"</f>
        <v>7800038000484</v>
      </c>
      <c r="I2017" s="3">
        <v>0</v>
      </c>
      <c r="J2017" s="3">
        <v>0</v>
      </c>
      <c r="K2017" s="3">
        <v>2500</v>
      </c>
    </row>
    <row r="2018" spans="1:11" x14ac:dyDescent="0.2">
      <c r="A2018" s="1" t="s">
        <v>4994</v>
      </c>
      <c r="B2018" s="1" t="s">
        <v>2549</v>
      </c>
      <c r="C2018" s="1"/>
      <c r="D2018" s="1"/>
      <c r="E2018" s="1"/>
      <c r="F2018" s="1"/>
      <c r="G2018" s="1"/>
      <c r="H2018" s="1" t="str">
        <f>"10030639"</f>
        <v>10030639</v>
      </c>
      <c r="I2018" s="3">
        <v>0</v>
      </c>
      <c r="J2018" s="3">
        <v>0</v>
      </c>
      <c r="K2018" s="3">
        <v>1500</v>
      </c>
    </row>
    <row r="2019" spans="1:11" x14ac:dyDescent="0.2">
      <c r="A2019" s="1" t="s">
        <v>4994</v>
      </c>
      <c r="B2019" s="1" t="s">
        <v>2550</v>
      </c>
      <c r="C2019" s="1"/>
      <c r="D2019" s="1"/>
      <c r="E2019" s="1"/>
      <c r="F2019" s="1"/>
      <c r="G2019" s="1"/>
      <c r="H2019" s="1" t="str">
        <f>"7730219021338"</f>
        <v>7730219021338</v>
      </c>
      <c r="I2019" s="3">
        <v>0</v>
      </c>
      <c r="J2019" s="3">
        <v>0</v>
      </c>
      <c r="K2019" s="3">
        <v>1500</v>
      </c>
    </row>
    <row r="2020" spans="1:11" x14ac:dyDescent="0.2">
      <c r="A2020" s="1" t="s">
        <v>4994</v>
      </c>
      <c r="B2020" s="1" t="s">
        <v>2551</v>
      </c>
      <c r="C2020" s="1"/>
      <c r="D2020" s="1"/>
      <c r="E2020" s="1"/>
      <c r="F2020" s="1"/>
      <c r="G2020" s="1"/>
      <c r="H2020" s="1" t="str">
        <f>"8681725027163"</f>
        <v>8681725027163</v>
      </c>
      <c r="I2020" s="3">
        <v>0</v>
      </c>
      <c r="J2020" s="3">
        <v>0</v>
      </c>
      <c r="K2020" s="3">
        <v>2500</v>
      </c>
    </row>
    <row r="2021" spans="1:11" x14ac:dyDescent="0.2">
      <c r="A2021" s="1" t="s">
        <v>4994</v>
      </c>
      <c r="B2021" s="1" t="s">
        <v>2552</v>
      </c>
      <c r="C2021" s="1"/>
      <c r="D2021" s="1"/>
      <c r="E2021" s="1"/>
      <c r="F2021" s="1"/>
      <c r="G2021" s="1"/>
      <c r="H2021" s="1" t="str">
        <f>"10031599"</f>
        <v>10031599</v>
      </c>
      <c r="I2021" s="3">
        <v>0</v>
      </c>
      <c r="J2021" s="3">
        <v>0</v>
      </c>
      <c r="K2021" s="3">
        <v>4500</v>
      </c>
    </row>
    <row r="2022" spans="1:11" x14ac:dyDescent="0.2">
      <c r="A2022" s="1" t="s">
        <v>4994</v>
      </c>
      <c r="B2022" s="1" t="s">
        <v>2553</v>
      </c>
      <c r="C2022" s="1"/>
      <c r="D2022" s="1"/>
      <c r="E2022" s="1"/>
      <c r="F2022" s="1"/>
      <c r="G2022" s="1"/>
      <c r="H2022" s="1" t="str">
        <f>"10030516"</f>
        <v>10030516</v>
      </c>
      <c r="I2022" s="3">
        <v>2</v>
      </c>
      <c r="J2022" s="3">
        <v>0</v>
      </c>
      <c r="K2022" s="3">
        <v>1500</v>
      </c>
    </row>
    <row r="2023" spans="1:11" x14ac:dyDescent="0.2">
      <c r="A2023" s="1" t="s">
        <v>4994</v>
      </c>
      <c r="B2023" s="1" t="s">
        <v>2554</v>
      </c>
      <c r="C2023" s="1"/>
      <c r="D2023" s="1"/>
      <c r="E2023" s="1"/>
      <c r="F2023" s="1"/>
      <c r="G2023" s="1"/>
      <c r="H2023" s="1" t="str">
        <f>"7891537732402"</f>
        <v>7891537732402</v>
      </c>
      <c r="I2023" s="3">
        <v>0</v>
      </c>
      <c r="J2023" s="3">
        <v>0</v>
      </c>
      <c r="K2023" s="3">
        <v>1000</v>
      </c>
    </row>
    <row r="2024" spans="1:11" x14ac:dyDescent="0.2">
      <c r="A2024" s="1" t="s">
        <v>4994</v>
      </c>
      <c r="B2024" s="1" t="s">
        <v>2555</v>
      </c>
      <c r="C2024" s="1"/>
      <c r="D2024" s="1"/>
      <c r="E2024" s="1"/>
      <c r="F2024" s="1"/>
      <c r="G2024" s="1"/>
      <c r="H2024" s="1" t="str">
        <f>"7805633020301"</f>
        <v>7805633020301</v>
      </c>
      <c r="I2024" s="3">
        <v>0</v>
      </c>
      <c r="J2024" s="3">
        <v>0</v>
      </c>
      <c r="K2024" s="3">
        <v>2000</v>
      </c>
    </row>
    <row r="2025" spans="1:11" x14ac:dyDescent="0.2">
      <c r="A2025" s="1" t="s">
        <v>4994</v>
      </c>
      <c r="B2025" s="1" t="s">
        <v>2556</v>
      </c>
      <c r="C2025" s="1"/>
      <c r="D2025" s="1"/>
      <c r="E2025" s="1"/>
      <c r="F2025" s="1"/>
      <c r="G2025" s="1"/>
      <c r="H2025" s="1" t="str">
        <f>"7891537752561"</f>
        <v>7891537752561</v>
      </c>
      <c r="I2025" s="3">
        <v>0</v>
      </c>
      <c r="J2025" s="3">
        <v>0</v>
      </c>
      <c r="K2025" s="3">
        <v>1000</v>
      </c>
    </row>
    <row r="2026" spans="1:11" x14ac:dyDescent="0.2">
      <c r="A2026" s="1" t="s">
        <v>4994</v>
      </c>
      <c r="B2026" s="1" t="s">
        <v>2557</v>
      </c>
      <c r="C2026" s="1"/>
      <c r="D2026" s="1"/>
      <c r="E2026" s="1"/>
      <c r="F2026" s="1"/>
      <c r="G2026" s="1"/>
      <c r="H2026" s="1" t="str">
        <f>"7804920003065"</f>
        <v>7804920003065</v>
      </c>
      <c r="I2026" s="3">
        <v>0</v>
      </c>
      <c r="J2026" s="3">
        <v>0</v>
      </c>
      <c r="K2026" s="3">
        <v>1800</v>
      </c>
    </row>
    <row r="2027" spans="1:11" x14ac:dyDescent="0.2">
      <c r="A2027" s="1" t="s">
        <v>4994</v>
      </c>
      <c r="B2027" s="1" t="s">
        <v>2558</v>
      </c>
      <c r="C2027" s="1"/>
      <c r="D2027" s="1"/>
      <c r="E2027" s="1"/>
      <c r="F2027" s="1"/>
      <c r="G2027" s="1"/>
      <c r="H2027" s="1" t="str">
        <f>"7809622000725"</f>
        <v>7809622000725</v>
      </c>
      <c r="I2027" s="3">
        <v>0</v>
      </c>
      <c r="J2027" s="3">
        <v>0</v>
      </c>
      <c r="K2027" s="3">
        <v>1500</v>
      </c>
    </row>
    <row r="2028" spans="1:11" x14ac:dyDescent="0.2">
      <c r="A2028" s="1" t="s">
        <v>4994</v>
      </c>
      <c r="B2028" s="1" t="s">
        <v>2559</v>
      </c>
      <c r="C2028" s="1"/>
      <c r="D2028" s="1"/>
      <c r="E2028" s="1"/>
      <c r="F2028" s="1"/>
      <c r="G2028" s="1"/>
      <c r="H2028" s="1" t="str">
        <f>"7804647000286"</f>
        <v>7804647000286</v>
      </c>
      <c r="I2028" s="3">
        <v>0</v>
      </c>
      <c r="J2028" s="3">
        <v>0</v>
      </c>
      <c r="K2028" s="3">
        <v>2000</v>
      </c>
    </row>
    <row r="2029" spans="1:11" x14ac:dyDescent="0.2">
      <c r="A2029" s="1" t="s">
        <v>4994</v>
      </c>
      <c r="B2029" s="1" t="s">
        <v>2560</v>
      </c>
      <c r="C2029" s="1"/>
      <c r="D2029" s="1"/>
      <c r="E2029" s="1"/>
      <c r="F2029" s="1"/>
      <c r="G2029" s="1"/>
      <c r="H2029" s="1" t="str">
        <f>"7805633016465"</f>
        <v>7805633016465</v>
      </c>
      <c r="I2029" s="3">
        <v>0</v>
      </c>
      <c r="J2029" s="3">
        <v>0</v>
      </c>
      <c r="K2029" s="3">
        <v>2000</v>
      </c>
    </row>
    <row r="2030" spans="1:11" x14ac:dyDescent="0.2">
      <c r="A2030" s="1" t="s">
        <v>4994</v>
      </c>
      <c r="B2030" s="1" t="s">
        <v>2561</v>
      </c>
      <c r="C2030" s="1"/>
      <c r="D2030" s="1"/>
      <c r="E2030" s="1"/>
      <c r="F2030" s="1"/>
      <c r="G2030" s="1"/>
      <c r="H2030" s="1" t="str">
        <f>"7801000002598"</f>
        <v>7801000002598</v>
      </c>
      <c r="I2030" s="3">
        <v>0</v>
      </c>
      <c r="J2030" s="3">
        <v>0</v>
      </c>
      <c r="K2030" s="3">
        <v>4500</v>
      </c>
    </row>
    <row r="2031" spans="1:11" x14ac:dyDescent="0.2">
      <c r="A2031" s="1" t="s">
        <v>4994</v>
      </c>
      <c r="B2031" s="1" t="s">
        <v>2562</v>
      </c>
      <c r="C2031" s="1"/>
      <c r="D2031" s="1"/>
      <c r="E2031" s="1"/>
      <c r="F2031" s="1"/>
      <c r="G2031" s="1"/>
      <c r="H2031" s="1" t="str">
        <f>"7809622000701"</f>
        <v>7809622000701</v>
      </c>
      <c r="I2031" s="3">
        <v>0</v>
      </c>
      <c r="J2031" s="3">
        <v>0</v>
      </c>
      <c r="K2031" s="3">
        <v>1500</v>
      </c>
    </row>
    <row r="2032" spans="1:11" x14ac:dyDescent="0.2">
      <c r="A2032" s="1" t="s">
        <v>4994</v>
      </c>
      <c r="B2032" s="1" t="s">
        <v>2563</v>
      </c>
      <c r="C2032" s="1"/>
      <c r="D2032" s="1"/>
      <c r="E2032" s="1"/>
      <c r="F2032" s="1"/>
      <c r="G2032" s="1"/>
      <c r="H2032" s="1" t="str">
        <f>"7809622000718"</f>
        <v>7809622000718</v>
      </c>
      <c r="I2032" s="3">
        <v>0</v>
      </c>
      <c r="J2032" s="3">
        <v>0</v>
      </c>
      <c r="K2032" s="3">
        <v>1500</v>
      </c>
    </row>
    <row r="2033" spans="1:11" x14ac:dyDescent="0.2">
      <c r="A2033" s="1" t="s">
        <v>4994</v>
      </c>
      <c r="B2033" s="1" t="s">
        <v>2564</v>
      </c>
      <c r="C2033" s="1"/>
      <c r="D2033" s="1"/>
      <c r="E2033" s="1"/>
      <c r="F2033" s="1"/>
      <c r="G2033" s="1"/>
      <c r="H2033" s="1" t="str">
        <f>"7801000002109"</f>
        <v>7801000002109</v>
      </c>
      <c r="I2033" s="3">
        <v>0</v>
      </c>
      <c r="J2033" s="3">
        <v>0</v>
      </c>
      <c r="K2033" s="3">
        <v>4500</v>
      </c>
    </row>
    <row r="2034" spans="1:11" x14ac:dyDescent="0.2">
      <c r="A2034" s="1" t="s">
        <v>4994</v>
      </c>
      <c r="B2034" s="1" t="s">
        <v>2565</v>
      </c>
      <c r="C2034" s="1"/>
      <c r="D2034" s="1"/>
      <c r="E2034" s="1"/>
      <c r="F2034" s="1"/>
      <c r="G2034" s="1"/>
      <c r="H2034" s="1" t="str">
        <f>"7891537729709"</f>
        <v>7891537729709</v>
      </c>
      <c r="I2034" s="3">
        <v>0</v>
      </c>
      <c r="J2034" s="3">
        <v>0</v>
      </c>
      <c r="K2034" s="3">
        <v>1000</v>
      </c>
    </row>
    <row r="2035" spans="1:11" x14ac:dyDescent="0.2">
      <c r="A2035" s="1" t="s">
        <v>4994</v>
      </c>
      <c r="B2035" s="1" t="s">
        <v>2566</v>
      </c>
      <c r="C2035" s="1"/>
      <c r="D2035" s="1"/>
      <c r="E2035" s="1"/>
      <c r="F2035" s="1"/>
      <c r="G2035" s="1"/>
      <c r="H2035" s="1" t="str">
        <f>"7800054002479"</f>
        <v>7800054002479</v>
      </c>
      <c r="I2035" s="3">
        <v>0</v>
      </c>
      <c r="J2035" s="3">
        <v>0</v>
      </c>
      <c r="K2035" s="3">
        <v>54000</v>
      </c>
    </row>
    <row r="2036" spans="1:11" x14ac:dyDescent="0.2">
      <c r="A2036" s="1" t="s">
        <v>4994</v>
      </c>
      <c r="B2036" s="1" t="s">
        <v>2567</v>
      </c>
      <c r="C2036" s="1"/>
      <c r="D2036" s="1"/>
      <c r="E2036" s="1"/>
      <c r="F2036" s="1"/>
      <c r="G2036" s="1"/>
      <c r="H2036" s="1" t="str">
        <f>"8711141912535"</f>
        <v>8711141912535</v>
      </c>
      <c r="I2036" s="3">
        <v>0</v>
      </c>
      <c r="J2036" s="3">
        <v>0</v>
      </c>
      <c r="K2036" s="3">
        <v>54000</v>
      </c>
    </row>
    <row r="2037" spans="1:11" x14ac:dyDescent="0.2">
      <c r="A2037" s="1" t="s">
        <v>4994</v>
      </c>
      <c r="B2037" s="1" t="s">
        <v>2568</v>
      </c>
      <c r="C2037" s="1"/>
      <c r="D2037" s="1"/>
      <c r="E2037" s="1"/>
      <c r="F2037" s="1"/>
      <c r="G2037" s="1"/>
      <c r="H2037" s="1" t="str">
        <f>"7804918450895"</f>
        <v>7804918450895</v>
      </c>
      <c r="I2037" s="3">
        <v>0</v>
      </c>
      <c r="J2037" s="3">
        <v>0</v>
      </c>
      <c r="K2037" s="3">
        <v>5500</v>
      </c>
    </row>
    <row r="2038" spans="1:11" x14ac:dyDescent="0.2">
      <c r="A2038" s="1" t="s">
        <v>4994</v>
      </c>
      <c r="B2038" s="1" t="s">
        <v>2570</v>
      </c>
      <c r="C2038" s="1"/>
      <c r="D2038" s="1"/>
      <c r="E2038" s="1"/>
      <c r="F2038" s="1"/>
      <c r="G2038" s="1"/>
      <c r="H2038" s="1" t="str">
        <f>"4048846022912"</f>
        <v>4048846022912</v>
      </c>
      <c r="I2038" s="3">
        <v>0</v>
      </c>
      <c r="J2038" s="3">
        <v>0</v>
      </c>
      <c r="K2038" s="3">
        <v>55000</v>
      </c>
    </row>
    <row r="2039" spans="1:11" x14ac:dyDescent="0.2">
      <c r="A2039" s="1" t="s">
        <v>4994</v>
      </c>
      <c r="B2039" s="1" t="s">
        <v>2573</v>
      </c>
      <c r="C2039" s="1"/>
      <c r="D2039" s="1"/>
      <c r="E2039" s="1"/>
      <c r="F2039" s="1"/>
      <c r="G2039" s="1"/>
      <c r="H2039" s="1" t="str">
        <f>"5000223421946"</f>
        <v>5000223421946</v>
      </c>
      <c r="I2039" s="3">
        <v>11</v>
      </c>
      <c r="J2039" s="3">
        <v>0</v>
      </c>
      <c r="K2039" s="3">
        <v>1000</v>
      </c>
    </row>
    <row r="2040" spans="1:11" x14ac:dyDescent="0.2">
      <c r="A2040" s="1" t="s">
        <v>4994</v>
      </c>
      <c r="B2040" s="1" t="s">
        <v>2574</v>
      </c>
      <c r="C2040" s="1"/>
      <c r="D2040" s="1"/>
      <c r="E2040" s="1"/>
      <c r="F2040" s="1"/>
      <c r="G2040" s="1"/>
      <c r="H2040" s="1" t="str">
        <f>"7806130200203"</f>
        <v>7806130200203</v>
      </c>
      <c r="I2040" s="3">
        <v>0</v>
      </c>
      <c r="J2040" s="3">
        <v>0</v>
      </c>
      <c r="K2040" s="3">
        <v>150</v>
      </c>
    </row>
    <row r="2041" spans="1:11" x14ac:dyDescent="0.2">
      <c r="A2041" s="1" t="s">
        <v>4994</v>
      </c>
      <c r="B2041" s="1" t="s">
        <v>2575</v>
      </c>
      <c r="C2041" s="1"/>
      <c r="D2041" s="1"/>
      <c r="E2041" s="1"/>
      <c r="F2041" s="1"/>
      <c r="G2041" s="1"/>
      <c r="H2041" s="1" t="str">
        <f>"7805633008897"</f>
        <v>7805633008897</v>
      </c>
      <c r="I2041" s="3">
        <v>0</v>
      </c>
      <c r="J2041" s="3">
        <v>0</v>
      </c>
      <c r="K2041" s="3">
        <v>200</v>
      </c>
    </row>
    <row r="2042" spans="1:11" x14ac:dyDescent="0.2">
      <c r="A2042" s="1" t="s">
        <v>4994</v>
      </c>
      <c r="B2042" s="1" t="s">
        <v>2576</v>
      </c>
      <c r="C2042" s="1"/>
      <c r="D2042" s="1"/>
      <c r="E2042" s="1"/>
      <c r="F2042" s="1"/>
      <c r="G2042" s="1"/>
      <c r="H2042" s="1" t="str">
        <f>"7804626380347"</f>
        <v>7804626380347</v>
      </c>
      <c r="I2042" s="3">
        <v>0</v>
      </c>
      <c r="J2042" s="3">
        <v>0</v>
      </c>
      <c r="K2042" s="3">
        <v>200</v>
      </c>
    </row>
    <row r="2043" spans="1:11" x14ac:dyDescent="0.2">
      <c r="A2043" s="1" t="s">
        <v>4994</v>
      </c>
      <c r="B2043" s="1" t="s">
        <v>2577</v>
      </c>
      <c r="C2043" s="1"/>
      <c r="D2043" s="1"/>
      <c r="E2043" s="1"/>
      <c r="F2043" s="1"/>
      <c r="G2043" s="1"/>
      <c r="H2043" s="1" t="str">
        <f>"7806130002494"</f>
        <v>7806130002494</v>
      </c>
      <c r="I2043" s="3">
        <v>2</v>
      </c>
      <c r="J2043" s="3">
        <v>0</v>
      </c>
      <c r="K2043" s="3">
        <v>1000</v>
      </c>
    </row>
    <row r="2044" spans="1:11" x14ac:dyDescent="0.2">
      <c r="A2044" s="1" t="s">
        <v>4994</v>
      </c>
      <c r="B2044" s="1" t="s">
        <v>2578</v>
      </c>
      <c r="C2044" s="1"/>
      <c r="D2044" s="1"/>
      <c r="E2044" s="1"/>
      <c r="F2044" s="1"/>
      <c r="G2044" s="1"/>
      <c r="H2044" s="1" t="str">
        <f>"4968420726084"</f>
        <v>4968420726084</v>
      </c>
      <c r="I2044" s="3">
        <v>0</v>
      </c>
      <c r="J2044" s="3">
        <v>0</v>
      </c>
      <c r="K2044" s="3">
        <v>1000</v>
      </c>
    </row>
    <row r="2045" spans="1:11" x14ac:dyDescent="0.2">
      <c r="A2045" s="1" t="s">
        <v>4994</v>
      </c>
      <c r="B2045" s="1" t="s">
        <v>2579</v>
      </c>
      <c r="C2045" s="1"/>
      <c r="D2045" s="1"/>
      <c r="E2045" s="1"/>
      <c r="F2045" s="1"/>
      <c r="G2045" s="1"/>
      <c r="H2045" s="1" t="str">
        <f>"7806130014800"</f>
        <v>7806130014800</v>
      </c>
      <c r="I2045" s="3">
        <v>0</v>
      </c>
      <c r="J2045" s="3">
        <v>0</v>
      </c>
      <c r="K2045" s="3">
        <v>150</v>
      </c>
    </row>
    <row r="2046" spans="1:11" x14ac:dyDescent="0.2">
      <c r="A2046" s="1" t="s">
        <v>4994</v>
      </c>
      <c r="B2046" s="1" t="s">
        <v>2580</v>
      </c>
      <c r="C2046" s="1"/>
      <c r="D2046" s="1"/>
      <c r="E2046" s="1"/>
      <c r="F2046" s="1"/>
      <c r="G2046" s="1"/>
      <c r="H2046" s="1" t="str">
        <f>"7806130013728"</f>
        <v>7806130013728</v>
      </c>
      <c r="I2046" s="3">
        <v>0</v>
      </c>
      <c r="J2046" s="3">
        <v>0</v>
      </c>
      <c r="K2046" s="3">
        <v>300</v>
      </c>
    </row>
    <row r="2047" spans="1:11" x14ac:dyDescent="0.2">
      <c r="A2047" s="1" t="s">
        <v>4994</v>
      </c>
      <c r="B2047" s="1" t="s">
        <v>2581</v>
      </c>
      <c r="C2047" s="1"/>
      <c r="D2047" s="1"/>
      <c r="E2047" s="1"/>
      <c r="F2047" s="1"/>
      <c r="G2047" s="1"/>
      <c r="H2047" s="1" t="str">
        <f>"7806130013698"</f>
        <v>7806130013698</v>
      </c>
      <c r="I2047" s="3">
        <v>275</v>
      </c>
      <c r="J2047" s="3">
        <v>0</v>
      </c>
      <c r="K2047" s="3">
        <v>200</v>
      </c>
    </row>
    <row r="2048" spans="1:11" x14ac:dyDescent="0.2">
      <c r="A2048" s="1" t="s">
        <v>4994</v>
      </c>
      <c r="B2048" s="1" t="s">
        <v>2582</v>
      </c>
      <c r="C2048" s="1"/>
      <c r="D2048" s="1"/>
      <c r="E2048" s="1"/>
      <c r="F2048" s="1"/>
      <c r="G2048" s="1"/>
      <c r="H2048" s="1" t="str">
        <f>"7806130014848"</f>
        <v>7806130014848</v>
      </c>
      <c r="I2048" s="3">
        <v>0</v>
      </c>
      <c r="J2048" s="3">
        <v>0</v>
      </c>
      <c r="K2048" s="3">
        <v>1000</v>
      </c>
    </row>
    <row r="2049" spans="1:11" x14ac:dyDescent="0.2">
      <c r="A2049" s="1" t="s">
        <v>4994</v>
      </c>
      <c r="B2049" s="1" t="s">
        <v>2583</v>
      </c>
      <c r="C2049" s="1"/>
      <c r="D2049" s="1"/>
      <c r="E2049" s="1"/>
      <c r="F2049" s="1"/>
      <c r="G2049" s="1"/>
      <c r="H2049" s="1" t="str">
        <f>"7891463002334"</f>
        <v>7891463002334</v>
      </c>
      <c r="I2049" s="3">
        <v>0</v>
      </c>
      <c r="J2049" s="3">
        <v>0</v>
      </c>
      <c r="K2049" s="3">
        <v>150</v>
      </c>
    </row>
    <row r="2050" spans="1:11" x14ac:dyDescent="0.2">
      <c r="A2050" s="1" t="s">
        <v>4994</v>
      </c>
      <c r="B2050" s="1" t="s">
        <v>2584</v>
      </c>
      <c r="C2050" s="1"/>
      <c r="D2050" s="1"/>
      <c r="E2050" s="1"/>
      <c r="F2050" s="1"/>
      <c r="G2050" s="1"/>
      <c r="H2050" s="1" t="str">
        <f>"49500070007"</f>
        <v>49500070007</v>
      </c>
      <c r="I2050" s="3">
        <v>0</v>
      </c>
      <c r="J2050" s="3">
        <v>0</v>
      </c>
      <c r="K2050" s="3">
        <v>1000</v>
      </c>
    </row>
    <row r="2051" spans="1:11" x14ac:dyDescent="0.2">
      <c r="A2051" s="1" t="s">
        <v>4994</v>
      </c>
      <c r="B2051" s="1" t="s">
        <v>2585</v>
      </c>
      <c r="C2051" s="1"/>
      <c r="D2051" s="1"/>
      <c r="E2051" s="1"/>
      <c r="F2051" s="1"/>
      <c r="G2051" s="1"/>
      <c r="H2051" s="1" t="str">
        <f>"7805633008903"</f>
        <v>7805633008903</v>
      </c>
      <c r="I2051" s="3">
        <v>225</v>
      </c>
      <c r="J2051" s="3">
        <v>0</v>
      </c>
      <c r="K2051" s="3">
        <v>300</v>
      </c>
    </row>
    <row r="2052" spans="1:11" x14ac:dyDescent="0.2">
      <c r="A2052" s="1" t="s">
        <v>4994</v>
      </c>
      <c r="B2052" s="1" t="s">
        <v>2586</v>
      </c>
      <c r="C2052" s="1"/>
      <c r="D2052" s="1"/>
      <c r="E2052" s="1"/>
      <c r="F2052" s="1"/>
      <c r="G2052" s="1"/>
      <c r="H2052" s="1" t="str">
        <f>"7805633008910"</f>
        <v>7805633008910</v>
      </c>
      <c r="I2052" s="3">
        <v>3</v>
      </c>
      <c r="J2052" s="3">
        <v>0</v>
      </c>
      <c r="K2052" s="3">
        <v>500</v>
      </c>
    </row>
    <row r="2053" spans="1:11" x14ac:dyDescent="0.2">
      <c r="A2053" s="1" t="s">
        <v>4994</v>
      </c>
      <c r="B2053" s="1" t="s">
        <v>2587</v>
      </c>
      <c r="C2053" s="1"/>
      <c r="D2053" s="1"/>
      <c r="E2053" s="1"/>
      <c r="F2053" s="1"/>
      <c r="G2053" s="1"/>
      <c r="H2053" s="1" t="str">
        <f>"7805633008934"</f>
        <v>7805633008934</v>
      </c>
      <c r="I2053" s="3">
        <v>292</v>
      </c>
      <c r="J2053" s="3">
        <v>0</v>
      </c>
      <c r="K2053" s="3">
        <v>200</v>
      </c>
    </row>
    <row r="2054" spans="1:11" x14ac:dyDescent="0.2">
      <c r="A2054" s="1" t="s">
        <v>4994</v>
      </c>
      <c r="B2054" s="1" t="s">
        <v>2588</v>
      </c>
      <c r="C2054" s="1"/>
      <c r="D2054" s="1"/>
      <c r="E2054" s="1"/>
      <c r="F2054" s="1"/>
      <c r="G2054" s="1"/>
      <c r="H2054" s="1" t="str">
        <f>"495030420018"</f>
        <v>495030420018</v>
      </c>
      <c r="I2054" s="3">
        <v>0</v>
      </c>
      <c r="J2054" s="3">
        <v>0</v>
      </c>
      <c r="K2054" s="3">
        <v>500</v>
      </c>
    </row>
    <row r="2055" spans="1:11" x14ac:dyDescent="0.2">
      <c r="A2055" s="1" t="s">
        <v>4994</v>
      </c>
      <c r="B2055" s="1" t="s">
        <v>2589</v>
      </c>
      <c r="C2055" s="1"/>
      <c r="D2055" s="1"/>
      <c r="E2055" s="1"/>
      <c r="F2055" s="1"/>
      <c r="G2055" s="1"/>
      <c r="H2055" s="1" t="str">
        <f>"7702031318316"</f>
        <v>7702031318316</v>
      </c>
      <c r="I2055" s="3">
        <v>0</v>
      </c>
      <c r="J2055" s="3">
        <v>0</v>
      </c>
      <c r="K2055" s="3">
        <v>4000</v>
      </c>
    </row>
    <row r="2056" spans="1:11" x14ac:dyDescent="0.2">
      <c r="A2056" s="1" t="s">
        <v>4994</v>
      </c>
      <c r="B2056" s="1" t="s">
        <v>2590</v>
      </c>
      <c r="C2056" s="1"/>
      <c r="D2056" s="1"/>
      <c r="E2056" s="1"/>
      <c r="F2056" s="1"/>
      <c r="G2056" s="1"/>
      <c r="H2056" s="1" t="str">
        <f>"7702031293446"</f>
        <v>7702031293446</v>
      </c>
      <c r="I2056" s="3">
        <v>0</v>
      </c>
      <c r="J2056" s="3">
        <v>0</v>
      </c>
      <c r="K2056" s="3">
        <v>3000</v>
      </c>
    </row>
    <row r="2057" spans="1:11" x14ac:dyDescent="0.2">
      <c r="A2057" s="1" t="s">
        <v>4994</v>
      </c>
      <c r="B2057" s="1" t="s">
        <v>2591</v>
      </c>
      <c r="C2057" s="1"/>
      <c r="D2057" s="1"/>
      <c r="E2057" s="1"/>
      <c r="F2057" s="1"/>
      <c r="G2057" s="1"/>
      <c r="H2057" s="1" t="str">
        <f>"035017008923"</f>
        <v>035017008923</v>
      </c>
      <c r="I2057" s="3">
        <v>13</v>
      </c>
      <c r="J2057" s="3">
        <v>0</v>
      </c>
      <c r="K2057" s="3">
        <v>11500</v>
      </c>
    </row>
    <row r="2058" spans="1:11" x14ac:dyDescent="0.2">
      <c r="A2058" s="1" t="s">
        <v>4994</v>
      </c>
      <c r="B2058" s="1" t="s">
        <v>2592</v>
      </c>
      <c r="C2058" s="1"/>
      <c r="D2058" s="1"/>
      <c r="E2058" s="1"/>
      <c r="F2058" s="1"/>
      <c r="G2058" s="1"/>
      <c r="H2058" s="1" t="str">
        <f>"7804907991972"</f>
        <v>7804907991972</v>
      </c>
      <c r="I2058" s="3">
        <v>0</v>
      </c>
      <c r="J2058" s="3">
        <v>0</v>
      </c>
      <c r="K2058" s="3">
        <v>5000</v>
      </c>
    </row>
    <row r="2059" spans="1:11" x14ac:dyDescent="0.2">
      <c r="A2059" s="1" t="s">
        <v>4994</v>
      </c>
      <c r="B2059" s="1" t="s">
        <v>2593</v>
      </c>
      <c r="C2059" s="1"/>
      <c r="D2059" s="1"/>
      <c r="E2059" s="1"/>
      <c r="F2059" s="1"/>
      <c r="G2059" s="1"/>
      <c r="H2059" s="1" t="str">
        <f>"35017009975"</f>
        <v>35017009975</v>
      </c>
      <c r="I2059" s="3">
        <v>0</v>
      </c>
      <c r="J2059" s="3">
        <v>0</v>
      </c>
      <c r="K2059" s="3">
        <v>9500</v>
      </c>
    </row>
    <row r="2060" spans="1:11" x14ac:dyDescent="0.2">
      <c r="A2060" s="1" t="s">
        <v>4994</v>
      </c>
      <c r="B2060" s="1" t="s">
        <v>2594</v>
      </c>
      <c r="C2060" s="1"/>
      <c r="D2060" s="1"/>
      <c r="E2060" s="1"/>
      <c r="F2060" s="1"/>
      <c r="G2060" s="1"/>
      <c r="H2060" s="1" t="str">
        <f>"7804907991965"</f>
        <v>7804907991965</v>
      </c>
      <c r="I2060" s="3">
        <v>0</v>
      </c>
      <c r="J2060" s="3">
        <v>0</v>
      </c>
      <c r="K2060" s="3">
        <v>9000</v>
      </c>
    </row>
    <row r="2061" spans="1:11" x14ac:dyDescent="0.2">
      <c r="A2061" s="1" t="s">
        <v>4994</v>
      </c>
      <c r="B2061" s="1" t="s">
        <v>2595</v>
      </c>
      <c r="C2061" s="1"/>
      <c r="D2061" s="1"/>
      <c r="E2061" s="1"/>
      <c r="F2061" s="1"/>
      <c r="G2061" s="1"/>
      <c r="H2061" s="1" t="str">
        <f>"2010120018517"</f>
        <v>2010120018517</v>
      </c>
      <c r="I2061" s="3">
        <v>0</v>
      </c>
      <c r="J2061" s="3">
        <v>0</v>
      </c>
      <c r="K2061" s="3">
        <v>4000</v>
      </c>
    </row>
    <row r="2062" spans="1:11" x14ac:dyDescent="0.2">
      <c r="A2062" s="1" t="s">
        <v>4994</v>
      </c>
      <c r="B2062" s="1" t="s">
        <v>2596</v>
      </c>
      <c r="C2062" s="1"/>
      <c r="D2062" s="1"/>
      <c r="E2062" s="1"/>
      <c r="F2062" s="1"/>
      <c r="G2062" s="1"/>
      <c r="H2062" s="1" t="str">
        <f>"7791080112013"</f>
        <v>7791080112013</v>
      </c>
      <c r="I2062" s="3">
        <v>0</v>
      </c>
      <c r="J2062" s="3">
        <v>0</v>
      </c>
      <c r="K2062" s="3">
        <v>13000</v>
      </c>
    </row>
    <row r="2063" spans="1:11" x14ac:dyDescent="0.2">
      <c r="A2063" s="1" t="s">
        <v>4994</v>
      </c>
      <c r="B2063" s="1" t="s">
        <v>2597</v>
      </c>
      <c r="C2063" s="1"/>
      <c r="D2063" s="1"/>
      <c r="E2063" s="1"/>
      <c r="F2063" s="1"/>
      <c r="G2063" s="1"/>
      <c r="H2063" s="1" t="str">
        <f>"781159467059"</f>
        <v>781159467059</v>
      </c>
      <c r="I2063" s="3">
        <v>0</v>
      </c>
      <c r="J2063" s="3">
        <v>0</v>
      </c>
      <c r="K2063" s="3">
        <v>9000</v>
      </c>
    </row>
    <row r="2064" spans="1:11" x14ac:dyDescent="0.2">
      <c r="A2064" s="1" t="s">
        <v>4994</v>
      </c>
      <c r="B2064" s="1" t="s">
        <v>2599</v>
      </c>
      <c r="C2064" s="1"/>
      <c r="D2064" s="1"/>
      <c r="E2064" s="1"/>
      <c r="F2064" s="1"/>
      <c r="G2064" s="1"/>
      <c r="H2064" s="1" t="str">
        <f>"7804947004625"</f>
        <v>7804947004625</v>
      </c>
      <c r="I2064" s="3">
        <v>0</v>
      </c>
      <c r="J2064" s="3">
        <v>0</v>
      </c>
      <c r="K2064" s="3">
        <v>1000</v>
      </c>
    </row>
    <row r="2065" spans="1:11" x14ac:dyDescent="0.2">
      <c r="A2065" s="1" t="s">
        <v>4994</v>
      </c>
      <c r="B2065" s="1" t="s">
        <v>2600</v>
      </c>
      <c r="C2065" s="1"/>
      <c r="D2065" s="1"/>
      <c r="E2065" s="1"/>
      <c r="F2065" s="1"/>
      <c r="G2065" s="1"/>
      <c r="H2065" s="1" t="str">
        <f>"7804947004632"</f>
        <v>7804947004632</v>
      </c>
      <c r="I2065" s="3">
        <v>22</v>
      </c>
      <c r="J2065" s="3">
        <v>0</v>
      </c>
      <c r="K2065" s="3">
        <v>1000</v>
      </c>
    </row>
    <row r="2066" spans="1:11" x14ac:dyDescent="0.2">
      <c r="A2066" s="1" t="s">
        <v>4994</v>
      </c>
      <c r="B2066" s="1" t="s">
        <v>2601</v>
      </c>
      <c r="C2066" s="1"/>
      <c r="D2066" s="1"/>
      <c r="E2066" s="1"/>
      <c r="F2066" s="1"/>
      <c r="G2066" s="1"/>
      <c r="H2066" s="1" t="str">
        <f>"7804947004588"</f>
        <v>7804947004588</v>
      </c>
      <c r="I2066" s="3">
        <v>156</v>
      </c>
      <c r="J2066" s="3">
        <v>0</v>
      </c>
      <c r="K2066" s="3">
        <v>1000</v>
      </c>
    </row>
    <row r="2067" spans="1:11" x14ac:dyDescent="0.2">
      <c r="A2067" s="1" t="s">
        <v>4994</v>
      </c>
      <c r="B2067" s="1" t="s">
        <v>2602</v>
      </c>
      <c r="C2067" s="1"/>
      <c r="D2067" s="1"/>
      <c r="E2067" s="1"/>
      <c r="F2067" s="1"/>
      <c r="G2067" s="1"/>
      <c r="H2067" s="1" t="str">
        <f>"7804947005479"</f>
        <v>7804947005479</v>
      </c>
      <c r="I2067" s="3">
        <v>0</v>
      </c>
      <c r="J2067" s="3">
        <v>0</v>
      </c>
      <c r="K2067" s="3">
        <v>1000</v>
      </c>
    </row>
    <row r="2068" spans="1:11" x14ac:dyDescent="0.2">
      <c r="A2068" s="1" t="s">
        <v>4994</v>
      </c>
      <c r="B2068" s="1" t="s">
        <v>2603</v>
      </c>
      <c r="C2068" s="1"/>
      <c r="D2068" s="1"/>
      <c r="E2068" s="1"/>
      <c r="F2068" s="1"/>
      <c r="G2068" s="1"/>
      <c r="H2068" s="1" t="str">
        <f>"7804947005127"</f>
        <v>7804947005127</v>
      </c>
      <c r="I2068" s="3">
        <v>0</v>
      </c>
      <c r="J2068" s="3">
        <v>0</v>
      </c>
      <c r="K2068" s="3">
        <v>1500</v>
      </c>
    </row>
    <row r="2069" spans="1:11" x14ac:dyDescent="0.2">
      <c r="A2069" s="1" t="s">
        <v>4994</v>
      </c>
      <c r="B2069" s="1" t="s">
        <v>2604</v>
      </c>
      <c r="C2069" s="1"/>
      <c r="D2069" s="1"/>
      <c r="E2069" s="1"/>
      <c r="F2069" s="1"/>
      <c r="G2069" s="1"/>
      <c r="H2069" s="1" t="str">
        <f>"7804947005431"</f>
        <v>7804947005431</v>
      </c>
      <c r="I2069" s="3">
        <v>0</v>
      </c>
      <c r="J2069" s="3">
        <v>0</v>
      </c>
      <c r="K2069" s="3">
        <v>1800</v>
      </c>
    </row>
    <row r="2070" spans="1:11" x14ac:dyDescent="0.2">
      <c r="A2070" s="1" t="s">
        <v>4994</v>
      </c>
      <c r="B2070" s="1" t="s">
        <v>2606</v>
      </c>
      <c r="C2070" s="1"/>
      <c r="D2070" s="1"/>
      <c r="E2070" s="1"/>
      <c r="F2070" s="1"/>
      <c r="G2070" s="1"/>
      <c r="H2070" s="1" t="str">
        <f>"7800046004740"</f>
        <v>7800046004740</v>
      </c>
      <c r="I2070" s="3">
        <v>6</v>
      </c>
      <c r="J2070" s="3">
        <v>0</v>
      </c>
      <c r="K2070" s="3">
        <v>10000</v>
      </c>
    </row>
    <row r="2071" spans="1:11" x14ac:dyDescent="0.2">
      <c r="A2071" s="1" t="s">
        <v>4994</v>
      </c>
      <c r="B2071" s="1" t="s">
        <v>2607</v>
      </c>
      <c r="C2071" s="1"/>
      <c r="D2071" s="1"/>
      <c r="E2071" s="1"/>
      <c r="F2071" s="1"/>
      <c r="G2071" s="1"/>
      <c r="H2071" s="1" t="str">
        <f>"7800046005211"</f>
        <v>7800046005211</v>
      </c>
      <c r="I2071" s="3">
        <v>4</v>
      </c>
      <c r="J2071" s="3">
        <v>0</v>
      </c>
      <c r="K2071" s="3">
        <v>15000</v>
      </c>
    </row>
    <row r="2072" spans="1:11" x14ac:dyDescent="0.2">
      <c r="A2072" s="1" t="s">
        <v>4994</v>
      </c>
      <c r="B2072" s="1" t="s">
        <v>2608</v>
      </c>
      <c r="C2072" s="1"/>
      <c r="D2072" s="1"/>
      <c r="E2072" s="1"/>
      <c r="F2072" s="1"/>
      <c r="G2072" s="1"/>
      <c r="H2072" s="1" t="str">
        <f>"2000110418663"</f>
        <v>2000110418663</v>
      </c>
      <c r="I2072" s="3">
        <v>0</v>
      </c>
      <c r="J2072" s="3">
        <v>0</v>
      </c>
      <c r="K2072" s="3">
        <v>4000</v>
      </c>
    </row>
    <row r="2073" spans="1:11" x14ac:dyDescent="0.2">
      <c r="A2073" s="1" t="s">
        <v>4994</v>
      </c>
      <c r="B2073" s="1" t="s">
        <v>2609</v>
      </c>
      <c r="C2073" s="1"/>
      <c r="D2073" s="1"/>
      <c r="E2073" s="1"/>
      <c r="F2073" s="1"/>
      <c r="G2073" s="1"/>
      <c r="H2073" s="1" t="str">
        <f>"2000110702465"</f>
        <v>2000110702465</v>
      </c>
      <c r="I2073" s="3">
        <v>0</v>
      </c>
      <c r="J2073" s="3">
        <v>0</v>
      </c>
      <c r="K2073" s="3">
        <v>4000</v>
      </c>
    </row>
    <row r="2074" spans="1:11" x14ac:dyDescent="0.2">
      <c r="A2074" s="1" t="s">
        <v>4994</v>
      </c>
      <c r="B2074" s="1" t="s">
        <v>2610</v>
      </c>
      <c r="C2074" s="1"/>
      <c r="D2074" s="1"/>
      <c r="E2074" s="1"/>
      <c r="F2074" s="1"/>
      <c r="G2074" s="1"/>
      <c r="H2074" s="1" t="str">
        <f>"7861073971160"</f>
        <v>7861073971160</v>
      </c>
      <c r="I2074" s="3">
        <v>0</v>
      </c>
      <c r="J2074" s="3">
        <v>0</v>
      </c>
      <c r="K2074" s="3">
        <v>5700</v>
      </c>
    </row>
    <row r="2075" spans="1:11" x14ac:dyDescent="0.2">
      <c r="A2075" s="1" t="s">
        <v>4994</v>
      </c>
      <c r="B2075" s="1" t="s">
        <v>2611</v>
      </c>
      <c r="C2075" s="1"/>
      <c r="D2075" s="1"/>
      <c r="E2075" s="1"/>
      <c r="F2075" s="1"/>
      <c r="G2075" s="1"/>
      <c r="H2075" s="1" t="str">
        <f>"7800059001477"</f>
        <v>7800059001477</v>
      </c>
      <c r="I2075" s="3">
        <v>5</v>
      </c>
      <c r="J2075" s="3">
        <v>0</v>
      </c>
      <c r="K2075" s="3">
        <v>10000</v>
      </c>
    </row>
    <row r="2076" spans="1:11" x14ac:dyDescent="0.2">
      <c r="A2076" s="1" t="s">
        <v>4994</v>
      </c>
      <c r="B2076" s="1" t="s">
        <v>2612</v>
      </c>
      <c r="C2076" s="1"/>
      <c r="D2076" s="1"/>
      <c r="E2076" s="1"/>
      <c r="F2076" s="1"/>
      <c r="G2076" s="1"/>
      <c r="H2076" s="1" t="str">
        <f>"7460536555345"</f>
        <v>7460536555345</v>
      </c>
      <c r="I2076" s="3">
        <v>10</v>
      </c>
      <c r="J2076" s="3">
        <v>0</v>
      </c>
      <c r="K2076" s="3">
        <v>8500</v>
      </c>
    </row>
    <row r="2077" spans="1:11" x14ac:dyDescent="0.2">
      <c r="A2077" s="1" t="s">
        <v>4994</v>
      </c>
      <c r="B2077" s="1" t="s">
        <v>2614</v>
      </c>
      <c r="C2077" s="1"/>
      <c r="D2077" s="1"/>
      <c r="E2077" s="1"/>
      <c r="F2077" s="1"/>
      <c r="G2077" s="1"/>
      <c r="H2077" s="1" t="str">
        <f>"7804633500745"</f>
        <v>7804633500745</v>
      </c>
      <c r="I2077" s="3">
        <v>194</v>
      </c>
      <c r="J2077" s="3">
        <v>0</v>
      </c>
      <c r="K2077" s="3">
        <v>1500</v>
      </c>
    </row>
    <row r="2078" spans="1:11" x14ac:dyDescent="0.2">
      <c r="A2078" s="1" t="s">
        <v>4994</v>
      </c>
      <c r="B2078" s="1" t="s">
        <v>2615</v>
      </c>
      <c r="C2078" s="1"/>
      <c r="D2078" s="1"/>
      <c r="E2078" s="1"/>
      <c r="F2078" s="1"/>
      <c r="G2078" s="1"/>
      <c r="H2078" s="1" t="str">
        <f>"7804633500233"</f>
        <v>7804633500233</v>
      </c>
      <c r="I2078" s="3">
        <v>105</v>
      </c>
      <c r="J2078" s="3">
        <v>0</v>
      </c>
      <c r="K2078" s="3">
        <v>1500</v>
      </c>
    </row>
    <row r="2079" spans="1:11" x14ac:dyDescent="0.2">
      <c r="A2079" s="1" t="s">
        <v>4994</v>
      </c>
      <c r="B2079" s="1" t="s">
        <v>2617</v>
      </c>
      <c r="C2079" s="1"/>
      <c r="D2079" s="1"/>
      <c r="E2079" s="1"/>
      <c r="F2079" s="1"/>
      <c r="G2079" s="1"/>
      <c r="H2079" s="1" t="str">
        <f>"7806130006393"</f>
        <v>7806130006393</v>
      </c>
      <c r="I2079" s="3">
        <v>18</v>
      </c>
      <c r="J2079" s="3">
        <v>0</v>
      </c>
      <c r="K2079" s="3">
        <v>11000</v>
      </c>
    </row>
    <row r="2080" spans="1:11" x14ac:dyDescent="0.2">
      <c r="A2080" s="1" t="s">
        <v>4994</v>
      </c>
      <c r="B2080" s="1" t="s">
        <v>2618</v>
      </c>
      <c r="C2080" s="1"/>
      <c r="D2080" s="1"/>
      <c r="E2080" s="1"/>
      <c r="F2080" s="1"/>
      <c r="G2080" s="1"/>
      <c r="H2080" s="1" t="str">
        <f>"7800029003937"</f>
        <v>7800029003937</v>
      </c>
      <c r="I2080" s="3">
        <v>0</v>
      </c>
      <c r="J2080" s="3">
        <v>0</v>
      </c>
      <c r="K2080" s="3">
        <v>40000</v>
      </c>
    </row>
    <row r="2081" spans="1:11" x14ac:dyDescent="0.2">
      <c r="A2081" s="1" t="s">
        <v>4994</v>
      </c>
      <c r="B2081" s="1" t="s">
        <v>2619</v>
      </c>
      <c r="C2081" s="1"/>
      <c r="D2081" s="1"/>
      <c r="E2081" s="1"/>
      <c r="F2081" s="1"/>
      <c r="G2081" s="1"/>
      <c r="H2081" s="1" t="str">
        <f>"7809591402407"</f>
        <v>7809591402407</v>
      </c>
      <c r="I2081" s="3">
        <v>8</v>
      </c>
      <c r="J2081" s="3">
        <v>0</v>
      </c>
      <c r="K2081" s="3">
        <v>9000</v>
      </c>
    </row>
    <row r="2082" spans="1:11" x14ac:dyDescent="0.2">
      <c r="A2082" s="1" t="s">
        <v>4994</v>
      </c>
      <c r="B2082" s="1" t="s">
        <v>2620</v>
      </c>
      <c r="C2082" s="1"/>
      <c r="D2082" s="1"/>
      <c r="E2082" s="1"/>
      <c r="F2082" s="1"/>
      <c r="G2082" s="1"/>
      <c r="H2082" s="1" t="str">
        <f>"7809591401691"</f>
        <v>7809591401691</v>
      </c>
      <c r="I2082" s="3">
        <v>27</v>
      </c>
      <c r="J2082" s="3">
        <v>0</v>
      </c>
      <c r="K2082" s="3">
        <v>10000</v>
      </c>
    </row>
    <row r="2083" spans="1:11" x14ac:dyDescent="0.2">
      <c r="A2083" s="1" t="s">
        <v>4994</v>
      </c>
      <c r="B2083" s="1" t="s">
        <v>2621</v>
      </c>
      <c r="C2083" s="1"/>
      <c r="D2083" s="1"/>
      <c r="E2083" s="1"/>
      <c r="F2083" s="1"/>
      <c r="G2083" s="1"/>
      <c r="H2083" s="1" t="str">
        <f>"7804650885146"</f>
        <v>7804650885146</v>
      </c>
      <c r="I2083" s="3">
        <v>0</v>
      </c>
      <c r="J2083" s="3">
        <v>0</v>
      </c>
      <c r="K2083" s="3">
        <v>1500</v>
      </c>
    </row>
    <row r="2084" spans="1:11" x14ac:dyDescent="0.2">
      <c r="A2084" s="1" t="s">
        <v>4994</v>
      </c>
      <c r="B2084" s="1" t="s">
        <v>2622</v>
      </c>
      <c r="C2084" s="1"/>
      <c r="D2084" s="1"/>
      <c r="E2084" s="1"/>
      <c r="F2084" s="1"/>
      <c r="G2084" s="1"/>
      <c r="H2084" s="1" t="str">
        <f>"8901790720340"</f>
        <v>8901790720340</v>
      </c>
      <c r="I2084" s="3">
        <v>0</v>
      </c>
      <c r="J2084" s="3">
        <v>0</v>
      </c>
      <c r="K2084" s="3">
        <v>1500</v>
      </c>
    </row>
    <row r="2085" spans="1:11" x14ac:dyDescent="0.2">
      <c r="A2085" s="1" t="s">
        <v>4994</v>
      </c>
      <c r="B2085" s="1" t="s">
        <v>2623</v>
      </c>
      <c r="C2085" s="1"/>
      <c r="D2085" s="1"/>
      <c r="E2085" s="1"/>
      <c r="F2085" s="1"/>
      <c r="G2085" s="1"/>
      <c r="H2085" s="1" t="str">
        <f>"7800063111124"</f>
        <v>7800063111124</v>
      </c>
      <c r="I2085" s="3">
        <v>0</v>
      </c>
      <c r="J2085" s="3">
        <v>0</v>
      </c>
      <c r="K2085" s="3">
        <v>2000</v>
      </c>
    </row>
    <row r="2086" spans="1:11" x14ac:dyDescent="0.2">
      <c r="A2086" s="1" t="s">
        <v>4994</v>
      </c>
      <c r="B2086" s="1" t="s">
        <v>2624</v>
      </c>
      <c r="C2086" s="1"/>
      <c r="D2086" s="1"/>
      <c r="E2086" s="1"/>
      <c r="F2086" s="1"/>
      <c r="G2086" s="1"/>
      <c r="H2086" s="1" t="str">
        <f>"781159466885"</f>
        <v>781159466885</v>
      </c>
      <c r="I2086" s="3">
        <v>0</v>
      </c>
      <c r="J2086" s="3">
        <v>0</v>
      </c>
      <c r="K2086" s="3">
        <v>1500</v>
      </c>
    </row>
    <row r="2087" spans="1:11" x14ac:dyDescent="0.2">
      <c r="A2087" s="1" t="s">
        <v>4994</v>
      </c>
      <c r="B2087" s="1" t="s">
        <v>2625</v>
      </c>
      <c r="C2087" s="1"/>
      <c r="D2087" s="1"/>
      <c r="E2087" s="1"/>
      <c r="F2087" s="1"/>
      <c r="G2087" s="1"/>
      <c r="H2087" s="1" t="str">
        <f>"7800061001540"</f>
        <v>7800061001540</v>
      </c>
      <c r="I2087" s="3">
        <v>0</v>
      </c>
      <c r="J2087" s="3">
        <v>0</v>
      </c>
      <c r="K2087" s="3">
        <v>6000</v>
      </c>
    </row>
    <row r="2088" spans="1:11" x14ac:dyDescent="0.2">
      <c r="A2088" s="1" t="s">
        <v>4994</v>
      </c>
      <c r="B2088" s="1" t="s">
        <v>2626</v>
      </c>
      <c r="C2088" s="1"/>
      <c r="D2088" s="1"/>
      <c r="E2088" s="1"/>
      <c r="F2088" s="1"/>
      <c r="G2088" s="1"/>
      <c r="H2088" s="1" t="str">
        <f>"7804640561739"</f>
        <v>7804640561739</v>
      </c>
      <c r="I2088" s="3">
        <v>0</v>
      </c>
      <c r="J2088" s="3">
        <v>0</v>
      </c>
      <c r="K2088" s="3">
        <v>2000</v>
      </c>
    </row>
    <row r="2089" spans="1:11" x14ac:dyDescent="0.2">
      <c r="A2089" s="1" t="s">
        <v>4994</v>
      </c>
      <c r="B2089" s="1" t="s">
        <v>2628</v>
      </c>
      <c r="C2089" s="1"/>
      <c r="D2089" s="1"/>
      <c r="E2089" s="1"/>
      <c r="F2089" s="1"/>
      <c r="G2089" s="1"/>
      <c r="H2089" s="1" t="str">
        <f>"7804650883845"</f>
        <v>7804650883845</v>
      </c>
      <c r="I2089" s="3">
        <v>0</v>
      </c>
      <c r="J2089" s="3">
        <v>0</v>
      </c>
      <c r="K2089" s="3">
        <v>2500</v>
      </c>
    </row>
    <row r="2090" spans="1:11" x14ac:dyDescent="0.2">
      <c r="A2090" s="1" t="s">
        <v>4994</v>
      </c>
      <c r="B2090" s="1" t="s">
        <v>2632</v>
      </c>
      <c r="C2090" s="1"/>
      <c r="D2090" s="1"/>
      <c r="E2090" s="1"/>
      <c r="F2090" s="1"/>
      <c r="G2090" s="1"/>
      <c r="H2090" s="1" t="str">
        <f>"7800061000390"</f>
        <v>7800061000390</v>
      </c>
      <c r="I2090" s="3">
        <v>1</v>
      </c>
      <c r="J2090" s="3">
        <v>0</v>
      </c>
      <c r="K2090" s="3">
        <v>1000</v>
      </c>
    </row>
    <row r="2091" spans="1:11" x14ac:dyDescent="0.2">
      <c r="A2091" s="1" t="s">
        <v>4994</v>
      </c>
      <c r="B2091" s="1" t="s">
        <v>2636</v>
      </c>
      <c r="C2091" s="1"/>
      <c r="D2091" s="1"/>
      <c r="E2091" s="1"/>
      <c r="F2091" s="1"/>
      <c r="G2091" s="1"/>
      <c r="H2091" s="1" t="str">
        <f>"7804969171459"</f>
        <v>7804969171459</v>
      </c>
      <c r="I2091" s="3">
        <v>0</v>
      </c>
      <c r="J2091" s="3">
        <v>0</v>
      </c>
      <c r="K2091" s="3">
        <v>4500</v>
      </c>
    </row>
    <row r="2092" spans="1:11" x14ac:dyDescent="0.2">
      <c r="A2092" s="1" t="s">
        <v>4994</v>
      </c>
      <c r="B2092" s="1" t="s">
        <v>2637</v>
      </c>
      <c r="C2092" s="1"/>
      <c r="D2092" s="1"/>
      <c r="E2092" s="1"/>
      <c r="F2092" s="1"/>
      <c r="G2092" s="1"/>
      <c r="H2092" s="1" t="str">
        <f>"7804969171527"</f>
        <v>7804969171527</v>
      </c>
      <c r="I2092" s="3">
        <v>0</v>
      </c>
      <c r="J2092" s="3">
        <v>0</v>
      </c>
      <c r="K2092" s="3">
        <v>4500</v>
      </c>
    </row>
    <row r="2093" spans="1:11" x14ac:dyDescent="0.2">
      <c r="A2093" s="1" t="s">
        <v>4994</v>
      </c>
      <c r="B2093" s="1" t="s">
        <v>2638</v>
      </c>
      <c r="C2093" s="1"/>
      <c r="D2093" s="1"/>
      <c r="E2093" s="1"/>
      <c r="F2093" s="1"/>
      <c r="G2093" s="1"/>
      <c r="H2093" s="1" t="str">
        <f>"424241"</f>
        <v>424241</v>
      </c>
      <c r="I2093" s="3">
        <v>0</v>
      </c>
      <c r="J2093" s="3">
        <v>0</v>
      </c>
      <c r="K2093" s="3">
        <v>5000</v>
      </c>
    </row>
    <row r="2094" spans="1:11" x14ac:dyDescent="0.2">
      <c r="A2094" s="1" t="s">
        <v>4994</v>
      </c>
      <c r="B2094" s="1" t="s">
        <v>2639</v>
      </c>
      <c r="C2094" s="1"/>
      <c r="D2094" s="1"/>
      <c r="E2094" s="1"/>
      <c r="F2094" s="1"/>
      <c r="G2094" s="1"/>
      <c r="H2094" s="1" t="str">
        <f>"75613046782740"</f>
        <v>75613046782740</v>
      </c>
      <c r="I2094" s="3">
        <v>0</v>
      </c>
      <c r="J2094" s="3">
        <v>0</v>
      </c>
      <c r="K2094" s="3">
        <v>5000</v>
      </c>
    </row>
    <row r="2095" spans="1:11" x14ac:dyDescent="0.2">
      <c r="A2095" s="1" t="s">
        <v>4994</v>
      </c>
      <c r="B2095" s="1" t="s">
        <v>2640</v>
      </c>
      <c r="C2095" s="1"/>
      <c r="D2095" s="1"/>
      <c r="E2095" s="1"/>
      <c r="F2095" s="1"/>
      <c r="G2095" s="1"/>
      <c r="H2095" s="1" t="str">
        <f>"6920200224133"</f>
        <v>6920200224133</v>
      </c>
      <c r="I2095" s="3">
        <v>20</v>
      </c>
      <c r="J2095" s="3">
        <v>0</v>
      </c>
      <c r="K2095" s="3">
        <v>5000</v>
      </c>
    </row>
    <row r="2096" spans="1:11" x14ac:dyDescent="0.2">
      <c r="A2096" s="1" t="s">
        <v>4994</v>
      </c>
      <c r="B2096" s="1" t="s">
        <v>2641</v>
      </c>
      <c r="C2096" s="1"/>
      <c r="D2096" s="1"/>
      <c r="E2096" s="1"/>
      <c r="F2096" s="1"/>
      <c r="G2096" s="1"/>
      <c r="H2096" s="1" t="str">
        <f>"7804651935314"</f>
        <v>7804651935314</v>
      </c>
      <c r="I2096" s="3">
        <v>0</v>
      </c>
      <c r="J2096" s="3">
        <v>0</v>
      </c>
      <c r="K2096" s="3">
        <v>16000</v>
      </c>
    </row>
    <row r="2097" spans="1:11" x14ac:dyDescent="0.2">
      <c r="A2097" s="1" t="s">
        <v>4994</v>
      </c>
      <c r="B2097" s="1" t="s">
        <v>2642</v>
      </c>
      <c r="C2097" s="1"/>
      <c r="D2097" s="1"/>
      <c r="E2097" s="1"/>
      <c r="F2097" s="1"/>
      <c r="G2097" s="1"/>
      <c r="H2097" s="1" t="str">
        <f>"7806130011519"</f>
        <v>7806130011519</v>
      </c>
      <c r="I2097" s="3">
        <v>4</v>
      </c>
      <c r="J2097" s="3">
        <v>0</v>
      </c>
      <c r="K2097" s="3">
        <v>2500</v>
      </c>
    </row>
    <row r="2098" spans="1:11" x14ac:dyDescent="0.2">
      <c r="A2098" s="1" t="s">
        <v>4994</v>
      </c>
      <c r="B2098" s="1" t="s">
        <v>2643</v>
      </c>
      <c r="C2098" s="1"/>
      <c r="D2098" s="1"/>
      <c r="E2098" s="1"/>
      <c r="F2098" s="1"/>
      <c r="G2098" s="1"/>
      <c r="H2098" s="1" t="str">
        <f>"65673010"</f>
        <v>65673010</v>
      </c>
      <c r="I2098" s="3">
        <v>0</v>
      </c>
      <c r="J2098" s="3">
        <v>0</v>
      </c>
      <c r="K2098" s="3">
        <v>2500</v>
      </c>
    </row>
    <row r="2099" spans="1:11" x14ac:dyDescent="0.2">
      <c r="A2099" s="1" t="s">
        <v>4994</v>
      </c>
      <c r="B2099" s="1" t="s">
        <v>2644</v>
      </c>
      <c r="C2099" s="1"/>
      <c r="D2099" s="1"/>
      <c r="E2099" s="1"/>
      <c r="F2099" s="1"/>
      <c r="G2099" s="1"/>
      <c r="H2099" s="1" t="str">
        <f>"7804651938667"</f>
        <v>7804651938667</v>
      </c>
      <c r="I2099" s="3">
        <v>0</v>
      </c>
      <c r="J2099" s="3">
        <v>0</v>
      </c>
      <c r="K2099" s="3">
        <v>18000</v>
      </c>
    </row>
    <row r="2100" spans="1:11" x14ac:dyDescent="0.2">
      <c r="A2100" s="1" t="s">
        <v>4994</v>
      </c>
      <c r="B2100" s="1" t="s">
        <v>2645</v>
      </c>
      <c r="C2100" s="1"/>
      <c r="D2100" s="1"/>
      <c r="E2100" s="1"/>
      <c r="F2100" s="1"/>
      <c r="G2100" s="1"/>
      <c r="H2100" s="1" t="str">
        <f>"7800007409911"</f>
        <v>7800007409911</v>
      </c>
      <c r="I2100" s="3">
        <v>10</v>
      </c>
      <c r="J2100" s="3">
        <v>0</v>
      </c>
      <c r="K2100" s="3">
        <v>3500</v>
      </c>
    </row>
    <row r="2101" spans="1:11" x14ac:dyDescent="0.2">
      <c r="A2101" s="1" t="s">
        <v>4994</v>
      </c>
      <c r="B2101" s="1" t="s">
        <v>2646</v>
      </c>
      <c r="C2101" s="1"/>
      <c r="D2101" s="1"/>
      <c r="E2101" s="1"/>
      <c r="F2101" s="1"/>
      <c r="G2101" s="1"/>
      <c r="H2101" s="1" t="str">
        <f>"7800007808790"</f>
        <v>7800007808790</v>
      </c>
      <c r="I2101" s="3">
        <v>0</v>
      </c>
      <c r="J2101" s="3">
        <v>0</v>
      </c>
      <c r="K2101" s="3">
        <v>3000</v>
      </c>
    </row>
    <row r="2102" spans="1:11" x14ac:dyDescent="0.2">
      <c r="A2102" s="1" t="s">
        <v>4994</v>
      </c>
      <c r="B2102" s="1" t="s">
        <v>2647</v>
      </c>
      <c r="C2102" s="1"/>
      <c r="D2102" s="1"/>
      <c r="E2102" s="1"/>
      <c r="F2102" s="1"/>
      <c r="G2102" s="1"/>
      <c r="H2102" s="1" t="str">
        <f>"7800007409836"</f>
        <v>7800007409836</v>
      </c>
      <c r="I2102" s="3">
        <v>0</v>
      </c>
      <c r="J2102" s="3">
        <v>0</v>
      </c>
      <c r="K2102" s="3">
        <v>6500</v>
      </c>
    </row>
    <row r="2103" spans="1:11" x14ac:dyDescent="0.2">
      <c r="A2103" s="1" t="s">
        <v>4994</v>
      </c>
      <c r="B2103" s="1" t="s">
        <v>2649</v>
      </c>
      <c r="C2103" s="1"/>
      <c r="D2103" s="1"/>
      <c r="E2103" s="1"/>
      <c r="F2103" s="1"/>
      <c r="G2103" s="1"/>
      <c r="H2103" s="1" t="str">
        <f>"7800007711458"</f>
        <v>7800007711458</v>
      </c>
      <c r="I2103" s="3">
        <v>0</v>
      </c>
      <c r="J2103" s="3">
        <v>0</v>
      </c>
      <c r="K2103" s="3">
        <v>2500</v>
      </c>
    </row>
    <row r="2104" spans="1:11" x14ac:dyDescent="0.2">
      <c r="A2104" s="1" t="s">
        <v>4994</v>
      </c>
      <c r="B2104" s="1" t="s">
        <v>2650</v>
      </c>
      <c r="C2104" s="1"/>
      <c r="D2104" s="1"/>
      <c r="E2104" s="1"/>
      <c r="F2104" s="1"/>
      <c r="G2104" s="1"/>
      <c r="H2104" s="1" t="str">
        <f>"7703281021223"</f>
        <v>7703281021223</v>
      </c>
      <c r="I2104" s="3">
        <v>0</v>
      </c>
      <c r="J2104" s="3">
        <v>0</v>
      </c>
      <c r="K2104" s="3">
        <v>25000</v>
      </c>
    </row>
    <row r="2105" spans="1:11" x14ac:dyDescent="0.2">
      <c r="A2105" s="1" t="s">
        <v>4994</v>
      </c>
      <c r="B2105" s="1" t="s">
        <v>2651</v>
      </c>
      <c r="C2105" s="1"/>
      <c r="D2105" s="1"/>
      <c r="E2105" s="1"/>
      <c r="F2105" s="1"/>
      <c r="G2105" s="1"/>
      <c r="H2105" s="1" t="str">
        <f>"65675076"</f>
        <v>65675076</v>
      </c>
      <c r="I2105" s="3">
        <v>0</v>
      </c>
      <c r="J2105" s="3">
        <v>0</v>
      </c>
      <c r="K2105" s="3">
        <v>1500</v>
      </c>
    </row>
    <row r="2106" spans="1:11" x14ac:dyDescent="0.2">
      <c r="A2106" s="1" t="s">
        <v>4994</v>
      </c>
      <c r="B2106" s="1" t="s">
        <v>2652</v>
      </c>
      <c r="C2106" s="1"/>
      <c r="D2106" s="1"/>
      <c r="E2106" s="1"/>
      <c r="F2106" s="1"/>
      <c r="G2106" s="1"/>
      <c r="H2106" s="1" t="str">
        <f>"7803504002135"</f>
        <v>7803504002135</v>
      </c>
      <c r="I2106" s="3">
        <v>0</v>
      </c>
      <c r="J2106" s="3">
        <v>0</v>
      </c>
      <c r="K2106" s="3">
        <v>2500</v>
      </c>
    </row>
    <row r="2107" spans="1:11" x14ac:dyDescent="0.2">
      <c r="A2107" s="1" t="s">
        <v>4994</v>
      </c>
      <c r="B2107" s="1" t="s">
        <v>2653</v>
      </c>
      <c r="C2107" s="1"/>
      <c r="D2107" s="1"/>
      <c r="E2107" s="1"/>
      <c r="F2107" s="1"/>
      <c r="G2107" s="1"/>
      <c r="H2107" s="1" t="str">
        <f>"4260095681973"</f>
        <v>4260095681973</v>
      </c>
      <c r="I2107" s="3">
        <v>0</v>
      </c>
      <c r="J2107" s="3">
        <v>0</v>
      </c>
      <c r="K2107" s="3">
        <v>22000</v>
      </c>
    </row>
    <row r="2108" spans="1:11" x14ac:dyDescent="0.2">
      <c r="A2108" s="1" t="s">
        <v>4994</v>
      </c>
      <c r="B2108" s="1" t="s">
        <v>2654</v>
      </c>
      <c r="C2108" s="1"/>
      <c r="D2108" s="1"/>
      <c r="E2108" s="1"/>
      <c r="F2108" s="1"/>
      <c r="G2108" s="1"/>
      <c r="H2108" s="1" t="str">
        <f>"7800026010860"</f>
        <v>7800026010860</v>
      </c>
      <c r="I2108" s="3">
        <v>4</v>
      </c>
      <c r="J2108" s="3">
        <v>0</v>
      </c>
      <c r="K2108" s="3">
        <v>24000</v>
      </c>
    </row>
    <row r="2109" spans="1:11" x14ac:dyDescent="0.2">
      <c r="A2109" s="1" t="s">
        <v>4994</v>
      </c>
      <c r="B2109" s="1" t="s">
        <v>2655</v>
      </c>
      <c r="C2109" s="1"/>
      <c r="D2109" s="1"/>
      <c r="E2109" s="1"/>
      <c r="F2109" s="1"/>
      <c r="G2109" s="1"/>
      <c r="H2109" s="1" t="str">
        <f>"2000111218804"</f>
        <v>2000111218804</v>
      </c>
      <c r="I2109" s="3">
        <v>6</v>
      </c>
      <c r="J2109" s="3">
        <v>0</v>
      </c>
      <c r="K2109" s="3">
        <v>4000</v>
      </c>
    </row>
    <row r="2110" spans="1:11" x14ac:dyDescent="0.2">
      <c r="A2110" s="1" t="s">
        <v>4994</v>
      </c>
      <c r="B2110" s="1" t="s">
        <v>2656</v>
      </c>
      <c r="C2110" s="1"/>
      <c r="D2110" s="1"/>
      <c r="E2110" s="1"/>
      <c r="F2110" s="1"/>
      <c r="G2110" s="1"/>
      <c r="H2110" s="1" t="str">
        <f>"7702425116054"</f>
        <v>7702425116054</v>
      </c>
      <c r="I2110" s="3">
        <v>9</v>
      </c>
      <c r="J2110" s="3">
        <v>0</v>
      </c>
      <c r="K2110" s="3">
        <v>2000</v>
      </c>
    </row>
    <row r="2111" spans="1:11" x14ac:dyDescent="0.2">
      <c r="A2111" s="1" t="s">
        <v>4994</v>
      </c>
      <c r="B2111" s="1" t="s">
        <v>2657</v>
      </c>
      <c r="C2111" s="1"/>
      <c r="D2111" s="1"/>
      <c r="E2111" s="1"/>
      <c r="F2111" s="1"/>
      <c r="G2111" s="1"/>
      <c r="H2111" s="1" t="str">
        <f>"7809604028464"</f>
        <v>7809604028464</v>
      </c>
      <c r="I2111" s="3">
        <v>0</v>
      </c>
      <c r="J2111" s="3">
        <v>0</v>
      </c>
      <c r="K2111" s="3">
        <v>2000</v>
      </c>
    </row>
    <row r="2112" spans="1:11" x14ac:dyDescent="0.2">
      <c r="A2112" s="1" t="s">
        <v>4994</v>
      </c>
      <c r="B2112" s="1" t="s">
        <v>2658</v>
      </c>
      <c r="C2112" s="1"/>
      <c r="D2112" s="1"/>
      <c r="E2112" s="1"/>
      <c r="F2112" s="1"/>
      <c r="G2112" s="1"/>
      <c r="H2112" s="1" t="str">
        <f>"7441008154600"</f>
        <v>7441008154600</v>
      </c>
      <c r="I2112" s="3">
        <v>15</v>
      </c>
      <c r="J2112" s="3">
        <v>0</v>
      </c>
      <c r="K2112" s="3">
        <v>3950</v>
      </c>
    </row>
    <row r="2113" spans="1:11" x14ac:dyDescent="0.2">
      <c r="A2113" s="1" t="s">
        <v>4994</v>
      </c>
      <c r="B2113" s="1" t="s">
        <v>2659</v>
      </c>
      <c r="C2113" s="1"/>
      <c r="D2113" s="1"/>
      <c r="E2113" s="1"/>
      <c r="F2113" s="1"/>
      <c r="G2113" s="1"/>
      <c r="H2113" s="1" t="str">
        <f>"7441008154594"</f>
        <v>7441008154594</v>
      </c>
      <c r="I2113" s="3">
        <v>16</v>
      </c>
      <c r="J2113" s="3">
        <v>0</v>
      </c>
      <c r="K2113" s="3">
        <v>3000</v>
      </c>
    </row>
    <row r="2114" spans="1:11" x14ac:dyDescent="0.2">
      <c r="A2114" s="1" t="s">
        <v>4994</v>
      </c>
      <c r="B2114" s="1" t="s">
        <v>2660</v>
      </c>
      <c r="C2114" s="1"/>
      <c r="D2114" s="1"/>
      <c r="E2114" s="1"/>
      <c r="F2114" s="1"/>
      <c r="G2114" s="1"/>
      <c r="H2114" s="1" t="str">
        <f>"7441008154617"</f>
        <v>7441008154617</v>
      </c>
      <c r="I2114" s="3">
        <v>11</v>
      </c>
      <c r="J2114" s="3">
        <v>0</v>
      </c>
      <c r="K2114" s="3">
        <v>3000</v>
      </c>
    </row>
    <row r="2115" spans="1:11" x14ac:dyDescent="0.2">
      <c r="A2115" s="1" t="s">
        <v>4994</v>
      </c>
      <c r="B2115" s="1" t="s">
        <v>2663</v>
      </c>
      <c r="C2115" s="1"/>
      <c r="D2115" s="1"/>
      <c r="E2115" s="1"/>
      <c r="F2115" s="1"/>
      <c r="G2115" s="1"/>
      <c r="H2115" s="1" t="str">
        <f>"7805633022831"</f>
        <v>7805633022831</v>
      </c>
      <c r="I2115" s="3">
        <v>3</v>
      </c>
      <c r="J2115" s="3">
        <v>0</v>
      </c>
      <c r="K2115" s="3">
        <v>4500</v>
      </c>
    </row>
    <row r="2116" spans="1:11" x14ac:dyDescent="0.2">
      <c r="A2116" s="1" t="s">
        <v>4994</v>
      </c>
      <c r="B2116" s="1" t="s">
        <v>2665</v>
      </c>
      <c r="C2116" s="1"/>
      <c r="D2116" s="1"/>
      <c r="E2116" s="1"/>
      <c r="F2116" s="1"/>
      <c r="G2116" s="1"/>
      <c r="H2116" s="1" t="str">
        <f>"76045026773251"</f>
        <v>76045026773251</v>
      </c>
      <c r="I2116" s="3">
        <v>8</v>
      </c>
      <c r="J2116" s="3">
        <v>0</v>
      </c>
      <c r="K2116" s="3">
        <v>6500</v>
      </c>
    </row>
    <row r="2117" spans="1:11" x14ac:dyDescent="0.2">
      <c r="A2117" s="1" t="s">
        <v>4994</v>
      </c>
      <c r="B2117" s="1" t="s">
        <v>2668</v>
      </c>
      <c r="C2117" s="1"/>
      <c r="D2117" s="1"/>
      <c r="E2117" s="1"/>
      <c r="F2117" s="1"/>
      <c r="G2117" s="1"/>
      <c r="H2117" s="1" t="str">
        <f>"30147973"</f>
        <v>30147973</v>
      </c>
      <c r="I2117" s="3">
        <v>0</v>
      </c>
      <c r="J2117" s="3">
        <v>0</v>
      </c>
      <c r="K2117" s="3">
        <v>7000</v>
      </c>
    </row>
    <row r="2118" spans="1:11" x14ac:dyDescent="0.2">
      <c r="A2118" s="1" t="s">
        <v>4994</v>
      </c>
      <c r="B2118" s="1" t="s">
        <v>2669</v>
      </c>
      <c r="C2118" s="1"/>
      <c r="D2118" s="1"/>
      <c r="E2118" s="1"/>
      <c r="F2118" s="1"/>
      <c r="G2118" s="1"/>
      <c r="H2118" s="1" t="str">
        <f>"071249674826071249674826"</f>
        <v>071249674826071249674826</v>
      </c>
      <c r="I2118" s="3">
        <v>0</v>
      </c>
      <c r="J2118" s="3">
        <v>0</v>
      </c>
      <c r="K2118" s="3">
        <v>8000</v>
      </c>
    </row>
    <row r="2119" spans="1:11" x14ac:dyDescent="0.2">
      <c r="A2119" s="1" t="s">
        <v>4994</v>
      </c>
      <c r="B2119" s="1" t="s">
        <v>2672</v>
      </c>
      <c r="C2119" s="1"/>
      <c r="D2119" s="1"/>
      <c r="E2119" s="1"/>
      <c r="F2119" s="1"/>
      <c r="G2119" s="1"/>
      <c r="H2119" s="1" t="str">
        <f>"7509546067940"</f>
        <v>7509546067940</v>
      </c>
      <c r="I2119" s="3">
        <v>8</v>
      </c>
      <c r="J2119" s="3">
        <v>0</v>
      </c>
      <c r="K2119" s="3">
        <v>2500</v>
      </c>
    </row>
    <row r="2120" spans="1:11" x14ac:dyDescent="0.2">
      <c r="A2120" s="1" t="s">
        <v>4994</v>
      </c>
      <c r="B2120" s="1" t="s">
        <v>2673</v>
      </c>
      <c r="C2120" s="1"/>
      <c r="D2120" s="1"/>
      <c r="E2120" s="1"/>
      <c r="F2120" s="1"/>
      <c r="G2120" s="1"/>
      <c r="H2120" s="1" t="str">
        <f>"7509546060613"</f>
        <v>7509546060613</v>
      </c>
      <c r="I2120" s="3">
        <v>3</v>
      </c>
      <c r="J2120" s="3">
        <v>0</v>
      </c>
      <c r="K2120" s="3">
        <v>2500</v>
      </c>
    </row>
    <row r="2121" spans="1:11" x14ac:dyDescent="0.2">
      <c r="A2121" s="1" t="s">
        <v>4994</v>
      </c>
      <c r="B2121" s="1" t="s">
        <v>2674</v>
      </c>
      <c r="C2121" s="1"/>
      <c r="D2121" s="1"/>
      <c r="E2121" s="1"/>
      <c r="F2121" s="1"/>
      <c r="G2121" s="1"/>
      <c r="H2121" s="1" t="str">
        <f>"7509546004471"</f>
        <v>7509546004471</v>
      </c>
      <c r="I2121" s="3">
        <v>10</v>
      </c>
      <c r="J2121" s="3">
        <v>0</v>
      </c>
      <c r="K2121" s="3">
        <v>2500</v>
      </c>
    </row>
    <row r="2122" spans="1:11" x14ac:dyDescent="0.2">
      <c r="A2122" s="1" t="s">
        <v>4994</v>
      </c>
      <c r="B2122" s="1" t="s">
        <v>2675</v>
      </c>
      <c r="C2122" s="1"/>
      <c r="D2122" s="1"/>
      <c r="E2122" s="1"/>
      <c r="F2122" s="1"/>
      <c r="G2122" s="1"/>
      <c r="H2122" s="1" t="str">
        <f>"77317186"</f>
        <v>77317186</v>
      </c>
      <c r="I2122" s="3">
        <v>0</v>
      </c>
      <c r="J2122" s="3">
        <v>0</v>
      </c>
      <c r="K2122" s="3">
        <v>2500</v>
      </c>
    </row>
    <row r="2123" spans="1:11" x14ac:dyDescent="0.2">
      <c r="A2123" s="1" t="s">
        <v>4994</v>
      </c>
      <c r="B2123" s="1" t="s">
        <v>2676</v>
      </c>
      <c r="C2123" s="1"/>
      <c r="D2123" s="1"/>
      <c r="E2123" s="1"/>
      <c r="F2123" s="1"/>
      <c r="G2123" s="1"/>
      <c r="H2123" s="1" t="str">
        <f>"3337875816809"</f>
        <v>3337875816809</v>
      </c>
      <c r="I2123" s="3">
        <v>0</v>
      </c>
      <c r="J2123" s="3">
        <v>0</v>
      </c>
      <c r="K2123" s="3">
        <v>10000</v>
      </c>
    </row>
    <row r="2124" spans="1:11" x14ac:dyDescent="0.2">
      <c r="A2124" s="1" t="s">
        <v>4994</v>
      </c>
      <c r="B2124" s="1" t="s">
        <v>2677</v>
      </c>
      <c r="C2124" s="1"/>
      <c r="D2124" s="1"/>
      <c r="E2124" s="1"/>
      <c r="F2124" s="1"/>
      <c r="G2124" s="1"/>
      <c r="H2124" s="1" t="str">
        <f>"30147935"</f>
        <v>30147935</v>
      </c>
      <c r="I2124" s="3">
        <v>0</v>
      </c>
      <c r="J2124" s="3">
        <v>0</v>
      </c>
      <c r="K2124" s="3">
        <v>7000</v>
      </c>
    </row>
    <row r="2125" spans="1:11" x14ac:dyDescent="0.2">
      <c r="A2125" s="1" t="s">
        <v>4994</v>
      </c>
      <c r="B2125" s="1" t="s">
        <v>2678</v>
      </c>
      <c r="C2125" s="1"/>
      <c r="D2125" s="1"/>
      <c r="E2125" s="1"/>
      <c r="F2125" s="1"/>
      <c r="G2125" s="1"/>
      <c r="H2125" s="1" t="str">
        <f>"7804907957497"</f>
        <v>7804907957497</v>
      </c>
      <c r="I2125" s="3">
        <v>0</v>
      </c>
      <c r="J2125" s="3">
        <v>0</v>
      </c>
      <c r="K2125" s="3">
        <v>4000</v>
      </c>
    </row>
    <row r="2126" spans="1:11" x14ac:dyDescent="0.2">
      <c r="A2126" s="1" t="s">
        <v>4994</v>
      </c>
      <c r="B2126" s="1" t="s">
        <v>2679</v>
      </c>
      <c r="C2126" s="1"/>
      <c r="D2126" s="1"/>
      <c r="E2126" s="1"/>
      <c r="F2126" s="1"/>
      <c r="G2126" s="1"/>
      <c r="H2126" s="1" t="str">
        <f>"7509552845846"</f>
        <v>7509552845846</v>
      </c>
      <c r="I2126" s="3">
        <v>0</v>
      </c>
      <c r="J2126" s="3">
        <v>0</v>
      </c>
      <c r="K2126" s="3">
        <v>4500</v>
      </c>
    </row>
    <row r="2127" spans="1:11" x14ac:dyDescent="0.2">
      <c r="A2127" s="1" t="s">
        <v>4994</v>
      </c>
      <c r="B2127" s="1" t="s">
        <v>2680</v>
      </c>
      <c r="C2127" s="1"/>
      <c r="D2127" s="1"/>
      <c r="E2127" s="1"/>
      <c r="F2127" s="1"/>
      <c r="G2127" s="1"/>
      <c r="H2127" s="1" t="str">
        <f>"41554237924"</f>
        <v>41554237924</v>
      </c>
      <c r="I2127" s="3">
        <v>0</v>
      </c>
      <c r="J2127" s="3">
        <v>0</v>
      </c>
      <c r="K2127" s="3">
        <v>7500</v>
      </c>
    </row>
    <row r="2128" spans="1:11" x14ac:dyDescent="0.2">
      <c r="A2128" s="1" t="s">
        <v>4994</v>
      </c>
      <c r="B2128" s="1" t="s">
        <v>2681</v>
      </c>
      <c r="C2128" s="1"/>
      <c r="D2128" s="1"/>
      <c r="E2128" s="1"/>
      <c r="F2128" s="1"/>
      <c r="G2128" s="1"/>
      <c r="H2128" s="1" t="str">
        <f>"7800044000690"</f>
        <v>7800044000690</v>
      </c>
      <c r="I2128" s="3">
        <v>0</v>
      </c>
      <c r="J2128" s="3">
        <v>0</v>
      </c>
      <c r="K2128" s="3">
        <v>1000</v>
      </c>
    </row>
    <row r="2129" spans="1:11" x14ac:dyDescent="0.2">
      <c r="A2129" s="1" t="s">
        <v>4994</v>
      </c>
      <c r="B2129" s="1" t="s">
        <v>2682</v>
      </c>
      <c r="C2129" s="1"/>
      <c r="D2129" s="1"/>
      <c r="E2129" s="1"/>
      <c r="F2129" s="1"/>
      <c r="G2129" s="1"/>
      <c r="H2129" s="1" t="str">
        <f>"7709208222759"</f>
        <v>7709208222759</v>
      </c>
      <c r="I2129" s="3">
        <v>0</v>
      </c>
      <c r="J2129" s="3">
        <v>0</v>
      </c>
      <c r="K2129" s="3">
        <v>2000</v>
      </c>
    </row>
    <row r="2130" spans="1:11" x14ac:dyDescent="0.2">
      <c r="A2130" s="1" t="s">
        <v>4994</v>
      </c>
      <c r="B2130" s="1" t="s">
        <v>2683</v>
      </c>
      <c r="C2130" s="1"/>
      <c r="D2130" s="1"/>
      <c r="E2130" s="1"/>
      <c r="F2130" s="1"/>
      <c r="G2130" s="1"/>
      <c r="H2130" s="1" t="str">
        <f>"41554198553"</f>
        <v>41554198553</v>
      </c>
      <c r="I2130" s="3">
        <v>0</v>
      </c>
      <c r="J2130" s="3">
        <v>0</v>
      </c>
      <c r="K2130" s="3">
        <v>5000</v>
      </c>
    </row>
    <row r="2131" spans="1:11" x14ac:dyDescent="0.2">
      <c r="A2131" s="1" t="s">
        <v>4994</v>
      </c>
      <c r="B2131" s="1" t="s">
        <v>2684</v>
      </c>
      <c r="C2131" s="1"/>
      <c r="D2131" s="1"/>
      <c r="E2131" s="1"/>
      <c r="F2131" s="1"/>
      <c r="G2131" s="1"/>
      <c r="H2131" s="1" t="str">
        <f>"7809591401080"</f>
        <v>7809591401080</v>
      </c>
      <c r="I2131" s="3">
        <v>0</v>
      </c>
      <c r="J2131" s="3">
        <v>0</v>
      </c>
      <c r="K2131" s="3">
        <v>52000</v>
      </c>
    </row>
    <row r="2132" spans="1:11" x14ac:dyDescent="0.2">
      <c r="A2132" s="1" t="s">
        <v>4994</v>
      </c>
      <c r="B2132" s="1" t="s">
        <v>2685</v>
      </c>
      <c r="C2132" s="1"/>
      <c r="D2132" s="1"/>
      <c r="E2132" s="1"/>
      <c r="F2132" s="1"/>
      <c r="G2132" s="1"/>
      <c r="H2132" s="1" t="str">
        <f>"7809591401141"</f>
        <v>7809591401141</v>
      </c>
      <c r="I2132" s="3">
        <v>0</v>
      </c>
      <c r="J2132" s="3">
        <v>0</v>
      </c>
      <c r="K2132" s="3">
        <v>18000</v>
      </c>
    </row>
    <row r="2133" spans="1:11" x14ac:dyDescent="0.2">
      <c r="A2133" s="1" t="s">
        <v>4994</v>
      </c>
      <c r="B2133" s="1" t="s">
        <v>2686</v>
      </c>
      <c r="C2133" s="1"/>
      <c r="D2133" s="1"/>
      <c r="E2133" s="1"/>
      <c r="F2133" s="1"/>
      <c r="G2133" s="1"/>
      <c r="H2133" s="1" t="str">
        <f>"7891058018702"</f>
        <v>7891058018702</v>
      </c>
      <c r="I2133" s="3">
        <v>0</v>
      </c>
      <c r="J2133" s="3">
        <v>0</v>
      </c>
      <c r="K2133" s="3">
        <v>7000</v>
      </c>
    </row>
    <row r="2134" spans="1:11" x14ac:dyDescent="0.2">
      <c r="A2134" s="1" t="s">
        <v>4994</v>
      </c>
      <c r="B2134" s="1" t="s">
        <v>2687</v>
      </c>
      <c r="C2134" s="1"/>
      <c r="D2134" s="1"/>
      <c r="E2134" s="1"/>
      <c r="F2134" s="1"/>
      <c r="G2134" s="1"/>
      <c r="H2134" s="1" t="str">
        <f>"7800018187785"</f>
        <v>7800018187785</v>
      </c>
      <c r="I2134" s="3">
        <v>8</v>
      </c>
      <c r="J2134" s="3">
        <v>0</v>
      </c>
      <c r="K2134" s="3">
        <v>12000</v>
      </c>
    </row>
    <row r="2135" spans="1:11" x14ac:dyDescent="0.2">
      <c r="A2135" s="1" t="s">
        <v>4994</v>
      </c>
      <c r="B2135" s="1" t="s">
        <v>2689</v>
      </c>
      <c r="C2135" s="1"/>
      <c r="D2135" s="1"/>
      <c r="E2135" s="1"/>
      <c r="F2135" s="1"/>
      <c r="G2135" s="1"/>
      <c r="H2135" s="1" t="str">
        <f>"7800062001891"</f>
        <v>7800062001891</v>
      </c>
      <c r="I2135" s="3">
        <v>23</v>
      </c>
      <c r="J2135" s="3">
        <v>0</v>
      </c>
      <c r="K2135" s="3">
        <v>3500</v>
      </c>
    </row>
    <row r="2136" spans="1:11" x14ac:dyDescent="0.2">
      <c r="A2136" s="1" t="s">
        <v>4994</v>
      </c>
      <c r="B2136" s="1" t="s">
        <v>2691</v>
      </c>
      <c r="C2136" s="1"/>
      <c r="D2136" s="1"/>
      <c r="E2136" s="1"/>
      <c r="F2136" s="1"/>
      <c r="G2136" s="1"/>
      <c r="H2136" s="1" t="str">
        <f>"7800068030291"</f>
        <v>7800068030291</v>
      </c>
      <c r="I2136" s="3">
        <v>2</v>
      </c>
      <c r="J2136" s="3">
        <v>0</v>
      </c>
      <c r="K2136" s="3">
        <v>3500</v>
      </c>
    </row>
    <row r="2137" spans="1:11" x14ac:dyDescent="0.2">
      <c r="A2137" s="1" t="s">
        <v>4994</v>
      </c>
      <c r="B2137" s="1" t="s">
        <v>2693</v>
      </c>
      <c r="C2137" s="1"/>
      <c r="D2137" s="1"/>
      <c r="E2137" s="1"/>
      <c r="F2137" s="1"/>
      <c r="G2137" s="1"/>
      <c r="H2137" s="1" t="str">
        <f>"7509546004488"</f>
        <v>7509546004488</v>
      </c>
      <c r="I2137" s="3">
        <v>4</v>
      </c>
      <c r="J2137" s="3">
        <v>0</v>
      </c>
      <c r="K2137" s="3">
        <v>2500</v>
      </c>
    </row>
    <row r="2138" spans="1:11" x14ac:dyDescent="0.2">
      <c r="A2138" s="1" t="s">
        <v>4994</v>
      </c>
      <c r="B2138" s="1" t="s">
        <v>2694</v>
      </c>
      <c r="C2138" s="1"/>
      <c r="D2138" s="1"/>
      <c r="E2138" s="1"/>
      <c r="F2138" s="1"/>
      <c r="G2138" s="1"/>
      <c r="H2138" s="1" t="str">
        <f>"7509546029153"</f>
        <v>7509546029153</v>
      </c>
      <c r="I2138" s="3">
        <v>0</v>
      </c>
      <c r="J2138" s="3">
        <v>0</v>
      </c>
      <c r="K2138" s="3">
        <v>4000</v>
      </c>
    </row>
    <row r="2139" spans="1:11" x14ac:dyDescent="0.2">
      <c r="A2139" s="1" t="s">
        <v>4994</v>
      </c>
      <c r="B2139" s="1" t="s">
        <v>2695</v>
      </c>
      <c r="C2139" s="1"/>
      <c r="D2139" s="1"/>
      <c r="E2139" s="1"/>
      <c r="F2139" s="1"/>
      <c r="G2139" s="1"/>
      <c r="H2139" s="1" t="str">
        <f>"7501035908925"</f>
        <v>7501035908925</v>
      </c>
      <c r="I2139" s="3">
        <v>3</v>
      </c>
      <c r="J2139" s="3">
        <v>0</v>
      </c>
      <c r="K2139" s="3">
        <v>2500</v>
      </c>
    </row>
    <row r="2140" spans="1:11" x14ac:dyDescent="0.2">
      <c r="A2140" s="1" t="s">
        <v>4994</v>
      </c>
      <c r="B2140" s="1" t="s">
        <v>2696</v>
      </c>
      <c r="C2140" s="1"/>
      <c r="D2140" s="1"/>
      <c r="E2140" s="1"/>
      <c r="F2140" s="1"/>
      <c r="G2140" s="1"/>
      <c r="H2140" s="1" t="str">
        <f>"7509546057545"</f>
        <v>7509546057545</v>
      </c>
      <c r="I2140" s="3">
        <v>6</v>
      </c>
      <c r="J2140" s="3">
        <v>0</v>
      </c>
      <c r="K2140" s="3">
        <v>2500</v>
      </c>
    </row>
    <row r="2141" spans="1:11" x14ac:dyDescent="0.2">
      <c r="A2141" s="1" t="s">
        <v>4994</v>
      </c>
      <c r="B2141" s="1" t="s">
        <v>2697</v>
      </c>
      <c r="C2141" s="1"/>
      <c r="D2141" s="1"/>
      <c r="E2141" s="1"/>
      <c r="F2141" s="1"/>
      <c r="G2141" s="1"/>
      <c r="H2141" s="1" t="str">
        <f>"7806500962809"</f>
        <v>7806500962809</v>
      </c>
      <c r="I2141" s="3">
        <v>13</v>
      </c>
      <c r="J2141" s="3">
        <v>0</v>
      </c>
      <c r="K2141" s="3">
        <v>1500</v>
      </c>
    </row>
    <row r="2142" spans="1:11" x14ac:dyDescent="0.2">
      <c r="A2142" s="1" t="s">
        <v>4994</v>
      </c>
      <c r="B2142" s="1" t="s">
        <v>2698</v>
      </c>
      <c r="C2142" s="1"/>
      <c r="D2142" s="1"/>
      <c r="E2142" s="1"/>
      <c r="F2142" s="1"/>
      <c r="G2142" s="1"/>
      <c r="H2142" s="1" t="str">
        <f>"7806500962854"</f>
        <v>7806500962854</v>
      </c>
      <c r="I2142" s="3">
        <v>0</v>
      </c>
      <c r="J2142" s="3">
        <v>0</v>
      </c>
      <c r="K2142" s="3">
        <v>2500</v>
      </c>
    </row>
    <row r="2143" spans="1:11" x14ac:dyDescent="0.2">
      <c r="A2143" s="1" t="s">
        <v>4994</v>
      </c>
      <c r="B2143" s="1" t="s">
        <v>2699</v>
      </c>
      <c r="C2143" s="1"/>
      <c r="D2143" s="1"/>
      <c r="E2143" s="1"/>
      <c r="F2143" s="1"/>
      <c r="G2143" s="1"/>
      <c r="H2143" s="1" t="str">
        <f>"7806500966029"</f>
        <v>7806500966029</v>
      </c>
      <c r="I2143" s="3">
        <v>5</v>
      </c>
      <c r="J2143" s="3">
        <v>0</v>
      </c>
      <c r="K2143" s="3">
        <v>3000</v>
      </c>
    </row>
    <row r="2144" spans="1:11" x14ac:dyDescent="0.2">
      <c r="A2144" s="1" t="s">
        <v>4994</v>
      </c>
      <c r="B2144" s="1" t="s">
        <v>2700</v>
      </c>
      <c r="C2144" s="1"/>
      <c r="D2144" s="1"/>
      <c r="E2144" s="1"/>
      <c r="F2144" s="1"/>
      <c r="G2144" s="1"/>
      <c r="H2144" s="1" t="str">
        <f>"7806500966036"</f>
        <v>7806500966036</v>
      </c>
      <c r="I2144" s="3">
        <v>4</v>
      </c>
      <c r="J2144" s="3">
        <v>0</v>
      </c>
      <c r="K2144" s="3">
        <v>3000</v>
      </c>
    </row>
    <row r="2145" spans="1:11" x14ac:dyDescent="0.2">
      <c r="A2145" s="1" t="s">
        <v>4994</v>
      </c>
      <c r="B2145" s="1" t="s">
        <v>2701</v>
      </c>
      <c r="C2145" s="1"/>
      <c r="D2145" s="1"/>
      <c r="E2145" s="1"/>
      <c r="F2145" s="1"/>
      <c r="G2145" s="1"/>
      <c r="H2145" s="1" t="str">
        <f>"7790250096061"</f>
        <v>7790250096061</v>
      </c>
      <c r="I2145" s="3">
        <v>12</v>
      </c>
      <c r="J2145" s="3">
        <v>0</v>
      </c>
      <c r="K2145" s="3">
        <v>1500</v>
      </c>
    </row>
    <row r="2146" spans="1:11" x14ac:dyDescent="0.2">
      <c r="A2146" s="1" t="s">
        <v>4994</v>
      </c>
      <c r="B2146" s="1" t="s">
        <v>2702</v>
      </c>
      <c r="C2146" s="1"/>
      <c r="D2146" s="1"/>
      <c r="E2146" s="1"/>
      <c r="F2146" s="1"/>
      <c r="G2146" s="1"/>
      <c r="H2146" s="1" t="str">
        <f>"8908014106294"</f>
        <v>8908014106294</v>
      </c>
      <c r="I2146" s="3">
        <v>0</v>
      </c>
      <c r="J2146" s="3">
        <v>0</v>
      </c>
      <c r="K2146" s="3">
        <v>1500</v>
      </c>
    </row>
    <row r="2147" spans="1:11" x14ac:dyDescent="0.2">
      <c r="A2147" s="1" t="s">
        <v>4994</v>
      </c>
      <c r="B2147" s="1" t="s">
        <v>2703</v>
      </c>
      <c r="C2147" s="1"/>
      <c r="D2147" s="1"/>
      <c r="E2147" s="1"/>
      <c r="F2147" s="1"/>
      <c r="G2147" s="1"/>
      <c r="H2147" s="1" t="str">
        <f>"7804657990096"</f>
        <v>7804657990096</v>
      </c>
      <c r="I2147" s="3">
        <v>19</v>
      </c>
      <c r="J2147" s="3">
        <v>0</v>
      </c>
      <c r="K2147" s="3">
        <v>1500</v>
      </c>
    </row>
    <row r="2148" spans="1:11" x14ac:dyDescent="0.2">
      <c r="A2148" s="1" t="s">
        <v>4994</v>
      </c>
      <c r="B2148" s="1" t="s">
        <v>2704</v>
      </c>
      <c r="C2148" s="1"/>
      <c r="D2148" s="1"/>
      <c r="E2148" s="1"/>
      <c r="F2148" s="1"/>
      <c r="G2148" s="1"/>
      <c r="H2148" s="1" t="str">
        <f>"7804633500585"</f>
        <v>7804633500585</v>
      </c>
      <c r="I2148" s="3">
        <v>43</v>
      </c>
      <c r="J2148" s="3">
        <v>0</v>
      </c>
      <c r="K2148" s="3">
        <v>1500</v>
      </c>
    </row>
    <row r="2149" spans="1:11" x14ac:dyDescent="0.2">
      <c r="A2149" s="1" t="s">
        <v>4994</v>
      </c>
      <c r="B2149" s="1" t="s">
        <v>2705</v>
      </c>
      <c r="C2149" s="1"/>
      <c r="D2149" s="1"/>
      <c r="E2149" s="1"/>
      <c r="F2149" s="1"/>
      <c r="G2149" s="1"/>
      <c r="H2149" s="1" t="str">
        <f>"7804620835645"</f>
        <v>7804620835645</v>
      </c>
      <c r="I2149" s="3">
        <v>0</v>
      </c>
      <c r="J2149" s="3">
        <v>0</v>
      </c>
      <c r="K2149" s="3">
        <v>1500</v>
      </c>
    </row>
    <row r="2150" spans="1:11" x14ac:dyDescent="0.2">
      <c r="A2150" s="1" t="s">
        <v>4994</v>
      </c>
      <c r="B2150" s="1" t="s">
        <v>2707</v>
      </c>
      <c r="C2150" s="1"/>
      <c r="D2150" s="1"/>
      <c r="E2150" s="1"/>
      <c r="F2150" s="1"/>
      <c r="G2150" s="1"/>
      <c r="H2150" s="1" t="str">
        <f>"7800063330860"</f>
        <v>7800063330860</v>
      </c>
      <c r="I2150" s="3">
        <v>36</v>
      </c>
      <c r="J2150" s="3">
        <v>0</v>
      </c>
      <c r="K2150" s="3">
        <v>4000</v>
      </c>
    </row>
    <row r="2151" spans="1:11" x14ac:dyDescent="0.2">
      <c r="A2151" s="1" t="s">
        <v>4994</v>
      </c>
      <c r="B2151" s="1" t="s">
        <v>2708</v>
      </c>
      <c r="C2151" s="1"/>
      <c r="D2151" s="1"/>
      <c r="E2151" s="1"/>
      <c r="F2151" s="1"/>
      <c r="G2151" s="1"/>
      <c r="H2151" s="1" t="str">
        <f>"7804614931919"</f>
        <v>7804614931919</v>
      </c>
      <c r="I2151" s="3">
        <v>0</v>
      </c>
      <c r="J2151" s="3">
        <v>0</v>
      </c>
      <c r="K2151" s="3">
        <v>6000</v>
      </c>
    </row>
    <row r="2152" spans="1:11" x14ac:dyDescent="0.2">
      <c r="A2152" s="1" t="s">
        <v>4994</v>
      </c>
      <c r="B2152" s="1" t="s">
        <v>2710</v>
      </c>
      <c r="C2152" s="1"/>
      <c r="D2152" s="1"/>
      <c r="E2152" s="1"/>
      <c r="F2152" s="1"/>
      <c r="G2152" s="1"/>
      <c r="H2152" s="1" t="str">
        <f>"7800007804242"</f>
        <v>7800007804242</v>
      </c>
      <c r="I2152" s="3">
        <v>0</v>
      </c>
      <c r="J2152" s="3">
        <v>0</v>
      </c>
      <c r="K2152" s="3">
        <v>5000</v>
      </c>
    </row>
    <row r="2153" spans="1:11" x14ac:dyDescent="0.2">
      <c r="A2153" s="1" t="s">
        <v>4994</v>
      </c>
      <c r="B2153" s="1" t="s">
        <v>2711</v>
      </c>
      <c r="C2153" s="1"/>
      <c r="D2153" s="1"/>
      <c r="E2153" s="1"/>
      <c r="F2153" s="1"/>
      <c r="G2153" s="1"/>
      <c r="H2153" s="1" t="str">
        <f>"7800007804235"</f>
        <v>7800007804235</v>
      </c>
      <c r="I2153" s="3">
        <v>0</v>
      </c>
      <c r="J2153" s="3">
        <v>0</v>
      </c>
      <c r="K2153" s="3">
        <v>5000</v>
      </c>
    </row>
    <row r="2154" spans="1:11" x14ac:dyDescent="0.2">
      <c r="A2154" s="1" t="s">
        <v>4994</v>
      </c>
      <c r="B2154" s="1" t="s">
        <v>2712</v>
      </c>
      <c r="C2154" s="1"/>
      <c r="D2154" s="1"/>
      <c r="E2154" s="1"/>
      <c r="F2154" s="1"/>
      <c r="G2154" s="1"/>
      <c r="H2154" s="1" t="str">
        <f>"7804614931926"</f>
        <v>7804614931926</v>
      </c>
      <c r="I2154" s="3">
        <v>0</v>
      </c>
      <c r="J2154" s="3">
        <v>0</v>
      </c>
      <c r="K2154" s="3">
        <v>3500</v>
      </c>
    </row>
    <row r="2155" spans="1:11" x14ac:dyDescent="0.2">
      <c r="A2155" s="1" t="s">
        <v>4994</v>
      </c>
      <c r="B2155" s="1" t="s">
        <v>2713</v>
      </c>
      <c r="C2155" s="1"/>
      <c r="D2155" s="1"/>
      <c r="E2155" s="1"/>
      <c r="F2155" s="1"/>
      <c r="G2155" s="1"/>
      <c r="H2155" s="1" t="str">
        <f>"384840810280"</f>
        <v>384840810280</v>
      </c>
      <c r="I2155" s="3">
        <v>0</v>
      </c>
      <c r="J2155" s="3">
        <v>0</v>
      </c>
      <c r="K2155" s="3">
        <v>8000</v>
      </c>
    </row>
    <row r="2156" spans="1:11" x14ac:dyDescent="0.2">
      <c r="A2156" s="1" t="s">
        <v>4994</v>
      </c>
      <c r="B2156" s="1" t="s">
        <v>2714</v>
      </c>
      <c r="C2156" s="1"/>
      <c r="D2156" s="1"/>
      <c r="E2156" s="1"/>
      <c r="F2156" s="1"/>
      <c r="G2156" s="1"/>
      <c r="H2156" s="1" t="str">
        <f>"7898144125702"</f>
        <v>7898144125702</v>
      </c>
      <c r="I2156" s="3">
        <v>7</v>
      </c>
      <c r="J2156" s="3">
        <v>0</v>
      </c>
      <c r="K2156" s="3">
        <v>2500</v>
      </c>
    </row>
    <row r="2157" spans="1:11" x14ac:dyDescent="0.2">
      <c r="A2157" s="1" t="s">
        <v>4994</v>
      </c>
      <c r="B2157" s="1" t="s">
        <v>2715</v>
      </c>
      <c r="C2157" s="1"/>
      <c r="D2157" s="1"/>
      <c r="E2157" s="1"/>
      <c r="F2157" s="1"/>
      <c r="G2157" s="1"/>
      <c r="H2157" s="1" t="str">
        <f>"7898144120387"</f>
        <v>7898144120387</v>
      </c>
      <c r="I2157" s="3">
        <v>0</v>
      </c>
      <c r="J2157" s="3">
        <v>0</v>
      </c>
      <c r="K2157" s="3">
        <v>1000</v>
      </c>
    </row>
    <row r="2158" spans="1:11" x14ac:dyDescent="0.2">
      <c r="A2158" s="1" t="s">
        <v>4994</v>
      </c>
      <c r="B2158" s="1" t="s">
        <v>2716</v>
      </c>
      <c r="C2158" s="1"/>
      <c r="D2158" s="1"/>
      <c r="E2158" s="1"/>
      <c r="F2158" s="1"/>
      <c r="G2158" s="1"/>
      <c r="H2158" s="1" t="str">
        <f>"7804945015401"</f>
        <v>7804945015401</v>
      </c>
      <c r="I2158" s="3">
        <v>0</v>
      </c>
      <c r="J2158" s="3">
        <v>0</v>
      </c>
      <c r="K2158" s="3">
        <v>8000</v>
      </c>
    </row>
    <row r="2159" spans="1:11" x14ac:dyDescent="0.2">
      <c r="A2159" s="1" t="s">
        <v>4994</v>
      </c>
      <c r="B2159" s="1" t="s">
        <v>2717</v>
      </c>
      <c r="C2159" s="1"/>
      <c r="D2159" s="1"/>
      <c r="E2159" s="1"/>
      <c r="F2159" s="1"/>
      <c r="G2159" s="1"/>
      <c r="H2159" s="1" t="str">
        <f>"44677701709"</f>
        <v>44677701709</v>
      </c>
      <c r="I2159" s="3">
        <v>0</v>
      </c>
      <c r="J2159" s="3">
        <v>0</v>
      </c>
      <c r="K2159" s="3">
        <v>11000</v>
      </c>
    </row>
    <row r="2160" spans="1:11" x14ac:dyDescent="0.2">
      <c r="A2160" s="1" t="s">
        <v>4994</v>
      </c>
      <c r="B2160" s="1" t="s">
        <v>2718</v>
      </c>
      <c r="C2160" s="1"/>
      <c r="D2160" s="1"/>
      <c r="E2160" s="1"/>
      <c r="F2160" s="1"/>
      <c r="G2160" s="1"/>
      <c r="H2160" s="1" t="str">
        <f>"044677701709"</f>
        <v>044677701709</v>
      </c>
      <c r="I2160" s="3">
        <v>0</v>
      </c>
      <c r="J2160" s="3">
        <v>0</v>
      </c>
      <c r="K2160" s="3">
        <v>11000</v>
      </c>
    </row>
    <row r="2161" spans="1:11" x14ac:dyDescent="0.2">
      <c r="A2161" s="1" t="s">
        <v>4994</v>
      </c>
      <c r="B2161" s="1" t="s">
        <v>2719</v>
      </c>
      <c r="C2161" s="1"/>
      <c r="D2161" s="1"/>
      <c r="E2161" s="1"/>
      <c r="F2161" s="1"/>
      <c r="G2161" s="1"/>
      <c r="H2161" s="1" t="str">
        <f>"44677202657"</f>
        <v>44677202657</v>
      </c>
      <c r="I2161" s="3">
        <v>15</v>
      </c>
      <c r="J2161" s="3">
        <v>0</v>
      </c>
      <c r="K2161" s="3">
        <v>6000</v>
      </c>
    </row>
    <row r="2162" spans="1:11" x14ac:dyDescent="0.2">
      <c r="A2162" s="1" t="s">
        <v>4994</v>
      </c>
      <c r="B2162" s="1" t="s">
        <v>2721</v>
      </c>
      <c r="C2162" s="1"/>
      <c r="D2162" s="1"/>
      <c r="E2162" s="1"/>
      <c r="F2162" s="1"/>
      <c r="G2162" s="1"/>
      <c r="H2162" s="1" t="str">
        <f>"7795345120379"</f>
        <v>7795345120379</v>
      </c>
      <c r="I2162" s="3">
        <v>0</v>
      </c>
      <c r="J2162" s="3">
        <v>0</v>
      </c>
      <c r="K2162" s="3">
        <v>24000</v>
      </c>
    </row>
    <row r="2163" spans="1:11" x14ac:dyDescent="0.2">
      <c r="A2163" s="1" t="s">
        <v>4994</v>
      </c>
      <c r="B2163" s="1" t="s">
        <v>2722</v>
      </c>
      <c r="C2163" s="1"/>
      <c r="D2163" s="1"/>
      <c r="E2163" s="1"/>
      <c r="F2163" s="1"/>
      <c r="G2163" s="1"/>
      <c r="H2163" s="1" t="str">
        <f>"7800007803887"</f>
        <v>7800007803887</v>
      </c>
      <c r="I2163" s="3">
        <v>42</v>
      </c>
      <c r="J2163" s="3">
        <v>0</v>
      </c>
      <c r="K2163" s="3">
        <v>1500</v>
      </c>
    </row>
    <row r="2164" spans="1:11" x14ac:dyDescent="0.2">
      <c r="A2164" s="1" t="s">
        <v>4994</v>
      </c>
      <c r="B2164" s="1" t="s">
        <v>2723</v>
      </c>
      <c r="C2164" s="1"/>
      <c r="D2164" s="1"/>
      <c r="E2164" s="1"/>
      <c r="F2164" s="1"/>
      <c r="G2164" s="1"/>
      <c r="H2164" s="1" t="str">
        <f>"7804986005409"</f>
        <v>7804986005409</v>
      </c>
      <c r="I2164" s="3">
        <v>0</v>
      </c>
      <c r="J2164" s="3">
        <v>0</v>
      </c>
      <c r="K2164" s="3">
        <v>3000</v>
      </c>
    </row>
    <row r="2165" spans="1:11" x14ac:dyDescent="0.2">
      <c r="A2165" s="1" t="s">
        <v>4994</v>
      </c>
      <c r="B2165" s="1" t="s">
        <v>2724</v>
      </c>
      <c r="C2165" s="1"/>
      <c r="D2165" s="1"/>
      <c r="E2165" s="1"/>
      <c r="F2165" s="1"/>
      <c r="G2165" s="1"/>
      <c r="H2165" s="1" t="str">
        <f>"30147959"</f>
        <v>30147959</v>
      </c>
      <c r="I2165" s="3">
        <v>0</v>
      </c>
      <c r="J2165" s="3">
        <v>0</v>
      </c>
      <c r="K2165" s="3">
        <v>7000</v>
      </c>
    </row>
    <row r="2166" spans="1:11" x14ac:dyDescent="0.2">
      <c r="A2166" s="1" t="s">
        <v>4994</v>
      </c>
      <c r="B2166" s="1" t="s">
        <v>2725</v>
      </c>
      <c r="C2166" s="1"/>
      <c r="D2166" s="1"/>
      <c r="E2166" s="1"/>
      <c r="F2166" s="1"/>
      <c r="G2166" s="1"/>
      <c r="H2166" s="1" t="str">
        <f>"30153080"</f>
        <v>30153080</v>
      </c>
      <c r="I2166" s="3">
        <v>0</v>
      </c>
      <c r="J2166" s="3">
        <v>0</v>
      </c>
      <c r="K2166" s="3">
        <v>7000</v>
      </c>
    </row>
    <row r="2167" spans="1:11" x14ac:dyDescent="0.2">
      <c r="A2167" s="1" t="s">
        <v>4994</v>
      </c>
      <c r="B2167" s="1" t="s">
        <v>2726</v>
      </c>
      <c r="C2167" s="1"/>
      <c r="D2167" s="1"/>
      <c r="E2167" s="1"/>
      <c r="F2167" s="1"/>
      <c r="G2167" s="1"/>
      <c r="H2167" s="1" t="str">
        <f>"00001007"</f>
        <v>00001007</v>
      </c>
      <c r="I2167" s="3">
        <v>18</v>
      </c>
      <c r="J2167" s="3">
        <v>0</v>
      </c>
      <c r="K2167" s="3">
        <v>2000</v>
      </c>
    </row>
    <row r="2168" spans="1:11" x14ac:dyDescent="0.2">
      <c r="A2168" s="1" t="s">
        <v>4994</v>
      </c>
      <c r="B2168" s="1" t="s">
        <v>2727</v>
      </c>
      <c r="C2168" s="1"/>
      <c r="D2168" s="1"/>
      <c r="E2168" s="1"/>
      <c r="F2168" s="1"/>
      <c r="G2168" s="1"/>
      <c r="H2168" s="1" t="str">
        <f>"4029916001730"</f>
        <v>4029916001730</v>
      </c>
      <c r="I2168" s="3">
        <v>0</v>
      </c>
      <c r="J2168" s="3">
        <v>0</v>
      </c>
      <c r="K2168" s="3">
        <v>18000</v>
      </c>
    </row>
    <row r="2169" spans="1:11" x14ac:dyDescent="0.2">
      <c r="A2169" s="1" t="s">
        <v>4994</v>
      </c>
      <c r="B2169" s="1" t="s">
        <v>2728</v>
      </c>
      <c r="C2169" s="1"/>
      <c r="D2169" s="1"/>
      <c r="E2169" s="1"/>
      <c r="F2169" s="1"/>
      <c r="G2169" s="1"/>
      <c r="H2169" s="1" t="str">
        <f>"7804620832057"</f>
        <v>7804620832057</v>
      </c>
      <c r="I2169" s="3">
        <v>11</v>
      </c>
      <c r="J2169" s="3">
        <v>0</v>
      </c>
      <c r="K2169" s="3">
        <v>6000</v>
      </c>
    </row>
    <row r="2170" spans="1:11" x14ac:dyDescent="0.2">
      <c r="A2170" s="1" t="s">
        <v>4994</v>
      </c>
      <c r="B2170" s="1" t="s">
        <v>2729</v>
      </c>
      <c r="C2170" s="1"/>
      <c r="D2170" s="1"/>
      <c r="E2170" s="1"/>
      <c r="F2170" s="1"/>
      <c r="G2170" s="1"/>
      <c r="H2170" s="1" t="str">
        <f>"7804620835522"</f>
        <v>7804620835522</v>
      </c>
      <c r="I2170" s="3">
        <v>3</v>
      </c>
      <c r="J2170" s="3">
        <v>0</v>
      </c>
      <c r="K2170" s="3">
        <v>6500</v>
      </c>
    </row>
    <row r="2171" spans="1:11" x14ac:dyDescent="0.2">
      <c r="A2171" s="1" t="s">
        <v>4994</v>
      </c>
      <c r="B2171" s="1" t="s">
        <v>2730</v>
      </c>
      <c r="C2171" s="1"/>
      <c r="D2171" s="1"/>
      <c r="E2171" s="1"/>
      <c r="F2171" s="1"/>
      <c r="G2171" s="1"/>
      <c r="H2171" s="1" t="str">
        <f>"7800007811523"</f>
        <v>7800007811523</v>
      </c>
      <c r="I2171" s="3">
        <v>0</v>
      </c>
      <c r="J2171" s="3">
        <v>0</v>
      </c>
      <c r="K2171" s="3">
        <v>6000</v>
      </c>
    </row>
    <row r="2172" spans="1:11" x14ac:dyDescent="0.2">
      <c r="A2172" s="1" t="s">
        <v>4994</v>
      </c>
      <c r="B2172" s="1" t="s">
        <v>2731</v>
      </c>
      <c r="C2172" s="1"/>
      <c r="D2172" s="1"/>
      <c r="E2172" s="1"/>
      <c r="F2172" s="1"/>
      <c r="G2172" s="1"/>
      <c r="H2172" s="1" t="str">
        <f>"7800023101004"</f>
        <v>7800023101004</v>
      </c>
      <c r="I2172" s="3">
        <v>0</v>
      </c>
      <c r="J2172" s="3">
        <v>0</v>
      </c>
      <c r="K2172" s="3">
        <v>1500</v>
      </c>
    </row>
    <row r="2173" spans="1:11" x14ac:dyDescent="0.2">
      <c r="A2173" s="1" t="s">
        <v>4994</v>
      </c>
      <c r="B2173" s="1" t="s">
        <v>2733</v>
      </c>
      <c r="C2173" s="1"/>
      <c r="D2173" s="1"/>
      <c r="E2173" s="1"/>
      <c r="F2173" s="1"/>
      <c r="G2173" s="1"/>
      <c r="H2173" s="1" t="str">
        <f>"7800018174709"</f>
        <v>7800018174709</v>
      </c>
      <c r="I2173" s="3">
        <v>0</v>
      </c>
      <c r="J2173" s="3">
        <v>0</v>
      </c>
      <c r="K2173" s="3">
        <v>12000</v>
      </c>
    </row>
    <row r="2174" spans="1:11" x14ac:dyDescent="0.2">
      <c r="A2174" s="1" t="s">
        <v>4994</v>
      </c>
      <c r="B2174" s="1" t="s">
        <v>2734</v>
      </c>
      <c r="C2174" s="1"/>
      <c r="D2174" s="1"/>
      <c r="E2174" s="1"/>
      <c r="F2174" s="1"/>
      <c r="G2174" s="1"/>
      <c r="H2174" s="1" t="str">
        <f>"7800018001289"</f>
        <v>7800018001289</v>
      </c>
      <c r="I2174" s="3">
        <v>8</v>
      </c>
      <c r="J2174" s="3">
        <v>0</v>
      </c>
      <c r="K2174" s="3">
        <v>12000</v>
      </c>
    </row>
    <row r="2175" spans="1:11" x14ac:dyDescent="0.2">
      <c r="A2175" s="1" t="s">
        <v>4994</v>
      </c>
      <c r="B2175" s="1" t="s">
        <v>2736</v>
      </c>
      <c r="C2175" s="1"/>
      <c r="D2175" s="1"/>
      <c r="E2175" s="1"/>
      <c r="F2175" s="1"/>
      <c r="G2175" s="1"/>
      <c r="H2175" s="1" t="str">
        <f>"7800007808264"</f>
        <v>7800007808264</v>
      </c>
      <c r="I2175" s="3">
        <v>0</v>
      </c>
      <c r="J2175" s="3">
        <v>0</v>
      </c>
      <c r="K2175" s="3">
        <v>3500</v>
      </c>
    </row>
    <row r="2176" spans="1:11" x14ac:dyDescent="0.2">
      <c r="A2176" s="1" t="s">
        <v>4994</v>
      </c>
      <c r="B2176" s="1" t="s">
        <v>2739</v>
      </c>
      <c r="C2176" s="1"/>
      <c r="D2176" s="1"/>
      <c r="E2176" s="1"/>
      <c r="F2176" s="1"/>
      <c r="G2176" s="1"/>
      <c r="H2176" s="1" t="str">
        <f>"7791293020082"</f>
        <v>7791293020082</v>
      </c>
      <c r="I2176" s="3">
        <v>11</v>
      </c>
      <c r="J2176" s="3">
        <v>0</v>
      </c>
      <c r="K2176" s="3">
        <v>3000</v>
      </c>
    </row>
    <row r="2177" spans="1:11" x14ac:dyDescent="0.2">
      <c r="A2177" s="1" t="s">
        <v>4994</v>
      </c>
      <c r="B2177" s="1" t="s">
        <v>2740</v>
      </c>
      <c r="C2177" s="1"/>
      <c r="D2177" s="1"/>
      <c r="E2177" s="1"/>
      <c r="F2177" s="1"/>
      <c r="G2177" s="1"/>
      <c r="H2177" s="1" t="str">
        <f>"7791293028286"</f>
        <v>7791293028286</v>
      </c>
      <c r="I2177" s="3">
        <v>12</v>
      </c>
      <c r="J2177" s="3">
        <v>0</v>
      </c>
      <c r="K2177" s="3">
        <v>3000</v>
      </c>
    </row>
    <row r="2178" spans="1:11" x14ac:dyDescent="0.2">
      <c r="A2178" s="1" t="s">
        <v>4994</v>
      </c>
      <c r="B2178" s="1" t="s">
        <v>2741</v>
      </c>
      <c r="C2178" s="1"/>
      <c r="D2178" s="1"/>
      <c r="E2178" s="1"/>
      <c r="F2178" s="1"/>
      <c r="G2178" s="1"/>
      <c r="H2178" s="1" t="str">
        <f>"7800004005352"</f>
        <v>7800004005352</v>
      </c>
      <c r="I2178" s="3">
        <v>8</v>
      </c>
      <c r="J2178" s="3">
        <v>0</v>
      </c>
      <c r="K2178" s="3">
        <v>2000</v>
      </c>
    </row>
    <row r="2179" spans="1:11" x14ac:dyDescent="0.2">
      <c r="A2179" s="1" t="s">
        <v>4994</v>
      </c>
      <c r="B2179" s="1" t="s">
        <v>2742</v>
      </c>
      <c r="C2179" s="1"/>
      <c r="D2179" s="1"/>
      <c r="E2179" s="1"/>
      <c r="F2179" s="1"/>
      <c r="G2179" s="1"/>
      <c r="H2179" s="1" t="str">
        <f>"7800004004348"</f>
        <v>7800004004348</v>
      </c>
      <c r="I2179" s="3">
        <v>20</v>
      </c>
      <c r="J2179" s="3">
        <v>0</v>
      </c>
      <c r="K2179" s="3">
        <v>15000</v>
      </c>
    </row>
    <row r="2180" spans="1:11" x14ac:dyDescent="0.2">
      <c r="A2180" s="1" t="s">
        <v>4994</v>
      </c>
      <c r="B2180" s="1" t="s">
        <v>2743</v>
      </c>
      <c r="C2180" s="1"/>
      <c r="D2180" s="1"/>
      <c r="E2180" s="1"/>
      <c r="F2180" s="1"/>
      <c r="G2180" s="1"/>
      <c r="H2180" s="1" t="str">
        <f>"7800004004324"</f>
        <v>7800004004324</v>
      </c>
      <c r="I2180" s="3">
        <v>10</v>
      </c>
      <c r="J2180" s="3">
        <v>0</v>
      </c>
      <c r="K2180" s="3">
        <v>7000</v>
      </c>
    </row>
    <row r="2181" spans="1:11" x14ac:dyDescent="0.2">
      <c r="A2181" s="1" t="s">
        <v>4994</v>
      </c>
      <c r="B2181" s="1" t="s">
        <v>2744</v>
      </c>
      <c r="C2181" s="1"/>
      <c r="D2181" s="1"/>
      <c r="E2181" s="1"/>
      <c r="F2181" s="1"/>
      <c r="G2181" s="1"/>
      <c r="H2181" s="1" t="str">
        <f>"7800004005185"</f>
        <v>7800004005185</v>
      </c>
      <c r="I2181" s="3">
        <v>20</v>
      </c>
      <c r="J2181" s="3">
        <v>0</v>
      </c>
      <c r="K2181" s="3">
        <v>4000</v>
      </c>
    </row>
    <row r="2182" spans="1:11" x14ac:dyDescent="0.2">
      <c r="A2182" s="1" t="s">
        <v>4994</v>
      </c>
      <c r="B2182" s="1" t="s">
        <v>2745</v>
      </c>
      <c r="C2182" s="1"/>
      <c r="D2182" s="1"/>
      <c r="E2182" s="1"/>
      <c r="F2182" s="1"/>
      <c r="G2182" s="1"/>
      <c r="H2182" s="1" t="str">
        <f>"7800004006083"</f>
        <v>7800004006083</v>
      </c>
      <c r="I2182" s="3">
        <v>0</v>
      </c>
      <c r="J2182" s="3">
        <v>0</v>
      </c>
      <c r="K2182" s="3">
        <v>6000</v>
      </c>
    </row>
    <row r="2183" spans="1:11" x14ac:dyDescent="0.2">
      <c r="A2183" s="1" t="s">
        <v>4994</v>
      </c>
      <c r="B2183" s="1" t="s">
        <v>2746</v>
      </c>
      <c r="C2183" s="1"/>
      <c r="D2183" s="1"/>
      <c r="E2183" s="1"/>
      <c r="F2183" s="1"/>
      <c r="G2183" s="1"/>
      <c r="H2183" s="1" t="str">
        <f>"7502253072795"</f>
        <v>7502253072795</v>
      </c>
      <c r="I2183" s="3">
        <v>19</v>
      </c>
      <c r="J2183" s="3">
        <v>0</v>
      </c>
      <c r="K2183" s="3">
        <v>5000</v>
      </c>
    </row>
    <row r="2184" spans="1:11" x14ac:dyDescent="0.2">
      <c r="A2184" s="1" t="s">
        <v>4994</v>
      </c>
      <c r="B2184" s="1" t="s">
        <v>2747</v>
      </c>
      <c r="C2184" s="1"/>
      <c r="D2184" s="1"/>
      <c r="E2184" s="1"/>
      <c r="F2184" s="1"/>
      <c r="G2184" s="1"/>
      <c r="H2184" s="1" t="str">
        <f>"8445290118288"</f>
        <v>8445290118288</v>
      </c>
      <c r="I2184" s="3">
        <v>0</v>
      </c>
      <c r="J2184" s="3">
        <v>0</v>
      </c>
      <c r="K2184" s="3">
        <v>7500</v>
      </c>
    </row>
    <row r="2185" spans="1:11" x14ac:dyDescent="0.2">
      <c r="A2185" s="1" t="s">
        <v>4994</v>
      </c>
      <c r="B2185" s="1" t="s">
        <v>2748</v>
      </c>
      <c r="C2185" s="1"/>
      <c r="D2185" s="1"/>
      <c r="E2185" s="1"/>
      <c r="F2185" s="1"/>
      <c r="G2185" s="1"/>
      <c r="H2185" s="1" t="str">
        <f>"737186233143"</f>
        <v>737186233143</v>
      </c>
      <c r="I2185" s="3">
        <v>0</v>
      </c>
      <c r="J2185" s="3">
        <v>0</v>
      </c>
      <c r="K2185" s="3">
        <v>14500</v>
      </c>
    </row>
    <row r="2186" spans="1:11" x14ac:dyDescent="0.2">
      <c r="A2186" s="1" t="s">
        <v>4994</v>
      </c>
      <c r="B2186" s="1" t="s">
        <v>2749</v>
      </c>
      <c r="C2186" s="1"/>
      <c r="D2186" s="1"/>
      <c r="E2186" s="1"/>
      <c r="F2186" s="1"/>
      <c r="G2186" s="1"/>
      <c r="H2186" s="1" t="str">
        <f>"4005900773845"</f>
        <v>4005900773845</v>
      </c>
      <c r="I2186" s="3">
        <v>0</v>
      </c>
      <c r="J2186" s="3">
        <v>0</v>
      </c>
      <c r="K2186" s="3">
        <v>5000</v>
      </c>
    </row>
    <row r="2187" spans="1:11" x14ac:dyDescent="0.2">
      <c r="A2187" s="1" t="s">
        <v>4994</v>
      </c>
      <c r="B2187" s="1" t="s">
        <v>2750</v>
      </c>
      <c r="C2187" s="1"/>
      <c r="D2187" s="1"/>
      <c r="E2187" s="1"/>
      <c r="F2187" s="1"/>
      <c r="G2187" s="1"/>
      <c r="H2187" s="1" t="str">
        <f>"SDNKFJI"</f>
        <v>SDNKFJI</v>
      </c>
      <c r="I2187" s="3">
        <v>0</v>
      </c>
      <c r="J2187" s="3">
        <v>0</v>
      </c>
      <c r="K2187" s="3">
        <v>5000</v>
      </c>
    </row>
    <row r="2188" spans="1:11" x14ac:dyDescent="0.2">
      <c r="A2188" s="1" t="s">
        <v>4994</v>
      </c>
      <c r="B2188" s="1" t="s">
        <v>2751</v>
      </c>
      <c r="C2188" s="1"/>
      <c r="D2188" s="1"/>
      <c r="E2188" s="1"/>
      <c r="F2188" s="1"/>
      <c r="G2188" s="1"/>
      <c r="H2188" s="1" t="str">
        <f>"75890707137695"</f>
        <v>75890707137695</v>
      </c>
      <c r="I2188" s="3">
        <v>12</v>
      </c>
      <c r="J2188" s="3">
        <v>0</v>
      </c>
      <c r="K2188" s="3">
        <v>0</v>
      </c>
    </row>
    <row r="2189" spans="1:11" x14ac:dyDescent="0.2">
      <c r="A2189" s="1" t="s">
        <v>4994</v>
      </c>
      <c r="B2189" s="1" t="s">
        <v>2752</v>
      </c>
      <c r="C2189" s="1"/>
      <c r="D2189" s="1"/>
      <c r="E2189" s="1"/>
      <c r="F2189" s="1"/>
      <c r="G2189" s="1"/>
      <c r="H2189" s="1" t="str">
        <f>"7800004001071"</f>
        <v>7800004001071</v>
      </c>
      <c r="I2189" s="3">
        <v>19</v>
      </c>
      <c r="J2189" s="3">
        <v>0</v>
      </c>
      <c r="K2189" s="3">
        <v>3000</v>
      </c>
    </row>
    <row r="2190" spans="1:11" x14ac:dyDescent="0.2">
      <c r="A2190" s="1" t="s">
        <v>4994</v>
      </c>
      <c r="B2190" s="1" t="s">
        <v>2754</v>
      </c>
      <c r="C2190" s="1"/>
      <c r="D2190" s="1"/>
      <c r="E2190" s="1"/>
      <c r="F2190" s="1"/>
      <c r="G2190" s="1"/>
      <c r="H2190" s="1" t="str">
        <f>"7803504004139"</f>
        <v>7803504004139</v>
      </c>
      <c r="I2190" s="3">
        <v>0</v>
      </c>
      <c r="J2190" s="3">
        <v>0</v>
      </c>
      <c r="K2190" s="3">
        <v>8000</v>
      </c>
    </row>
    <row r="2191" spans="1:11" x14ac:dyDescent="0.2">
      <c r="A2191" s="1" t="s">
        <v>4994</v>
      </c>
      <c r="B2191" s="1" t="s">
        <v>2755</v>
      </c>
      <c r="C2191" s="1"/>
      <c r="D2191" s="1"/>
      <c r="E2191" s="1"/>
      <c r="F2191" s="1"/>
      <c r="G2191" s="1"/>
      <c r="H2191" s="1" t="str">
        <f>"7803504000544"</f>
        <v>7803504000544</v>
      </c>
      <c r="I2191" s="3">
        <v>0</v>
      </c>
      <c r="J2191" s="3">
        <v>0</v>
      </c>
      <c r="K2191" s="3">
        <v>4000</v>
      </c>
    </row>
    <row r="2192" spans="1:11" x14ac:dyDescent="0.2">
      <c r="A2192" s="1" t="s">
        <v>4994</v>
      </c>
      <c r="B2192" s="1" t="s">
        <v>2756</v>
      </c>
      <c r="C2192" s="1"/>
      <c r="D2192" s="1"/>
      <c r="E2192" s="1"/>
      <c r="F2192" s="1"/>
      <c r="G2192" s="1"/>
      <c r="H2192" s="1" t="str">
        <f>"7803504421813"</f>
        <v>7803504421813</v>
      </c>
      <c r="I2192" s="3">
        <v>0</v>
      </c>
      <c r="J2192" s="3">
        <v>0</v>
      </c>
      <c r="K2192" s="3">
        <v>6000</v>
      </c>
    </row>
    <row r="2193" spans="1:11" x14ac:dyDescent="0.2">
      <c r="A2193" s="1" t="s">
        <v>4994</v>
      </c>
      <c r="B2193" s="1" t="s">
        <v>2757</v>
      </c>
      <c r="C2193" s="1"/>
      <c r="D2193" s="1"/>
      <c r="E2193" s="1"/>
      <c r="F2193" s="1"/>
      <c r="G2193" s="1"/>
      <c r="H2193" s="1" t="str">
        <f>"7805633006275"</f>
        <v>7805633006275</v>
      </c>
      <c r="I2193" s="3">
        <v>0</v>
      </c>
      <c r="J2193" s="3">
        <v>0</v>
      </c>
      <c r="K2193" s="3">
        <v>2500</v>
      </c>
    </row>
    <row r="2194" spans="1:11" x14ac:dyDescent="0.2">
      <c r="A2194" s="1" t="s">
        <v>4994</v>
      </c>
      <c r="B2194" s="1" t="s">
        <v>2758</v>
      </c>
      <c r="C2194" s="1"/>
      <c r="D2194" s="1"/>
      <c r="E2194" s="1"/>
      <c r="F2194" s="1"/>
      <c r="G2194" s="1"/>
      <c r="H2194" s="1" t="str">
        <f>"3662042006838"</f>
        <v>3662042006838</v>
      </c>
      <c r="I2194" s="3">
        <v>0</v>
      </c>
      <c r="J2194" s="3">
        <v>0</v>
      </c>
      <c r="K2194" s="3">
        <v>20000</v>
      </c>
    </row>
    <row r="2195" spans="1:11" x14ac:dyDescent="0.2">
      <c r="A2195" s="1" t="s">
        <v>4994</v>
      </c>
      <c r="B2195" s="1" t="s">
        <v>2759</v>
      </c>
      <c r="C2195" s="1"/>
      <c r="D2195" s="1"/>
      <c r="E2195" s="1"/>
      <c r="F2195" s="1"/>
      <c r="G2195" s="1"/>
      <c r="H2195" s="1" t="str">
        <f>"7804620835775"</f>
        <v>7804620835775</v>
      </c>
      <c r="I2195" s="3">
        <v>6</v>
      </c>
      <c r="J2195" s="3">
        <v>0</v>
      </c>
      <c r="K2195" s="3">
        <v>7000</v>
      </c>
    </row>
    <row r="2196" spans="1:11" x14ac:dyDescent="0.2">
      <c r="A2196" s="1" t="s">
        <v>4994</v>
      </c>
      <c r="B2196" s="1" t="s">
        <v>2760</v>
      </c>
      <c r="C2196" s="1"/>
      <c r="D2196" s="1"/>
      <c r="E2196" s="1"/>
      <c r="F2196" s="1"/>
      <c r="G2196" s="1"/>
      <c r="H2196" s="1" t="str">
        <f>"7804620835768"</f>
        <v>7804620835768</v>
      </c>
      <c r="I2196" s="3">
        <v>0</v>
      </c>
      <c r="J2196" s="3">
        <v>0</v>
      </c>
      <c r="K2196" s="3">
        <v>8500</v>
      </c>
    </row>
    <row r="2197" spans="1:11" x14ac:dyDescent="0.2">
      <c r="A2197" s="1" t="s">
        <v>4994</v>
      </c>
      <c r="B2197" s="1" t="s">
        <v>2761</v>
      </c>
      <c r="C2197" s="1"/>
      <c r="D2197" s="1"/>
      <c r="E2197" s="1"/>
      <c r="F2197" s="1"/>
      <c r="G2197" s="1"/>
      <c r="H2197" s="1" t="str">
        <f>"7800070001852"</f>
        <v>7800070001852</v>
      </c>
      <c r="I2197" s="3">
        <v>0</v>
      </c>
      <c r="J2197" s="3">
        <v>0</v>
      </c>
      <c r="K2197" s="3">
        <v>6500</v>
      </c>
    </row>
    <row r="2198" spans="1:11" x14ac:dyDescent="0.2">
      <c r="A2198" s="1" t="s">
        <v>4994</v>
      </c>
      <c r="B2198" s="1" t="s">
        <v>2762</v>
      </c>
      <c r="C2198" s="1"/>
      <c r="D2198" s="1"/>
      <c r="E2198" s="1"/>
      <c r="F2198" s="1"/>
      <c r="G2198" s="1"/>
      <c r="H2198" s="1" t="str">
        <f>"7800070000145"</f>
        <v>7800070000145</v>
      </c>
      <c r="I2198" s="3">
        <v>10</v>
      </c>
      <c r="J2198" s="3">
        <v>0</v>
      </c>
      <c r="K2198" s="3">
        <v>7500</v>
      </c>
    </row>
    <row r="2199" spans="1:11" x14ac:dyDescent="0.2">
      <c r="A2199" s="1" t="s">
        <v>4994</v>
      </c>
      <c r="B2199" s="1" t="s">
        <v>2763</v>
      </c>
      <c r="C2199" s="1"/>
      <c r="D2199" s="1"/>
      <c r="E2199" s="1"/>
      <c r="F2199" s="1"/>
      <c r="G2199" s="1"/>
      <c r="H2199" s="1" t="str">
        <f>"7800070000039"</f>
        <v>7800070000039</v>
      </c>
      <c r="I2199" s="3">
        <v>0</v>
      </c>
      <c r="J2199" s="3">
        <v>0</v>
      </c>
      <c r="K2199" s="3">
        <v>10000</v>
      </c>
    </row>
    <row r="2200" spans="1:11" x14ac:dyDescent="0.2">
      <c r="A2200" s="1" t="s">
        <v>4994</v>
      </c>
      <c r="B2200" s="1" t="s">
        <v>2764</v>
      </c>
      <c r="C2200" s="1"/>
      <c r="D2200" s="1"/>
      <c r="E2200" s="1"/>
      <c r="F2200" s="1"/>
      <c r="G2200" s="1"/>
      <c r="H2200" s="1" t="str">
        <f>"7800070000169"</f>
        <v>7800070000169</v>
      </c>
      <c r="I2200" s="3">
        <v>3</v>
      </c>
      <c r="J2200" s="3">
        <v>0</v>
      </c>
      <c r="K2200" s="3">
        <v>9000</v>
      </c>
    </row>
    <row r="2201" spans="1:11" x14ac:dyDescent="0.2">
      <c r="A2201" s="1" t="s">
        <v>4994</v>
      </c>
      <c r="B2201" s="1" t="s">
        <v>2765</v>
      </c>
      <c r="C2201" s="1"/>
      <c r="D2201" s="1"/>
      <c r="E2201" s="1"/>
      <c r="F2201" s="1"/>
      <c r="G2201" s="1"/>
      <c r="H2201" s="1" t="str">
        <f>"7800070001425"</f>
        <v>7800070001425</v>
      </c>
      <c r="I2201" s="3">
        <v>9</v>
      </c>
      <c r="J2201" s="3">
        <v>0</v>
      </c>
      <c r="K2201" s="3">
        <v>10500</v>
      </c>
    </row>
    <row r="2202" spans="1:11" x14ac:dyDescent="0.2">
      <c r="A2202" s="1" t="s">
        <v>4994</v>
      </c>
      <c r="B2202" s="1" t="s">
        <v>2766</v>
      </c>
      <c r="C2202" s="1"/>
      <c r="D2202" s="1"/>
      <c r="E2202" s="1"/>
      <c r="F2202" s="1"/>
      <c r="G2202" s="1"/>
      <c r="H2202" s="1" t="str">
        <f>"7891317006648"</f>
        <v>7891317006648</v>
      </c>
      <c r="I2202" s="3">
        <v>0</v>
      </c>
      <c r="J2202" s="3">
        <v>0</v>
      </c>
      <c r="K2202" s="3">
        <v>4000</v>
      </c>
    </row>
    <row r="2203" spans="1:11" x14ac:dyDescent="0.2">
      <c r="A2203" s="1" t="s">
        <v>4994</v>
      </c>
      <c r="B2203" s="1" t="s">
        <v>2767</v>
      </c>
      <c r="C2203" s="1"/>
      <c r="D2203" s="1"/>
      <c r="E2203" s="1"/>
      <c r="F2203" s="1"/>
      <c r="G2203" s="1"/>
      <c r="H2203" s="1" t="str">
        <f>"7800046005372"</f>
        <v>7800046005372</v>
      </c>
      <c r="I2203" s="3">
        <v>0</v>
      </c>
      <c r="J2203" s="3">
        <v>0</v>
      </c>
      <c r="K2203" s="3">
        <v>9000</v>
      </c>
    </row>
    <row r="2204" spans="1:11" x14ac:dyDescent="0.2">
      <c r="A2204" s="1" t="s">
        <v>4994</v>
      </c>
      <c r="B2204" s="1" t="s">
        <v>2768</v>
      </c>
      <c r="C2204" s="1"/>
      <c r="D2204" s="1"/>
      <c r="E2204" s="1"/>
      <c r="F2204" s="1"/>
      <c r="G2204" s="1"/>
      <c r="H2204" s="1" t="str">
        <f>"7891317006617"</f>
        <v>7891317006617</v>
      </c>
      <c r="I2204" s="3">
        <v>0</v>
      </c>
      <c r="J2204" s="3">
        <v>0</v>
      </c>
      <c r="K2204" s="3">
        <v>8000</v>
      </c>
    </row>
    <row r="2205" spans="1:11" x14ac:dyDescent="0.2">
      <c r="A2205" s="1" t="s">
        <v>4994</v>
      </c>
      <c r="B2205" s="1" t="s">
        <v>2770</v>
      </c>
      <c r="C2205" s="1"/>
      <c r="D2205" s="1"/>
      <c r="E2205" s="1"/>
      <c r="F2205" s="1"/>
      <c r="G2205" s="1"/>
      <c r="H2205" s="1" t="str">
        <f>"42078968"</f>
        <v>42078968</v>
      </c>
      <c r="I2205" s="3">
        <v>0</v>
      </c>
      <c r="J2205" s="3">
        <v>0</v>
      </c>
      <c r="K2205" s="3">
        <v>6500</v>
      </c>
    </row>
    <row r="2206" spans="1:11" x14ac:dyDescent="0.2">
      <c r="A2206" s="1" t="s">
        <v>4994</v>
      </c>
      <c r="B2206" s="1" t="s">
        <v>2771</v>
      </c>
      <c r="C2206" s="1"/>
      <c r="D2206" s="1"/>
      <c r="E2206" s="1"/>
      <c r="F2206" s="1"/>
      <c r="G2206" s="1"/>
      <c r="H2206" s="1" t="str">
        <f>"4042809022759"</f>
        <v>4042809022759</v>
      </c>
      <c r="I2206" s="3">
        <v>0</v>
      </c>
      <c r="J2206" s="3">
        <v>0</v>
      </c>
      <c r="K2206" s="3">
        <v>600</v>
      </c>
    </row>
    <row r="2207" spans="1:11" x14ac:dyDescent="0.2">
      <c r="A2207" s="1" t="s">
        <v>4994</v>
      </c>
      <c r="B2207" s="1" t="s">
        <v>2772</v>
      </c>
      <c r="C2207" s="1"/>
      <c r="D2207" s="1"/>
      <c r="E2207" s="1"/>
      <c r="F2207" s="1"/>
      <c r="G2207" s="1"/>
      <c r="H2207" s="1" t="str">
        <f>"4042809203240"</f>
        <v>4042809203240</v>
      </c>
      <c r="I2207" s="3">
        <v>1</v>
      </c>
      <c r="J2207" s="3">
        <v>0</v>
      </c>
      <c r="K2207" s="3">
        <v>10000</v>
      </c>
    </row>
    <row r="2208" spans="1:11" x14ac:dyDescent="0.2">
      <c r="A2208" s="1" t="s">
        <v>4994</v>
      </c>
      <c r="B2208" s="1" t="s">
        <v>2773</v>
      </c>
      <c r="C2208" s="1"/>
      <c r="D2208" s="1"/>
      <c r="E2208" s="1"/>
      <c r="F2208" s="1"/>
      <c r="G2208" s="1"/>
      <c r="H2208" s="1" t="str">
        <f>"4042809390780"</f>
        <v>4042809390780</v>
      </c>
      <c r="I2208" s="3">
        <v>2</v>
      </c>
      <c r="J2208" s="3">
        <v>0</v>
      </c>
      <c r="K2208" s="3">
        <v>10000</v>
      </c>
    </row>
    <row r="2209" spans="1:11" x14ac:dyDescent="0.2">
      <c r="A2209" s="1" t="s">
        <v>4994</v>
      </c>
      <c r="B2209" s="1" t="s">
        <v>2776</v>
      </c>
      <c r="C2209" s="1"/>
      <c r="D2209" s="1"/>
      <c r="E2209" s="1"/>
      <c r="F2209" s="1"/>
      <c r="G2209" s="1"/>
      <c r="H2209" s="1" t="str">
        <f>"8903726250365"</f>
        <v>8903726250365</v>
      </c>
      <c r="I2209" s="3">
        <v>35</v>
      </c>
      <c r="J2209" s="3">
        <v>0</v>
      </c>
      <c r="K2209" s="3">
        <v>9000</v>
      </c>
    </row>
    <row r="2210" spans="1:11" x14ac:dyDescent="0.2">
      <c r="A2210" s="1" t="s">
        <v>4994</v>
      </c>
      <c r="B2210" s="1" t="s">
        <v>2777</v>
      </c>
      <c r="C2210" s="1"/>
      <c r="D2210" s="1"/>
      <c r="E2210" s="1"/>
      <c r="F2210" s="1"/>
      <c r="G2210" s="1"/>
      <c r="H2210" s="1" t="str">
        <f>"8903726249291"</f>
        <v>8903726249291</v>
      </c>
      <c r="I2210" s="3">
        <v>0</v>
      </c>
      <c r="J2210" s="3">
        <v>0</v>
      </c>
      <c r="K2210" s="3">
        <v>5500</v>
      </c>
    </row>
    <row r="2211" spans="1:11" x14ac:dyDescent="0.2">
      <c r="A2211" s="1" t="s">
        <v>4994</v>
      </c>
      <c r="B2211" s="1" t="s">
        <v>2778</v>
      </c>
      <c r="C2211" s="1"/>
      <c r="D2211" s="1"/>
      <c r="E2211" s="1"/>
      <c r="F2211" s="1"/>
      <c r="G2211" s="1"/>
      <c r="H2211" s="1" t="str">
        <f>"7804653720086"</f>
        <v>7804653720086</v>
      </c>
      <c r="I2211" s="3">
        <v>0</v>
      </c>
      <c r="J2211" s="3">
        <v>0</v>
      </c>
      <c r="K2211" s="3">
        <v>15000</v>
      </c>
    </row>
    <row r="2212" spans="1:11" x14ac:dyDescent="0.2">
      <c r="A2212" s="1" t="s">
        <v>4994</v>
      </c>
      <c r="B2212" s="1" t="s">
        <v>2780</v>
      </c>
      <c r="C2212" s="1"/>
      <c r="D2212" s="1"/>
      <c r="E2212" s="1"/>
      <c r="F2212" s="1"/>
      <c r="G2212" s="1"/>
      <c r="H2212" s="1" t="str">
        <f>"7804640561531"</f>
        <v>7804640561531</v>
      </c>
      <c r="I2212" s="3">
        <v>50</v>
      </c>
      <c r="J2212" s="3">
        <v>0</v>
      </c>
      <c r="K2212" s="3">
        <v>2500</v>
      </c>
    </row>
    <row r="2213" spans="1:11" x14ac:dyDescent="0.2">
      <c r="A2213" s="1" t="s">
        <v>4994</v>
      </c>
      <c r="B2213" s="1" t="s">
        <v>2786</v>
      </c>
      <c r="C2213" s="1"/>
      <c r="D2213" s="1"/>
      <c r="E2213" s="1"/>
      <c r="F2213" s="1"/>
      <c r="G2213" s="1"/>
      <c r="H2213" s="1" t="str">
        <f>"7800068030321"</f>
        <v>7800068030321</v>
      </c>
      <c r="I2213" s="3">
        <v>96</v>
      </c>
      <c r="J2213" s="3">
        <v>0</v>
      </c>
      <c r="K2213" s="3">
        <v>2000</v>
      </c>
    </row>
    <row r="2214" spans="1:11" x14ac:dyDescent="0.2">
      <c r="A2214" s="1" t="s">
        <v>4994</v>
      </c>
      <c r="B2214" s="1" t="s">
        <v>2787</v>
      </c>
      <c r="C2214" s="1"/>
      <c r="D2214" s="1"/>
      <c r="E2214" s="1"/>
      <c r="F2214" s="1"/>
      <c r="G2214" s="1"/>
      <c r="H2214" s="1" t="str">
        <f>"8435214412455"</f>
        <v>8435214412455</v>
      </c>
      <c r="I2214" s="3">
        <v>0</v>
      </c>
      <c r="J2214" s="3">
        <v>0</v>
      </c>
      <c r="K2214" s="3">
        <v>20000</v>
      </c>
    </row>
    <row r="2215" spans="1:11" x14ac:dyDescent="0.2">
      <c r="A2215" s="1" t="s">
        <v>4994</v>
      </c>
      <c r="B2215" s="1" t="s">
        <v>2788</v>
      </c>
      <c r="C2215" s="1"/>
      <c r="D2215" s="1"/>
      <c r="E2215" s="1"/>
      <c r="F2215" s="1"/>
      <c r="G2215" s="1"/>
      <c r="H2215" s="1" t="str">
        <f>"7800063001081"</f>
        <v>7800063001081</v>
      </c>
      <c r="I2215" s="3">
        <v>95</v>
      </c>
      <c r="J2215" s="3">
        <v>0</v>
      </c>
      <c r="K2215" s="3">
        <v>1500</v>
      </c>
    </row>
    <row r="2216" spans="1:11" x14ac:dyDescent="0.2">
      <c r="A2216" s="1" t="s">
        <v>4994</v>
      </c>
      <c r="B2216" s="1" t="s">
        <v>2789</v>
      </c>
      <c r="C2216" s="1"/>
      <c r="D2216" s="1"/>
      <c r="E2216" s="1"/>
      <c r="F2216" s="1"/>
      <c r="G2216" s="1"/>
      <c r="H2216" s="1" t="str">
        <f>"5997001370117"</f>
        <v>5997001370117</v>
      </c>
      <c r="I2216" s="3">
        <v>0</v>
      </c>
      <c r="J2216" s="3">
        <v>0</v>
      </c>
      <c r="K2216" s="3">
        <v>3000</v>
      </c>
    </row>
    <row r="2217" spans="1:11" x14ac:dyDescent="0.2">
      <c r="A2217" s="1" t="s">
        <v>4994</v>
      </c>
      <c r="B2217" s="1" t="s">
        <v>2790</v>
      </c>
      <c r="C2217" s="1"/>
      <c r="D2217" s="1"/>
      <c r="E2217" s="1"/>
      <c r="F2217" s="1"/>
      <c r="G2217" s="1"/>
      <c r="H2217" s="1" t="str">
        <f>"7804640561401"</f>
        <v>7804640561401</v>
      </c>
      <c r="I2217" s="3">
        <v>0</v>
      </c>
      <c r="J2217" s="3">
        <v>0</v>
      </c>
      <c r="K2217" s="3">
        <v>1500</v>
      </c>
    </row>
    <row r="2218" spans="1:11" x14ac:dyDescent="0.2">
      <c r="A2218" s="1" t="s">
        <v>4994</v>
      </c>
      <c r="B2218" s="1" t="s">
        <v>2792</v>
      </c>
      <c r="C2218" s="1"/>
      <c r="D2218" s="1"/>
      <c r="E2218" s="1"/>
      <c r="F2218" s="1"/>
      <c r="G2218" s="1"/>
      <c r="H2218" s="1" t="str">
        <f>"7804918500507"</f>
        <v>7804918500507</v>
      </c>
      <c r="I2218" s="3">
        <v>18</v>
      </c>
      <c r="J2218" s="3">
        <v>0</v>
      </c>
      <c r="K2218" s="3">
        <v>10000</v>
      </c>
    </row>
    <row r="2219" spans="1:11" x14ac:dyDescent="0.2">
      <c r="A2219" s="1" t="s">
        <v>4994</v>
      </c>
      <c r="B2219" s="1" t="s">
        <v>2793</v>
      </c>
      <c r="C2219" s="1"/>
      <c r="D2219" s="1"/>
      <c r="E2219" s="1"/>
      <c r="F2219" s="1"/>
      <c r="G2219" s="1"/>
      <c r="H2219" s="1" t="str">
        <f>"7804918500514"</f>
        <v>7804918500514</v>
      </c>
      <c r="I2219" s="3">
        <v>94</v>
      </c>
      <c r="J2219" s="3">
        <v>0</v>
      </c>
      <c r="K2219" s="3">
        <v>6500</v>
      </c>
    </row>
    <row r="2220" spans="1:11" x14ac:dyDescent="0.2">
      <c r="A2220" s="1" t="s">
        <v>4994</v>
      </c>
      <c r="B2220" s="1" t="s">
        <v>2794</v>
      </c>
      <c r="C2220" s="1"/>
      <c r="D2220" s="1"/>
      <c r="E2220" s="1"/>
      <c r="F2220" s="1"/>
      <c r="G2220" s="1"/>
      <c r="H2220" s="1" t="str">
        <f>"7804918500279"</f>
        <v>7804918500279</v>
      </c>
      <c r="I2220" s="3">
        <v>0</v>
      </c>
      <c r="J2220" s="3">
        <v>0</v>
      </c>
      <c r="K2220" s="3">
        <v>4000</v>
      </c>
    </row>
    <row r="2221" spans="1:11" x14ac:dyDescent="0.2">
      <c r="A2221" s="1" t="s">
        <v>4994</v>
      </c>
      <c r="B2221" s="1" t="s">
        <v>2795</v>
      </c>
      <c r="C2221" s="1"/>
      <c r="D2221" s="1"/>
      <c r="E2221" s="1"/>
      <c r="F2221" s="1"/>
      <c r="G2221" s="1"/>
      <c r="H2221" s="1" t="str">
        <f>"7800007807205"</f>
        <v>7800007807205</v>
      </c>
      <c r="I2221" s="3">
        <v>8</v>
      </c>
      <c r="J2221" s="3">
        <v>0</v>
      </c>
      <c r="K2221" s="3">
        <v>3500</v>
      </c>
    </row>
    <row r="2222" spans="1:11" x14ac:dyDescent="0.2">
      <c r="A2222" s="1" t="s">
        <v>4994</v>
      </c>
      <c r="B2222" s="1" t="s">
        <v>2796</v>
      </c>
      <c r="C2222" s="1"/>
      <c r="D2222" s="1"/>
      <c r="E2222" s="1"/>
      <c r="F2222" s="1"/>
      <c r="G2222" s="1"/>
      <c r="H2222" s="1" t="str">
        <f>"7800007804730"</f>
        <v>7800007804730</v>
      </c>
      <c r="I2222" s="3">
        <v>0</v>
      </c>
      <c r="J2222" s="3">
        <v>0</v>
      </c>
      <c r="K2222" s="3">
        <v>3500</v>
      </c>
    </row>
    <row r="2223" spans="1:11" x14ac:dyDescent="0.2">
      <c r="A2223" s="1" t="s">
        <v>4994</v>
      </c>
      <c r="B2223" s="1" t="s">
        <v>2797</v>
      </c>
      <c r="C2223" s="1"/>
      <c r="D2223" s="1"/>
      <c r="E2223" s="1"/>
      <c r="F2223" s="1"/>
      <c r="G2223" s="1"/>
      <c r="H2223" s="1" t="str">
        <f>"7800007804754"</f>
        <v>7800007804754</v>
      </c>
      <c r="I2223" s="3">
        <v>0</v>
      </c>
      <c r="J2223" s="3">
        <v>0</v>
      </c>
      <c r="K2223" s="3">
        <v>3500</v>
      </c>
    </row>
    <row r="2224" spans="1:11" x14ac:dyDescent="0.2">
      <c r="A2224" s="1" t="s">
        <v>4994</v>
      </c>
      <c r="B2224" s="1" t="s">
        <v>2798</v>
      </c>
      <c r="C2224" s="1"/>
      <c r="D2224" s="1"/>
      <c r="E2224" s="1"/>
      <c r="F2224" s="1"/>
      <c r="G2224" s="1"/>
      <c r="H2224" s="1" t="str">
        <f>"7795380002425"</f>
        <v>7795380002425</v>
      </c>
      <c r="I2224" s="3">
        <v>8</v>
      </c>
      <c r="J2224" s="3">
        <v>0</v>
      </c>
      <c r="K2224" s="3">
        <v>11000</v>
      </c>
    </row>
    <row r="2225" spans="1:11" x14ac:dyDescent="0.2">
      <c r="A2225" s="1" t="s">
        <v>4994</v>
      </c>
      <c r="B2225" s="1" t="s">
        <v>2799</v>
      </c>
      <c r="C2225" s="1"/>
      <c r="D2225" s="1"/>
      <c r="E2225" s="1"/>
      <c r="F2225" s="1"/>
      <c r="G2225" s="1"/>
      <c r="H2225" s="1" t="str">
        <f>"7800086746402"</f>
        <v>7800086746402</v>
      </c>
      <c r="I2225" s="3">
        <v>0</v>
      </c>
      <c r="J2225" s="3">
        <v>0</v>
      </c>
      <c r="K2225" s="3">
        <v>24000</v>
      </c>
    </row>
    <row r="2226" spans="1:11" x14ac:dyDescent="0.2">
      <c r="A2226" s="1" t="s">
        <v>4994</v>
      </c>
      <c r="B2226" s="1" t="s">
        <v>2800</v>
      </c>
      <c r="C2226" s="1"/>
      <c r="D2226" s="1"/>
      <c r="E2226" s="1"/>
      <c r="F2226" s="1"/>
      <c r="G2226" s="1"/>
      <c r="H2226" s="1" t="str">
        <f>"7798021296214"</f>
        <v>7798021296214</v>
      </c>
      <c r="I2226" s="3">
        <v>14</v>
      </c>
      <c r="J2226" s="3">
        <v>0</v>
      </c>
      <c r="K2226" s="3">
        <v>16000</v>
      </c>
    </row>
    <row r="2227" spans="1:11" x14ac:dyDescent="0.2">
      <c r="A2227" s="1" t="s">
        <v>4994</v>
      </c>
      <c r="B2227" s="1" t="s">
        <v>2801</v>
      </c>
      <c r="C2227" s="1"/>
      <c r="D2227" s="1"/>
      <c r="E2227" s="1"/>
      <c r="F2227" s="1"/>
      <c r="G2227" s="1"/>
      <c r="H2227" s="1" t="str">
        <f>"011780006200524717261231"</f>
        <v>011780006200524717261231</v>
      </c>
      <c r="I2227" s="3">
        <v>0</v>
      </c>
      <c r="J2227" s="3">
        <v>0</v>
      </c>
      <c r="K2227" s="3">
        <v>1000</v>
      </c>
    </row>
    <row r="2228" spans="1:11" x14ac:dyDescent="0.2">
      <c r="A2228" s="1" t="s">
        <v>4994</v>
      </c>
      <c r="B2228" s="1" t="s">
        <v>2802</v>
      </c>
      <c r="C2228" s="1"/>
      <c r="D2228" s="1"/>
      <c r="E2228" s="1"/>
      <c r="F2228" s="1"/>
      <c r="G2228" s="1"/>
      <c r="H2228" s="1" t="str">
        <f>"7800062005240"</f>
        <v>7800062005240</v>
      </c>
      <c r="I2228" s="3">
        <v>0</v>
      </c>
      <c r="J2228" s="3">
        <v>0</v>
      </c>
      <c r="K2228" s="3">
        <v>1000</v>
      </c>
    </row>
    <row r="2229" spans="1:11" x14ac:dyDescent="0.2">
      <c r="A2229" s="1" t="s">
        <v>4994</v>
      </c>
      <c r="B2229" s="1" t="s">
        <v>2803</v>
      </c>
      <c r="C2229" s="1"/>
      <c r="D2229" s="1"/>
      <c r="E2229" s="1"/>
      <c r="F2229" s="1"/>
      <c r="G2229" s="1"/>
      <c r="H2229" s="1" t="str">
        <f>"7800007144430"</f>
        <v>7800007144430</v>
      </c>
      <c r="I2229" s="3">
        <v>36</v>
      </c>
      <c r="J2229" s="3">
        <v>0</v>
      </c>
      <c r="K2229" s="3">
        <v>5000</v>
      </c>
    </row>
    <row r="2230" spans="1:11" x14ac:dyDescent="0.2">
      <c r="A2230" s="1" t="s">
        <v>4994</v>
      </c>
      <c r="B2230" s="1" t="s">
        <v>2804</v>
      </c>
      <c r="C2230" s="1"/>
      <c r="D2230" s="1"/>
      <c r="E2230" s="1"/>
      <c r="F2230" s="1"/>
      <c r="G2230" s="1"/>
      <c r="H2230" s="1" t="str">
        <f>"7804918450246"</f>
        <v>7804918450246</v>
      </c>
      <c r="I2230" s="3">
        <v>13</v>
      </c>
      <c r="J2230" s="3">
        <v>0</v>
      </c>
      <c r="K2230" s="3">
        <v>3000</v>
      </c>
    </row>
    <row r="2231" spans="1:11" x14ac:dyDescent="0.2">
      <c r="A2231" s="1" t="s">
        <v>4994</v>
      </c>
      <c r="B2231" s="1" t="s">
        <v>2805</v>
      </c>
      <c r="C2231" s="1"/>
      <c r="D2231" s="1"/>
      <c r="E2231" s="1"/>
      <c r="F2231" s="1"/>
      <c r="G2231" s="1"/>
      <c r="H2231" s="1" t="str">
        <f>"7804918403488"</f>
        <v>7804918403488</v>
      </c>
      <c r="I2231" s="3">
        <v>9</v>
      </c>
      <c r="J2231" s="3">
        <v>0</v>
      </c>
      <c r="K2231" s="3">
        <v>5000</v>
      </c>
    </row>
    <row r="2232" spans="1:11" x14ac:dyDescent="0.2">
      <c r="A2232" s="1" t="s">
        <v>4994</v>
      </c>
      <c r="B2232" s="1" t="s">
        <v>2806</v>
      </c>
      <c r="C2232" s="1"/>
      <c r="D2232" s="1"/>
      <c r="E2232" s="1"/>
      <c r="F2232" s="1"/>
      <c r="G2232" s="1"/>
      <c r="H2232" s="1" t="str">
        <f>"7804918401316"</f>
        <v>7804918401316</v>
      </c>
      <c r="I2232" s="3">
        <v>4</v>
      </c>
      <c r="J2232" s="3">
        <v>0</v>
      </c>
      <c r="K2232" s="3">
        <v>4000</v>
      </c>
    </row>
    <row r="2233" spans="1:11" x14ac:dyDescent="0.2">
      <c r="A2233" s="1" t="s">
        <v>4994</v>
      </c>
      <c r="B2233" s="1" t="s">
        <v>2807</v>
      </c>
      <c r="C2233" s="1"/>
      <c r="D2233" s="1"/>
      <c r="E2233" s="1"/>
      <c r="F2233" s="1"/>
      <c r="G2233" s="1"/>
      <c r="H2233" s="1" t="str">
        <f>"75613075175179"</f>
        <v>75613075175179</v>
      </c>
      <c r="I2233" s="3">
        <v>0</v>
      </c>
      <c r="J2233" s="3">
        <v>0</v>
      </c>
      <c r="K2233" s="3">
        <v>4000</v>
      </c>
    </row>
    <row r="2234" spans="1:11" x14ac:dyDescent="0.2">
      <c r="A2234" s="1" t="s">
        <v>4994</v>
      </c>
      <c r="B2234" s="1" t="s">
        <v>2808</v>
      </c>
      <c r="C2234" s="1"/>
      <c r="D2234" s="1"/>
      <c r="E2234" s="1"/>
      <c r="F2234" s="1"/>
      <c r="G2234" s="1"/>
      <c r="H2234" s="1" t="str">
        <f>"7804918450154"</f>
        <v>7804918450154</v>
      </c>
      <c r="I2234" s="3">
        <v>0</v>
      </c>
      <c r="J2234" s="3">
        <v>0</v>
      </c>
      <c r="K2234" s="3">
        <v>5500</v>
      </c>
    </row>
    <row r="2235" spans="1:11" x14ac:dyDescent="0.2">
      <c r="A2235" s="1" t="s">
        <v>4994</v>
      </c>
      <c r="B2235" s="1" t="s">
        <v>2809</v>
      </c>
      <c r="C2235" s="1"/>
      <c r="D2235" s="1"/>
      <c r="E2235" s="1"/>
      <c r="F2235" s="1"/>
      <c r="G2235" s="1"/>
      <c r="H2235" s="1" t="str">
        <f>"7804918402375"</f>
        <v>7804918402375</v>
      </c>
      <c r="I2235" s="3">
        <v>7</v>
      </c>
      <c r="J2235" s="3">
        <v>0</v>
      </c>
      <c r="K2235" s="3">
        <v>3500</v>
      </c>
    </row>
    <row r="2236" spans="1:11" x14ac:dyDescent="0.2">
      <c r="A2236" s="1" t="s">
        <v>4994</v>
      </c>
      <c r="B2236" s="1" t="s">
        <v>2810</v>
      </c>
      <c r="C2236" s="1"/>
      <c r="D2236" s="1"/>
      <c r="E2236" s="1"/>
      <c r="F2236" s="1"/>
      <c r="G2236" s="1"/>
      <c r="H2236" s="1" t="str">
        <f>"7804918451663"</f>
        <v>7804918451663</v>
      </c>
      <c r="I2236" s="3">
        <v>0</v>
      </c>
      <c r="J2236" s="3">
        <v>0</v>
      </c>
      <c r="K2236" s="3">
        <v>3500</v>
      </c>
    </row>
    <row r="2237" spans="1:11" x14ac:dyDescent="0.2">
      <c r="A2237" s="1" t="s">
        <v>4994</v>
      </c>
      <c r="B2237" s="1" t="s">
        <v>2811</v>
      </c>
      <c r="C2237" s="1"/>
      <c r="D2237" s="1"/>
      <c r="E2237" s="1"/>
      <c r="F2237" s="1"/>
      <c r="G2237" s="1"/>
      <c r="H2237" s="1" t="str">
        <f>"7804918450031"</f>
        <v>7804918450031</v>
      </c>
      <c r="I2237" s="3">
        <v>20</v>
      </c>
      <c r="J2237" s="3">
        <v>0</v>
      </c>
      <c r="K2237" s="3">
        <v>2000</v>
      </c>
    </row>
    <row r="2238" spans="1:11" x14ac:dyDescent="0.2">
      <c r="A2238" s="1" t="s">
        <v>4994</v>
      </c>
      <c r="B2238" s="1" t="s">
        <v>2812</v>
      </c>
      <c r="C2238" s="1"/>
      <c r="D2238" s="1"/>
      <c r="E2238" s="1"/>
      <c r="F2238" s="1"/>
      <c r="G2238" s="1"/>
      <c r="H2238" s="1" t="str">
        <f>"3337875821636"</f>
        <v>3337875821636</v>
      </c>
      <c r="I2238" s="3">
        <v>0</v>
      </c>
      <c r="J2238" s="3">
        <v>0</v>
      </c>
      <c r="K2238" s="3">
        <v>5500</v>
      </c>
    </row>
    <row r="2239" spans="1:11" x14ac:dyDescent="0.2">
      <c r="A2239" s="1" t="s">
        <v>4994</v>
      </c>
      <c r="B2239" s="1" t="s">
        <v>2813</v>
      </c>
      <c r="C2239" s="1"/>
      <c r="D2239" s="1"/>
      <c r="E2239" s="1"/>
      <c r="F2239" s="1"/>
      <c r="G2239" s="1"/>
      <c r="H2239" s="1" t="str">
        <f>"LIMA"</f>
        <v>LIMA</v>
      </c>
      <c r="I2239" s="3">
        <v>0</v>
      </c>
      <c r="J2239" s="3">
        <v>0</v>
      </c>
      <c r="K2239" s="3">
        <v>1500</v>
      </c>
    </row>
    <row r="2240" spans="1:11" x14ac:dyDescent="0.2">
      <c r="A2240" s="1" t="s">
        <v>4994</v>
      </c>
      <c r="B2240" s="1" t="s">
        <v>2814</v>
      </c>
      <c r="C2240" s="1"/>
      <c r="D2240" s="1"/>
      <c r="E2240" s="1"/>
      <c r="F2240" s="1"/>
      <c r="G2240" s="1"/>
      <c r="H2240" s="1" t="str">
        <f>"7805633019251"</f>
        <v>7805633019251</v>
      </c>
      <c r="I2240" s="3">
        <v>0</v>
      </c>
      <c r="J2240" s="3">
        <v>0</v>
      </c>
      <c r="K2240" s="3">
        <v>2500</v>
      </c>
    </row>
    <row r="2241" spans="1:11" x14ac:dyDescent="0.2">
      <c r="A2241" s="1" t="s">
        <v>4994</v>
      </c>
      <c r="B2241" s="1" t="s">
        <v>2815</v>
      </c>
      <c r="C2241" s="1"/>
      <c r="D2241" s="1"/>
      <c r="E2241" s="1"/>
      <c r="F2241" s="1"/>
      <c r="G2241" s="1"/>
      <c r="H2241" s="1" t="str">
        <f>"7804969800168"</f>
        <v>7804969800168</v>
      </c>
      <c r="I2241" s="3">
        <v>0</v>
      </c>
      <c r="J2241" s="3">
        <v>0</v>
      </c>
      <c r="K2241" s="3">
        <v>1000</v>
      </c>
    </row>
    <row r="2242" spans="1:11" x14ac:dyDescent="0.2">
      <c r="A2242" s="1" t="s">
        <v>4994</v>
      </c>
      <c r="B2242" s="1" t="s">
        <v>2816</v>
      </c>
      <c r="C2242" s="1"/>
      <c r="D2242" s="1"/>
      <c r="E2242" s="1"/>
      <c r="F2242" s="1"/>
      <c r="G2242" s="1"/>
      <c r="H2242" s="1" t="str">
        <f>"7805357002225"</f>
        <v>7805357002225</v>
      </c>
      <c r="I2242" s="3">
        <v>0</v>
      </c>
      <c r="J2242" s="3">
        <v>0</v>
      </c>
      <c r="K2242" s="3">
        <v>500</v>
      </c>
    </row>
    <row r="2243" spans="1:11" x14ac:dyDescent="0.2">
      <c r="A2243" s="1" t="s">
        <v>4994</v>
      </c>
      <c r="B2243" s="1" t="s">
        <v>2817</v>
      </c>
      <c r="C2243" s="1"/>
      <c r="D2243" s="1"/>
      <c r="E2243" s="1"/>
      <c r="F2243" s="1"/>
      <c r="G2243" s="1"/>
      <c r="H2243" s="1" t="str">
        <f>"7805633016397"</f>
        <v>7805633016397</v>
      </c>
      <c r="I2243" s="3">
        <v>10</v>
      </c>
      <c r="J2243" s="3">
        <v>0</v>
      </c>
      <c r="K2243" s="3">
        <v>2500</v>
      </c>
    </row>
    <row r="2244" spans="1:11" x14ac:dyDescent="0.2">
      <c r="A2244" s="1" t="s">
        <v>4994</v>
      </c>
      <c r="B2244" s="1" t="s">
        <v>2818</v>
      </c>
      <c r="C2244" s="1"/>
      <c r="D2244" s="1"/>
      <c r="E2244" s="1"/>
      <c r="F2244" s="1"/>
      <c r="G2244" s="1"/>
      <c r="H2244" s="1" t="str">
        <f>"7703281000365"</f>
        <v>7703281000365</v>
      </c>
      <c r="I2244" s="3">
        <v>0</v>
      </c>
      <c r="J2244" s="3">
        <v>0</v>
      </c>
      <c r="K2244" s="3">
        <v>10000</v>
      </c>
    </row>
    <row r="2245" spans="1:11" x14ac:dyDescent="0.2">
      <c r="A2245" s="1" t="s">
        <v>4994</v>
      </c>
      <c r="B2245" s="1" t="s">
        <v>2819</v>
      </c>
      <c r="C2245" s="1"/>
      <c r="D2245" s="1"/>
      <c r="E2245" s="1"/>
      <c r="F2245" s="1"/>
      <c r="G2245" s="1"/>
      <c r="H2245" s="1" t="str">
        <f>"3337875597180"</f>
        <v>3337875597180</v>
      </c>
      <c r="I2245" s="3">
        <v>0</v>
      </c>
      <c r="J2245" s="3">
        <v>0</v>
      </c>
      <c r="K2245" s="3">
        <v>12000</v>
      </c>
    </row>
    <row r="2246" spans="1:11" x14ac:dyDescent="0.2">
      <c r="A2246" s="1" t="s">
        <v>4994</v>
      </c>
      <c r="B2246" s="1" t="s">
        <v>2820</v>
      </c>
      <c r="C2246" s="1"/>
      <c r="D2246" s="1"/>
      <c r="E2246" s="1"/>
      <c r="F2246" s="1"/>
      <c r="G2246" s="1"/>
      <c r="H2246" s="1" t="str">
        <f>"5031413938302"</f>
        <v>5031413938302</v>
      </c>
      <c r="I2246" s="3">
        <v>0</v>
      </c>
      <c r="J2246" s="3">
        <v>0</v>
      </c>
      <c r="K2246" s="3">
        <v>7500</v>
      </c>
    </row>
    <row r="2247" spans="1:11" x14ac:dyDescent="0.2">
      <c r="A2247" s="1" t="s">
        <v>4994</v>
      </c>
      <c r="B2247" s="1" t="s">
        <v>2821</v>
      </c>
      <c r="C2247" s="1"/>
      <c r="D2247" s="1"/>
      <c r="E2247" s="1"/>
      <c r="F2247" s="1"/>
      <c r="G2247" s="1"/>
      <c r="H2247" s="1" t="str">
        <f>"8427426026766"</f>
        <v>8427426026766</v>
      </c>
      <c r="I2247" s="3">
        <v>3</v>
      </c>
      <c r="J2247" s="3">
        <v>0</v>
      </c>
      <c r="K2247" s="3">
        <v>3500</v>
      </c>
    </row>
    <row r="2248" spans="1:11" x14ac:dyDescent="0.2">
      <c r="A2248" s="1" t="s">
        <v>4994</v>
      </c>
      <c r="B2248" s="1" t="s">
        <v>2823</v>
      </c>
      <c r="C2248" s="1"/>
      <c r="D2248" s="1"/>
      <c r="E2248" s="1"/>
      <c r="F2248" s="1"/>
      <c r="G2248" s="1"/>
      <c r="H2248" s="1" t="str">
        <f>"4048846019981"</f>
        <v>4048846019981</v>
      </c>
      <c r="I2248" s="3">
        <v>0</v>
      </c>
      <c r="J2248" s="3">
        <v>0</v>
      </c>
      <c r="K2248" s="3">
        <v>53000</v>
      </c>
    </row>
    <row r="2249" spans="1:11" x14ac:dyDescent="0.2">
      <c r="A2249" s="1" t="s">
        <v>4994</v>
      </c>
      <c r="B2249" s="1" t="s">
        <v>2825</v>
      </c>
      <c r="C2249" s="1"/>
      <c r="D2249" s="1"/>
      <c r="E2249" s="1"/>
      <c r="F2249" s="1"/>
      <c r="G2249" s="1"/>
      <c r="H2249" s="1" t="str">
        <f>"9444300654210"</f>
        <v>9444300654210</v>
      </c>
      <c r="I2249" s="3">
        <v>0</v>
      </c>
      <c r="J2249" s="3">
        <v>0</v>
      </c>
      <c r="K2249" s="3">
        <v>1000</v>
      </c>
    </row>
    <row r="2250" spans="1:11" x14ac:dyDescent="0.2">
      <c r="A2250" s="1" t="s">
        <v>4994</v>
      </c>
      <c r="B2250" s="1" t="s">
        <v>2826</v>
      </c>
      <c r="C2250" s="1"/>
      <c r="D2250" s="1"/>
      <c r="E2250" s="1"/>
      <c r="F2250" s="1"/>
      <c r="G2250" s="1"/>
      <c r="H2250" s="1" t="str">
        <f>"7805000322618"</f>
        <v>7805000322618</v>
      </c>
      <c r="I2250" s="3">
        <v>0</v>
      </c>
      <c r="J2250" s="3">
        <v>0</v>
      </c>
      <c r="K2250" s="3">
        <v>3000</v>
      </c>
    </row>
    <row r="2251" spans="1:11" x14ac:dyDescent="0.2">
      <c r="A2251" s="1" t="s">
        <v>4994</v>
      </c>
      <c r="B2251" s="1" t="s">
        <v>2827</v>
      </c>
      <c r="C2251" s="1"/>
      <c r="D2251" s="1"/>
      <c r="E2251" s="1"/>
      <c r="F2251" s="1"/>
      <c r="G2251" s="1"/>
      <c r="H2251" s="1" t="str">
        <f>"4046963958787"</f>
        <v>4046963958787</v>
      </c>
      <c r="I2251" s="3">
        <v>11</v>
      </c>
      <c r="J2251" s="3">
        <v>0</v>
      </c>
      <c r="K2251" s="3">
        <v>22000</v>
      </c>
    </row>
    <row r="2252" spans="1:11" x14ac:dyDescent="0.2">
      <c r="A2252" s="1" t="s">
        <v>4994</v>
      </c>
      <c r="B2252" s="1" t="s">
        <v>2828</v>
      </c>
      <c r="C2252" s="1"/>
      <c r="D2252" s="1"/>
      <c r="E2252" s="1"/>
      <c r="F2252" s="1"/>
      <c r="G2252" s="1"/>
      <c r="H2252" s="1" t="str">
        <f>"7804620835539"</f>
        <v>7804620835539</v>
      </c>
      <c r="I2252" s="3">
        <v>0</v>
      </c>
      <c r="J2252" s="3">
        <v>0</v>
      </c>
      <c r="K2252" s="3">
        <v>8000</v>
      </c>
    </row>
    <row r="2253" spans="1:11" x14ac:dyDescent="0.2">
      <c r="A2253" s="1" t="s">
        <v>4994</v>
      </c>
      <c r="B2253" s="1" t="s">
        <v>2829</v>
      </c>
      <c r="C2253" s="1"/>
      <c r="D2253" s="1"/>
      <c r="E2253" s="1"/>
      <c r="F2253" s="1"/>
      <c r="G2253" s="1"/>
      <c r="H2253" s="1" t="str">
        <f>"7709631362114"</f>
        <v>7709631362114</v>
      </c>
      <c r="I2253" s="3">
        <v>0</v>
      </c>
      <c r="J2253" s="3">
        <v>0</v>
      </c>
      <c r="K2253" s="3">
        <v>1500</v>
      </c>
    </row>
    <row r="2254" spans="1:11" x14ac:dyDescent="0.2">
      <c r="A2254" s="1" t="s">
        <v>4994</v>
      </c>
      <c r="B2254" s="1" t="s">
        <v>2830</v>
      </c>
      <c r="C2254" s="1"/>
      <c r="D2254" s="1"/>
      <c r="E2254" s="1"/>
      <c r="F2254" s="1"/>
      <c r="G2254" s="1"/>
      <c r="H2254" s="1" t="str">
        <f>"7805633029045"</f>
        <v>7805633029045</v>
      </c>
      <c r="I2254" s="3">
        <v>1</v>
      </c>
      <c r="J2254" s="3">
        <v>0</v>
      </c>
      <c r="K2254" s="3">
        <v>1500</v>
      </c>
    </row>
    <row r="2255" spans="1:11" x14ac:dyDescent="0.2">
      <c r="A2255" s="1" t="s">
        <v>4994</v>
      </c>
      <c r="B2255" s="1" t="s">
        <v>2831</v>
      </c>
      <c r="C2255" s="1"/>
      <c r="D2255" s="1"/>
      <c r="E2255" s="1"/>
      <c r="F2255" s="1"/>
      <c r="G2255" s="1"/>
      <c r="H2255" s="1" t="str">
        <f>"7805633029038"</f>
        <v>7805633029038</v>
      </c>
      <c r="I2255" s="3">
        <v>1</v>
      </c>
      <c r="J2255" s="3">
        <v>0</v>
      </c>
      <c r="K2255" s="3">
        <v>1500</v>
      </c>
    </row>
    <row r="2256" spans="1:11" x14ac:dyDescent="0.2">
      <c r="A2256" s="1" t="s">
        <v>4994</v>
      </c>
      <c r="B2256" s="1" t="s">
        <v>2832</v>
      </c>
      <c r="C2256" s="1"/>
      <c r="D2256" s="1"/>
      <c r="E2256" s="1"/>
      <c r="F2256" s="1"/>
      <c r="G2256" s="1"/>
      <c r="H2256" s="1" t="str">
        <f>"7805633029052"</f>
        <v>7805633029052</v>
      </c>
      <c r="I2256" s="3">
        <v>2</v>
      </c>
      <c r="J2256" s="3">
        <v>0</v>
      </c>
      <c r="K2256" s="3">
        <v>1500</v>
      </c>
    </row>
    <row r="2257" spans="1:11" x14ac:dyDescent="0.2">
      <c r="A2257" s="1" t="s">
        <v>4994</v>
      </c>
      <c r="B2257" s="1" t="s">
        <v>2834</v>
      </c>
      <c r="C2257" s="1"/>
      <c r="D2257" s="1"/>
      <c r="E2257" s="1"/>
      <c r="F2257" s="1"/>
      <c r="G2257" s="1"/>
      <c r="H2257" s="1" t="str">
        <f>"3600531543365"</f>
        <v>3600531543365</v>
      </c>
      <c r="I2257" s="3">
        <v>0</v>
      </c>
      <c r="J2257" s="3">
        <v>0</v>
      </c>
      <c r="K2257" s="3">
        <v>5500</v>
      </c>
    </row>
    <row r="2258" spans="1:11" x14ac:dyDescent="0.2">
      <c r="A2258" s="1" t="s">
        <v>4994</v>
      </c>
      <c r="B2258" s="1" t="s">
        <v>2835</v>
      </c>
      <c r="C2258" s="1"/>
      <c r="D2258" s="1"/>
      <c r="E2258" s="1"/>
      <c r="F2258" s="1"/>
      <c r="G2258" s="1"/>
      <c r="H2258" s="1" t="str">
        <f>"7800020084409"</f>
        <v>7800020084409</v>
      </c>
      <c r="I2258" s="3">
        <v>15</v>
      </c>
      <c r="J2258" s="3">
        <v>0</v>
      </c>
      <c r="K2258" s="3">
        <v>19000</v>
      </c>
    </row>
    <row r="2259" spans="1:11" x14ac:dyDescent="0.2">
      <c r="A2259" s="1" t="s">
        <v>4994</v>
      </c>
      <c r="B2259" s="1" t="s">
        <v>2836</v>
      </c>
      <c r="C2259" s="1"/>
      <c r="D2259" s="1"/>
      <c r="E2259" s="1"/>
      <c r="F2259" s="1"/>
      <c r="G2259" s="1"/>
      <c r="H2259" s="1" t="str">
        <f>"7702031976394"</f>
        <v>7702031976394</v>
      </c>
      <c r="I2259" s="3">
        <v>0</v>
      </c>
      <c r="J2259" s="3">
        <v>0</v>
      </c>
      <c r="K2259" s="3">
        <v>5000</v>
      </c>
    </row>
    <row r="2260" spans="1:11" x14ac:dyDescent="0.2">
      <c r="A2260" s="1" t="s">
        <v>4994</v>
      </c>
      <c r="B2260" s="1" t="s">
        <v>2837</v>
      </c>
      <c r="C2260" s="1"/>
      <c r="D2260" s="1"/>
      <c r="E2260" s="1"/>
      <c r="F2260" s="1"/>
      <c r="G2260" s="1"/>
      <c r="H2260" s="1" t="str">
        <f>"7702035458971"</f>
        <v>7702035458971</v>
      </c>
      <c r="I2260" s="3">
        <v>0</v>
      </c>
      <c r="J2260" s="3">
        <v>0</v>
      </c>
      <c r="K2260" s="3">
        <v>9000</v>
      </c>
    </row>
    <row r="2261" spans="1:11" x14ac:dyDescent="0.2">
      <c r="A2261" s="1" t="s">
        <v>4994</v>
      </c>
      <c r="B2261" s="1" t="s">
        <v>2838</v>
      </c>
      <c r="C2261" s="1"/>
      <c r="D2261" s="1"/>
      <c r="E2261" s="1"/>
      <c r="F2261" s="1"/>
      <c r="G2261" s="1"/>
      <c r="H2261" s="1" t="str">
        <f>"7702035432117"</f>
        <v>7702035432117</v>
      </c>
      <c r="I2261" s="3">
        <v>0</v>
      </c>
      <c r="J2261" s="3">
        <v>0</v>
      </c>
      <c r="K2261" s="3">
        <v>1500</v>
      </c>
    </row>
    <row r="2262" spans="1:11" x14ac:dyDescent="0.2">
      <c r="A2262" s="1" t="s">
        <v>4994</v>
      </c>
      <c r="B2262" s="1" t="s">
        <v>2839</v>
      </c>
      <c r="C2262" s="1"/>
      <c r="D2262" s="1"/>
      <c r="E2262" s="1"/>
      <c r="F2262" s="1"/>
      <c r="G2262" s="1"/>
      <c r="H2262" s="1" t="str">
        <f>"7702035432506"</f>
        <v>7702035432506</v>
      </c>
      <c r="I2262" s="3">
        <v>26</v>
      </c>
      <c r="J2262" s="3">
        <v>0</v>
      </c>
      <c r="K2262" s="3">
        <v>8000</v>
      </c>
    </row>
    <row r="2263" spans="1:11" x14ac:dyDescent="0.2">
      <c r="A2263" s="1" t="s">
        <v>4994</v>
      </c>
      <c r="B2263" s="1" t="s">
        <v>2840</v>
      </c>
      <c r="C2263" s="1"/>
      <c r="D2263" s="1"/>
      <c r="E2263" s="1"/>
      <c r="F2263" s="1"/>
      <c r="G2263" s="1"/>
      <c r="H2263" s="1" t="str">
        <f>"7702031518631"</f>
        <v>7702031518631</v>
      </c>
      <c r="I2263" s="3">
        <v>0</v>
      </c>
      <c r="J2263" s="3">
        <v>0</v>
      </c>
      <c r="K2263" s="3">
        <v>8000</v>
      </c>
    </row>
    <row r="2264" spans="1:11" x14ac:dyDescent="0.2">
      <c r="A2264" s="1" t="s">
        <v>4994</v>
      </c>
      <c r="B2264" s="1" t="s">
        <v>2841</v>
      </c>
      <c r="C2264" s="1"/>
      <c r="D2264" s="1"/>
      <c r="E2264" s="1"/>
      <c r="F2264" s="1"/>
      <c r="G2264" s="1"/>
      <c r="H2264" s="1" t="str">
        <f>"7702031563327"</f>
        <v>7702031563327</v>
      </c>
      <c r="I2264" s="3">
        <v>0</v>
      </c>
      <c r="J2264" s="3">
        <v>0</v>
      </c>
      <c r="K2264" s="3">
        <v>1500</v>
      </c>
    </row>
    <row r="2265" spans="1:11" x14ac:dyDescent="0.2">
      <c r="A2265" s="1" t="s">
        <v>4994</v>
      </c>
      <c r="B2265" s="1" t="s">
        <v>2842</v>
      </c>
      <c r="C2265" s="1"/>
      <c r="D2265" s="1"/>
      <c r="E2265" s="1"/>
      <c r="F2265" s="1"/>
      <c r="G2265" s="1"/>
      <c r="H2265" s="1" t="str">
        <f>"7702031976387"</f>
        <v>7702031976387</v>
      </c>
      <c r="I2265" s="3">
        <v>0</v>
      </c>
      <c r="J2265" s="3">
        <v>0</v>
      </c>
      <c r="K2265" s="3">
        <v>1500</v>
      </c>
    </row>
    <row r="2266" spans="1:11" x14ac:dyDescent="0.2">
      <c r="A2266" s="1" t="s">
        <v>4994</v>
      </c>
      <c r="B2266" s="1" t="s">
        <v>2843</v>
      </c>
      <c r="C2266" s="1"/>
      <c r="D2266" s="1"/>
      <c r="E2266" s="1"/>
      <c r="F2266" s="1"/>
      <c r="G2266" s="1"/>
      <c r="H2266" s="1" t="str">
        <f>"7702035430090"</f>
        <v>7702035430090</v>
      </c>
      <c r="I2266" s="3">
        <v>0</v>
      </c>
      <c r="J2266" s="3">
        <v>0</v>
      </c>
      <c r="K2266" s="3">
        <v>1500</v>
      </c>
    </row>
    <row r="2267" spans="1:11" x14ac:dyDescent="0.2">
      <c r="A2267" s="1" t="s">
        <v>4994</v>
      </c>
      <c r="B2267" s="1" t="s">
        <v>2844</v>
      </c>
      <c r="C2267" s="1"/>
      <c r="D2267" s="1"/>
      <c r="E2267" s="1"/>
      <c r="F2267" s="1"/>
      <c r="G2267" s="1"/>
      <c r="H2267" s="1" t="str">
        <f>"7804623853424"</f>
        <v>7804623853424</v>
      </c>
      <c r="I2267" s="3">
        <v>0</v>
      </c>
      <c r="J2267" s="3">
        <v>0</v>
      </c>
      <c r="K2267" s="3">
        <v>9000</v>
      </c>
    </row>
    <row r="2268" spans="1:11" x14ac:dyDescent="0.2">
      <c r="A2268" s="1" t="s">
        <v>4994</v>
      </c>
      <c r="B2268" s="1" t="s">
        <v>2845</v>
      </c>
      <c r="C2268" s="1"/>
      <c r="D2268" s="1"/>
      <c r="E2268" s="1"/>
      <c r="F2268" s="1"/>
      <c r="G2268" s="1"/>
      <c r="H2268" s="1" t="str">
        <f>"8680199000467"</f>
        <v>8680199000467</v>
      </c>
      <c r="I2268" s="3">
        <v>3</v>
      </c>
      <c r="J2268" s="3">
        <v>0</v>
      </c>
      <c r="K2268" s="3">
        <v>18000</v>
      </c>
    </row>
    <row r="2269" spans="1:11" x14ac:dyDescent="0.2">
      <c r="A2269" s="1" t="s">
        <v>4994</v>
      </c>
      <c r="B2269" s="1" t="s">
        <v>2846</v>
      </c>
      <c r="C2269" s="1"/>
      <c r="D2269" s="1"/>
      <c r="E2269" s="1"/>
      <c r="F2269" s="1"/>
      <c r="G2269" s="1"/>
      <c r="H2269" s="1" t="str">
        <f>"7798027350040"</f>
        <v>7798027350040</v>
      </c>
      <c r="I2269" s="3">
        <v>0</v>
      </c>
      <c r="J2269" s="3">
        <v>0</v>
      </c>
      <c r="K2269" s="3">
        <v>1000</v>
      </c>
    </row>
    <row r="2270" spans="1:11" x14ac:dyDescent="0.2">
      <c r="A2270" s="1" t="s">
        <v>4994</v>
      </c>
      <c r="B2270" s="1" t="s">
        <v>2847</v>
      </c>
      <c r="C2270" s="1"/>
      <c r="D2270" s="1"/>
      <c r="E2270" s="1"/>
      <c r="F2270" s="1"/>
      <c r="G2270" s="1"/>
      <c r="H2270" s="1" t="str">
        <f>"44f1bdzanbt1as"</f>
        <v>44f1bdzanbt1as</v>
      </c>
      <c r="I2270" s="3">
        <v>0</v>
      </c>
      <c r="J2270" s="3">
        <v>0</v>
      </c>
      <c r="K2270" s="3">
        <v>1500</v>
      </c>
    </row>
    <row r="2271" spans="1:11" x14ac:dyDescent="0.2">
      <c r="A2271" s="1" t="s">
        <v>4994</v>
      </c>
      <c r="B2271" s="1" t="s">
        <v>2848</v>
      </c>
      <c r="C2271" s="1"/>
      <c r="D2271" s="1"/>
      <c r="E2271" s="1"/>
      <c r="F2271" s="1"/>
      <c r="G2271" s="1"/>
      <c r="H2271" s="1" t="str">
        <f>"2000341103406"</f>
        <v>2000341103406</v>
      </c>
      <c r="I2271" s="3">
        <v>0</v>
      </c>
      <c r="J2271" s="3">
        <v>0</v>
      </c>
      <c r="K2271" s="3">
        <v>5500</v>
      </c>
    </row>
    <row r="2272" spans="1:11" x14ac:dyDescent="0.2">
      <c r="A2272" s="1" t="s">
        <v>4994</v>
      </c>
      <c r="B2272" s="1" t="s">
        <v>2849</v>
      </c>
      <c r="C2272" s="1"/>
      <c r="D2272" s="1"/>
      <c r="E2272" s="1"/>
      <c r="F2272" s="1"/>
      <c r="G2272" s="1"/>
      <c r="H2272" s="1" t="str">
        <f>"3499320012058"</f>
        <v>3499320012058</v>
      </c>
      <c r="I2272" s="3">
        <v>0</v>
      </c>
      <c r="J2272" s="3">
        <v>0</v>
      </c>
      <c r="K2272" s="3">
        <v>18000</v>
      </c>
    </row>
    <row r="2273" spans="1:11" x14ac:dyDescent="0.2">
      <c r="A2273" s="1" t="s">
        <v>4994</v>
      </c>
      <c r="B2273" s="1" t="s">
        <v>2850</v>
      </c>
      <c r="C2273" s="1"/>
      <c r="D2273" s="1"/>
      <c r="E2273" s="1"/>
      <c r="F2273" s="1"/>
      <c r="G2273" s="1"/>
      <c r="H2273" s="1" t="str">
        <f>"3499320004893"</f>
        <v>3499320004893</v>
      </c>
      <c r="I2273" s="3">
        <v>2</v>
      </c>
      <c r="J2273" s="3">
        <v>0</v>
      </c>
      <c r="K2273" s="3">
        <v>30000</v>
      </c>
    </row>
    <row r="2274" spans="1:11" x14ac:dyDescent="0.2">
      <c r="A2274" s="1" t="s">
        <v>4994</v>
      </c>
      <c r="B2274" s="1" t="s">
        <v>2851</v>
      </c>
      <c r="C2274" s="1"/>
      <c r="D2274" s="1"/>
      <c r="E2274" s="1"/>
      <c r="F2274" s="1"/>
      <c r="G2274" s="1"/>
      <c r="H2274" s="1" t="str">
        <f>"7809320004897"</f>
        <v>7809320004897</v>
      </c>
      <c r="I2274" s="3">
        <v>0</v>
      </c>
      <c r="J2274" s="3">
        <v>0</v>
      </c>
      <c r="K2274" s="3">
        <v>30000</v>
      </c>
    </row>
    <row r="2275" spans="1:11" x14ac:dyDescent="0.2">
      <c r="A2275" s="1" t="s">
        <v>4994</v>
      </c>
      <c r="B2275" s="1" t="s">
        <v>2852</v>
      </c>
      <c r="C2275" s="1"/>
      <c r="D2275" s="1"/>
      <c r="E2275" s="1"/>
      <c r="F2275" s="1"/>
      <c r="G2275" s="1"/>
      <c r="H2275" s="1" t="str">
        <f>"7804902023845"</f>
        <v>7804902023845</v>
      </c>
      <c r="I2275" s="3">
        <v>8</v>
      </c>
      <c r="J2275" s="3">
        <v>0</v>
      </c>
      <c r="K2275" s="3">
        <v>4500</v>
      </c>
    </row>
    <row r="2276" spans="1:11" x14ac:dyDescent="0.2">
      <c r="A2276" s="1" t="s">
        <v>4994</v>
      </c>
      <c r="B2276" s="1" t="s">
        <v>2853</v>
      </c>
      <c r="C2276" s="1"/>
      <c r="D2276" s="1"/>
      <c r="E2276" s="1"/>
      <c r="F2276" s="1"/>
      <c r="G2276" s="1"/>
      <c r="H2276" s="1" t="str">
        <f>"7804902023852"</f>
        <v>7804902023852</v>
      </c>
      <c r="I2276" s="3">
        <v>8</v>
      </c>
      <c r="J2276" s="3">
        <v>0</v>
      </c>
      <c r="K2276" s="3">
        <v>4500</v>
      </c>
    </row>
    <row r="2277" spans="1:11" x14ac:dyDescent="0.2">
      <c r="A2277" s="1" t="s">
        <v>4994</v>
      </c>
      <c r="B2277" s="1" t="s">
        <v>2854</v>
      </c>
      <c r="C2277" s="1"/>
      <c r="D2277" s="1"/>
      <c r="E2277" s="1"/>
      <c r="F2277" s="1"/>
      <c r="G2277" s="1"/>
      <c r="H2277" s="1" t="str">
        <f>"8411061081778"</f>
        <v>8411061081778</v>
      </c>
      <c r="I2277" s="3">
        <v>0</v>
      </c>
      <c r="J2277" s="3">
        <v>0</v>
      </c>
      <c r="K2277" s="3">
        <v>19000</v>
      </c>
    </row>
    <row r="2278" spans="1:11" x14ac:dyDescent="0.2">
      <c r="A2278" s="1" t="s">
        <v>4994</v>
      </c>
      <c r="B2278" s="1" t="s">
        <v>2855</v>
      </c>
      <c r="C2278" s="1"/>
      <c r="D2278" s="1"/>
      <c r="E2278" s="1"/>
      <c r="F2278" s="1"/>
      <c r="G2278" s="1"/>
      <c r="H2278" s="1" t="str">
        <f>"8429420166547"</f>
        <v>8429420166547</v>
      </c>
      <c r="I2278" s="3">
        <v>0</v>
      </c>
      <c r="J2278" s="3">
        <v>0</v>
      </c>
      <c r="K2278" s="3">
        <v>23000</v>
      </c>
    </row>
    <row r="2279" spans="1:11" x14ac:dyDescent="0.2">
      <c r="A2279" s="1" t="s">
        <v>4994</v>
      </c>
      <c r="B2279" s="1" t="s">
        <v>2856</v>
      </c>
      <c r="C2279" s="1"/>
      <c r="D2279" s="1"/>
      <c r="E2279" s="1"/>
      <c r="F2279" s="1"/>
      <c r="G2279" s="1"/>
      <c r="H2279" s="1" t="str">
        <f>"5031413938371"</f>
        <v>5031413938371</v>
      </c>
      <c r="I2279" s="3">
        <v>14</v>
      </c>
      <c r="J2279" s="3">
        <v>0</v>
      </c>
      <c r="K2279" s="3">
        <v>7500</v>
      </c>
    </row>
    <row r="2280" spans="1:11" x14ac:dyDescent="0.2">
      <c r="A2280" s="1" t="s">
        <v>4994</v>
      </c>
      <c r="B2280" s="1" t="s">
        <v>2857</v>
      </c>
      <c r="C2280" s="1"/>
      <c r="D2280" s="1"/>
      <c r="E2280" s="1"/>
      <c r="F2280" s="1"/>
      <c r="G2280" s="1"/>
      <c r="H2280" s="1" t="str">
        <f>"8411061849330"</f>
        <v>8411061849330</v>
      </c>
      <c r="I2280" s="3">
        <v>0</v>
      </c>
      <c r="J2280" s="3">
        <v>0</v>
      </c>
      <c r="K2280" s="3">
        <v>19000</v>
      </c>
    </row>
    <row r="2281" spans="1:11" x14ac:dyDescent="0.2">
      <c r="A2281" s="1" t="s">
        <v>4994</v>
      </c>
      <c r="B2281" s="1" t="s">
        <v>2858</v>
      </c>
      <c r="C2281" s="1"/>
      <c r="D2281" s="1"/>
      <c r="E2281" s="1"/>
      <c r="F2281" s="1"/>
      <c r="G2281" s="1"/>
      <c r="H2281" s="1" t="str">
        <f>"4005900000774"</f>
        <v>4005900000774</v>
      </c>
      <c r="I2281" s="3">
        <v>0</v>
      </c>
      <c r="J2281" s="3">
        <v>0</v>
      </c>
      <c r="K2281" s="3">
        <v>18000</v>
      </c>
    </row>
    <row r="2282" spans="1:11" x14ac:dyDescent="0.2">
      <c r="A2282" s="1" t="s">
        <v>4994</v>
      </c>
      <c r="B2282" s="1" t="s">
        <v>2859</v>
      </c>
      <c r="C2282" s="1"/>
      <c r="D2282" s="1"/>
      <c r="E2282" s="1"/>
      <c r="F2282" s="1"/>
      <c r="G2282" s="1"/>
      <c r="H2282" s="1" t="str">
        <f>"7800016008877"</f>
        <v>7800016008877</v>
      </c>
      <c r="I2282" s="3">
        <v>2</v>
      </c>
      <c r="J2282" s="3">
        <v>0</v>
      </c>
      <c r="K2282" s="3">
        <v>8000</v>
      </c>
    </row>
    <row r="2283" spans="1:11" x14ac:dyDescent="0.2">
      <c r="A2283" s="1" t="s">
        <v>4994</v>
      </c>
      <c r="B2283" s="1" t="s">
        <v>2860</v>
      </c>
      <c r="C2283" s="1"/>
      <c r="D2283" s="1"/>
      <c r="E2283" s="1"/>
      <c r="F2283" s="1"/>
      <c r="G2283" s="1"/>
      <c r="H2283" s="1" t="str">
        <f>"8411061027011"</f>
        <v>8411061027011</v>
      </c>
      <c r="I2283" s="3">
        <v>0</v>
      </c>
      <c r="J2283" s="3">
        <v>0</v>
      </c>
      <c r="K2283" s="3">
        <v>18000</v>
      </c>
    </row>
    <row r="2284" spans="1:11" x14ac:dyDescent="0.2">
      <c r="A2284" s="1" t="s">
        <v>4994</v>
      </c>
      <c r="B2284" s="1" t="s">
        <v>2861</v>
      </c>
      <c r="C2284" s="1"/>
      <c r="D2284" s="1"/>
      <c r="E2284" s="1"/>
      <c r="F2284" s="1"/>
      <c r="G2284" s="1"/>
      <c r="H2284" s="1" t="str">
        <f>"8411061292488"</f>
        <v>8411061292488</v>
      </c>
      <c r="I2284" s="3">
        <v>0</v>
      </c>
      <c r="J2284" s="3">
        <v>0</v>
      </c>
      <c r="K2284" s="3">
        <v>14000</v>
      </c>
    </row>
    <row r="2285" spans="1:11" x14ac:dyDescent="0.2">
      <c r="A2285" s="1" t="s">
        <v>4994</v>
      </c>
      <c r="B2285" s="1" t="s">
        <v>2862</v>
      </c>
      <c r="C2285" s="1"/>
      <c r="D2285" s="1"/>
      <c r="E2285" s="1"/>
      <c r="F2285" s="1"/>
      <c r="G2285" s="1"/>
      <c r="H2285" s="1" t="str">
        <f>"8411061957868"</f>
        <v>8411061957868</v>
      </c>
      <c r="I2285" s="3">
        <v>0</v>
      </c>
      <c r="J2285" s="3">
        <v>0</v>
      </c>
      <c r="K2285" s="3">
        <v>9000</v>
      </c>
    </row>
    <row r="2286" spans="1:11" x14ac:dyDescent="0.2">
      <c r="A2286" s="1" t="s">
        <v>4994</v>
      </c>
      <c r="B2286" s="1" t="s">
        <v>2863</v>
      </c>
      <c r="C2286" s="1"/>
      <c r="D2286" s="1"/>
      <c r="E2286" s="1"/>
      <c r="F2286" s="1"/>
      <c r="G2286" s="1"/>
      <c r="H2286" s="1" t="str">
        <f>"7800060152298"</f>
        <v>7800060152298</v>
      </c>
      <c r="I2286" s="3">
        <v>0</v>
      </c>
      <c r="J2286" s="3">
        <v>0</v>
      </c>
      <c r="K2286" s="3">
        <v>21000</v>
      </c>
    </row>
    <row r="2287" spans="1:11" x14ac:dyDescent="0.2">
      <c r="A2287" s="1" t="s">
        <v>4994</v>
      </c>
      <c r="B2287" s="1" t="s">
        <v>2864</v>
      </c>
      <c r="C2287" s="1"/>
      <c r="D2287" s="1"/>
      <c r="E2287" s="1"/>
      <c r="F2287" s="1"/>
      <c r="G2287" s="1"/>
      <c r="H2287" s="1" t="str">
        <f>"7800007118783"</f>
        <v>7800007118783</v>
      </c>
      <c r="I2287" s="3">
        <v>0</v>
      </c>
      <c r="J2287" s="3">
        <v>0</v>
      </c>
      <c r="K2287" s="3">
        <v>500</v>
      </c>
    </row>
    <row r="2288" spans="1:11" x14ac:dyDescent="0.2">
      <c r="A2288" s="1" t="s">
        <v>4994</v>
      </c>
      <c r="B2288" s="1" t="s">
        <v>2868</v>
      </c>
      <c r="C2288" s="1"/>
      <c r="D2288" s="1"/>
      <c r="E2288" s="1"/>
      <c r="F2288" s="1"/>
      <c r="G2288" s="1"/>
      <c r="H2288" s="1" t="str">
        <f>"7800007649126"</f>
        <v>7800007649126</v>
      </c>
      <c r="I2288" s="3">
        <v>0</v>
      </c>
      <c r="J2288" s="3">
        <v>0</v>
      </c>
      <c r="K2288" s="3">
        <v>500</v>
      </c>
    </row>
    <row r="2289" spans="1:11" x14ac:dyDescent="0.2">
      <c r="A2289" s="1" t="s">
        <v>4994</v>
      </c>
      <c r="B2289" s="1" t="s">
        <v>2870</v>
      </c>
      <c r="C2289" s="1"/>
      <c r="D2289" s="1"/>
      <c r="E2289" s="1"/>
      <c r="F2289" s="1"/>
      <c r="G2289" s="1"/>
      <c r="H2289" s="1" t="str">
        <f>"7800007121653"</f>
        <v>7800007121653</v>
      </c>
      <c r="I2289" s="3">
        <v>10</v>
      </c>
      <c r="J2289" s="3">
        <v>0</v>
      </c>
      <c r="K2289" s="3">
        <v>2000</v>
      </c>
    </row>
    <row r="2290" spans="1:11" x14ac:dyDescent="0.2">
      <c r="A2290" s="1" t="s">
        <v>4994</v>
      </c>
      <c r="B2290" s="1" t="s">
        <v>2871</v>
      </c>
      <c r="C2290" s="1"/>
      <c r="D2290" s="1"/>
      <c r="E2290" s="1"/>
      <c r="F2290" s="1"/>
      <c r="G2290" s="1"/>
      <c r="H2290" s="1" t="str">
        <f>"7509552911824"</f>
        <v>7509552911824</v>
      </c>
      <c r="I2290" s="3">
        <v>0</v>
      </c>
      <c r="J2290" s="3">
        <v>0</v>
      </c>
      <c r="K2290" s="3">
        <v>6500</v>
      </c>
    </row>
    <row r="2291" spans="1:11" x14ac:dyDescent="0.2">
      <c r="A2291" s="1" t="s">
        <v>4994</v>
      </c>
      <c r="B2291" s="1" t="s">
        <v>2872</v>
      </c>
      <c r="C2291" s="1"/>
      <c r="D2291" s="1"/>
      <c r="E2291" s="1"/>
      <c r="F2291" s="1"/>
      <c r="G2291" s="1"/>
      <c r="H2291" s="1" t="str">
        <f>"7509552847598"</f>
        <v>7509552847598</v>
      </c>
      <c r="I2291" s="3">
        <v>0</v>
      </c>
      <c r="J2291" s="3">
        <v>0</v>
      </c>
      <c r="K2291" s="3">
        <v>3800</v>
      </c>
    </row>
    <row r="2292" spans="1:11" x14ac:dyDescent="0.2">
      <c r="A2292" s="1" t="s">
        <v>4994</v>
      </c>
      <c r="B2292" s="1" t="s">
        <v>2873</v>
      </c>
      <c r="C2292" s="1"/>
      <c r="D2292" s="1"/>
      <c r="E2292" s="1"/>
      <c r="F2292" s="1"/>
      <c r="G2292" s="1"/>
      <c r="H2292" s="1" t="str">
        <f>"30162174"</f>
        <v>30162174</v>
      </c>
      <c r="I2292" s="3">
        <v>0</v>
      </c>
      <c r="J2292" s="3">
        <v>0</v>
      </c>
      <c r="K2292" s="3">
        <v>10000</v>
      </c>
    </row>
    <row r="2293" spans="1:11" x14ac:dyDescent="0.2">
      <c r="A2293" s="1" t="s">
        <v>4994</v>
      </c>
      <c r="B2293" s="1" t="s">
        <v>2874</v>
      </c>
      <c r="C2293" s="1"/>
      <c r="D2293" s="1"/>
      <c r="E2293" s="1"/>
      <c r="F2293" s="1"/>
      <c r="G2293" s="1"/>
      <c r="H2293" s="1" t="str">
        <f>"30145405"</f>
        <v>30145405</v>
      </c>
      <c r="I2293" s="3">
        <v>0</v>
      </c>
      <c r="J2293" s="3">
        <v>0</v>
      </c>
      <c r="K2293" s="3">
        <v>7000</v>
      </c>
    </row>
    <row r="2294" spans="1:11" x14ac:dyDescent="0.2">
      <c r="A2294" s="1" t="s">
        <v>4994</v>
      </c>
      <c r="B2294" s="1" t="s">
        <v>2875</v>
      </c>
      <c r="C2294" s="1"/>
      <c r="D2294" s="1"/>
      <c r="E2294" s="1"/>
      <c r="F2294" s="1"/>
      <c r="G2294" s="1"/>
      <c r="H2294" s="1" t="str">
        <f>"7509552898255"</f>
        <v>7509552898255</v>
      </c>
      <c r="I2294" s="3">
        <v>1</v>
      </c>
      <c r="J2294" s="3">
        <v>0</v>
      </c>
      <c r="K2294" s="3">
        <v>16000</v>
      </c>
    </row>
    <row r="2295" spans="1:11" x14ac:dyDescent="0.2">
      <c r="A2295" s="1" t="s">
        <v>4994</v>
      </c>
      <c r="B2295" s="1" t="s">
        <v>2877</v>
      </c>
      <c r="C2295" s="1"/>
      <c r="D2295" s="1"/>
      <c r="E2295" s="1"/>
      <c r="F2295" s="1"/>
      <c r="G2295" s="1"/>
      <c r="H2295" s="1" t="str">
        <f>"7804650881803"</f>
        <v>7804650881803</v>
      </c>
      <c r="I2295" s="3">
        <v>0</v>
      </c>
      <c r="J2295" s="3">
        <v>0</v>
      </c>
      <c r="K2295" s="3">
        <v>2000</v>
      </c>
    </row>
    <row r="2296" spans="1:11" x14ac:dyDescent="0.2">
      <c r="A2296" s="1" t="s">
        <v>4994</v>
      </c>
      <c r="B2296" s="1" t="s">
        <v>2878</v>
      </c>
      <c r="C2296" s="1"/>
      <c r="D2296" s="1"/>
      <c r="E2296" s="1"/>
      <c r="F2296" s="1"/>
      <c r="G2296" s="1"/>
      <c r="H2296" s="1" t="str">
        <f>"7804620834440"</f>
        <v>7804620834440</v>
      </c>
      <c r="I2296" s="3">
        <v>0</v>
      </c>
      <c r="J2296" s="3">
        <v>0</v>
      </c>
      <c r="K2296" s="3">
        <v>2000</v>
      </c>
    </row>
    <row r="2297" spans="1:11" x14ac:dyDescent="0.2">
      <c r="A2297" s="1" t="s">
        <v>4994</v>
      </c>
      <c r="B2297" s="1" t="s">
        <v>2879</v>
      </c>
      <c r="C2297" s="1"/>
      <c r="D2297" s="1"/>
      <c r="E2297" s="1"/>
      <c r="F2297" s="1"/>
      <c r="G2297" s="1"/>
      <c r="H2297" s="1" t="str">
        <f>"8903726197271"</f>
        <v>8903726197271</v>
      </c>
      <c r="I2297" s="3">
        <v>35</v>
      </c>
      <c r="J2297" s="3">
        <v>0</v>
      </c>
      <c r="K2297" s="3">
        <v>2000</v>
      </c>
    </row>
    <row r="2298" spans="1:11" x14ac:dyDescent="0.2">
      <c r="A2298" s="1" t="s">
        <v>4994</v>
      </c>
      <c r="B2298" s="1" t="s">
        <v>2883</v>
      </c>
      <c r="C2298" s="1"/>
      <c r="D2298" s="1"/>
      <c r="E2298" s="1"/>
      <c r="F2298" s="1"/>
      <c r="G2298" s="1"/>
      <c r="H2298" s="1" t="str">
        <f>"7800007810939"</f>
        <v>7800007810939</v>
      </c>
      <c r="I2298" s="3">
        <v>0</v>
      </c>
      <c r="J2298" s="3">
        <v>0</v>
      </c>
      <c r="K2298" s="3">
        <v>1000</v>
      </c>
    </row>
    <row r="2299" spans="1:11" x14ac:dyDescent="0.2">
      <c r="A2299" s="1" t="s">
        <v>4994</v>
      </c>
      <c r="B2299" s="1" t="s">
        <v>2884</v>
      </c>
      <c r="C2299" s="1"/>
      <c r="D2299" s="1"/>
      <c r="E2299" s="1"/>
      <c r="F2299" s="1"/>
      <c r="G2299" s="1"/>
      <c r="H2299" s="1" t="str">
        <f>"7804620835621"</f>
        <v>7804620835621</v>
      </c>
      <c r="I2299" s="3">
        <v>0</v>
      </c>
      <c r="J2299" s="3">
        <v>0</v>
      </c>
      <c r="K2299" s="3">
        <v>2000</v>
      </c>
    </row>
    <row r="2300" spans="1:11" x14ac:dyDescent="0.2">
      <c r="A2300" s="1" t="s">
        <v>4994</v>
      </c>
      <c r="B2300" s="1" t="s">
        <v>2885</v>
      </c>
      <c r="C2300" s="1"/>
      <c r="D2300" s="1"/>
      <c r="E2300" s="1"/>
      <c r="F2300" s="1"/>
      <c r="G2300" s="1"/>
      <c r="H2300" s="1" t="str">
        <f>"7800007807229"</f>
        <v>7800007807229</v>
      </c>
      <c r="I2300" s="3">
        <v>0</v>
      </c>
      <c r="J2300" s="3">
        <v>0</v>
      </c>
      <c r="K2300" s="3">
        <v>1000</v>
      </c>
    </row>
    <row r="2301" spans="1:11" x14ac:dyDescent="0.2">
      <c r="A2301" s="1" t="s">
        <v>4994</v>
      </c>
      <c r="B2301" s="1" t="s">
        <v>2886</v>
      </c>
      <c r="C2301" s="1"/>
      <c r="D2301" s="1"/>
      <c r="E2301" s="1"/>
      <c r="F2301" s="1"/>
      <c r="G2301" s="1"/>
      <c r="H2301" s="1" t="str">
        <f>"7804945001626"</f>
        <v>7804945001626</v>
      </c>
      <c r="I2301" s="3">
        <v>0</v>
      </c>
      <c r="J2301" s="3">
        <v>0</v>
      </c>
      <c r="K2301" s="3">
        <v>3500</v>
      </c>
    </row>
    <row r="2302" spans="1:11" x14ac:dyDescent="0.2">
      <c r="A2302" s="1" t="s">
        <v>4994</v>
      </c>
      <c r="B2302" s="1" t="s">
        <v>2888</v>
      </c>
      <c r="C2302" s="1"/>
      <c r="D2302" s="1"/>
      <c r="E2302" s="1"/>
      <c r="F2302" s="1"/>
      <c r="G2302" s="1"/>
      <c r="H2302" s="1" t="str">
        <f>"737186533786"</f>
        <v>737186533786</v>
      </c>
      <c r="I2302" s="3">
        <v>0</v>
      </c>
      <c r="J2302" s="3">
        <v>0</v>
      </c>
      <c r="K2302" s="3">
        <v>5000</v>
      </c>
    </row>
    <row r="2303" spans="1:11" x14ac:dyDescent="0.2">
      <c r="A2303" s="1" t="s">
        <v>4994</v>
      </c>
      <c r="B2303" s="1" t="s">
        <v>2889</v>
      </c>
      <c r="C2303" s="1"/>
      <c r="D2303" s="1"/>
      <c r="E2303" s="1"/>
      <c r="F2303" s="1"/>
      <c r="G2303" s="1"/>
      <c r="H2303" s="1" t="str">
        <f>"7509546060460"</f>
        <v>7509546060460</v>
      </c>
      <c r="I2303" s="3">
        <v>9</v>
      </c>
      <c r="J2303" s="3">
        <v>0</v>
      </c>
      <c r="K2303" s="3">
        <v>2500</v>
      </c>
    </row>
    <row r="2304" spans="1:11" x14ac:dyDescent="0.2">
      <c r="A2304" s="1" t="s">
        <v>4994</v>
      </c>
      <c r="B2304" s="1" t="s">
        <v>2890</v>
      </c>
      <c r="C2304" s="1"/>
      <c r="D2304" s="1"/>
      <c r="E2304" s="1"/>
      <c r="F2304" s="1"/>
      <c r="G2304" s="1"/>
      <c r="H2304" s="1" t="str">
        <f>"5854020626321"</f>
        <v>5854020626321</v>
      </c>
      <c r="I2304" s="3">
        <v>105</v>
      </c>
      <c r="J2304" s="3">
        <v>0</v>
      </c>
      <c r="K2304" s="3">
        <v>3500</v>
      </c>
    </row>
    <row r="2305" spans="1:11" x14ac:dyDescent="0.2">
      <c r="A2305" s="1" t="s">
        <v>4994</v>
      </c>
      <c r="B2305" s="1" t="s">
        <v>2891</v>
      </c>
      <c r="C2305" s="1"/>
      <c r="D2305" s="1"/>
      <c r="E2305" s="1"/>
      <c r="F2305" s="1"/>
      <c r="G2305" s="1"/>
      <c r="H2305" s="1" t="str">
        <f>"7800004004560"</f>
        <v>7800004004560</v>
      </c>
      <c r="I2305" s="3">
        <v>10</v>
      </c>
      <c r="J2305" s="3">
        <v>0</v>
      </c>
      <c r="K2305" s="3">
        <v>4000</v>
      </c>
    </row>
    <row r="2306" spans="1:11" x14ac:dyDescent="0.2">
      <c r="A2306" s="1" t="s">
        <v>4994</v>
      </c>
      <c r="B2306" s="1" t="s">
        <v>2892</v>
      </c>
      <c r="C2306" s="1"/>
      <c r="D2306" s="1"/>
      <c r="E2306" s="1"/>
      <c r="F2306" s="1"/>
      <c r="G2306" s="1"/>
      <c r="H2306" s="1" t="str">
        <f>"7702035916679"</f>
        <v>7702035916679</v>
      </c>
      <c r="I2306" s="3">
        <v>0</v>
      </c>
      <c r="J2306" s="3">
        <v>0</v>
      </c>
      <c r="K2306" s="3">
        <v>9000</v>
      </c>
    </row>
    <row r="2307" spans="1:11" x14ac:dyDescent="0.2">
      <c r="A2307" s="1" t="s">
        <v>4994</v>
      </c>
      <c r="B2307" s="1" t="s">
        <v>2893</v>
      </c>
      <c r="C2307" s="1"/>
      <c r="D2307" s="1"/>
      <c r="E2307" s="1"/>
      <c r="F2307" s="1"/>
      <c r="G2307" s="1"/>
      <c r="H2307" s="1" t="str">
        <f>"7702031244516"</f>
        <v>7702031244516</v>
      </c>
      <c r="I2307" s="3">
        <v>0</v>
      </c>
      <c r="J2307" s="3">
        <v>0</v>
      </c>
      <c r="K2307" s="3">
        <v>9000</v>
      </c>
    </row>
    <row r="2308" spans="1:11" x14ac:dyDescent="0.2">
      <c r="A2308" s="1" t="s">
        <v>4994</v>
      </c>
      <c r="B2308" s="1" t="s">
        <v>2894</v>
      </c>
      <c r="C2308" s="1"/>
      <c r="D2308" s="1"/>
      <c r="E2308" s="1"/>
      <c r="F2308" s="1"/>
      <c r="G2308" s="1"/>
      <c r="H2308" s="1" t="str">
        <f>"7702031278252"</f>
        <v>7702031278252</v>
      </c>
      <c r="I2308" s="3">
        <v>0</v>
      </c>
      <c r="J2308" s="3">
        <v>0</v>
      </c>
      <c r="K2308" s="3">
        <v>9000</v>
      </c>
    </row>
    <row r="2309" spans="1:11" x14ac:dyDescent="0.2">
      <c r="A2309" s="1" t="s">
        <v>4994</v>
      </c>
      <c r="B2309" s="1" t="s">
        <v>2895</v>
      </c>
      <c r="C2309" s="1"/>
      <c r="D2309" s="1"/>
      <c r="E2309" s="1"/>
      <c r="F2309" s="1"/>
      <c r="G2309" s="1"/>
      <c r="H2309" s="1" t="str">
        <f>"7501007528427"</f>
        <v>7501007528427</v>
      </c>
      <c r="I2309" s="3">
        <v>0</v>
      </c>
      <c r="J2309" s="3">
        <v>0</v>
      </c>
      <c r="K2309" s="3">
        <v>8500</v>
      </c>
    </row>
    <row r="2310" spans="1:11" x14ac:dyDescent="0.2">
      <c r="A2310" s="1" t="s">
        <v>4994</v>
      </c>
      <c r="B2310" s="1" t="s">
        <v>2896</v>
      </c>
      <c r="C2310" s="1"/>
      <c r="D2310" s="1"/>
      <c r="E2310" s="1"/>
      <c r="F2310" s="1"/>
      <c r="G2310" s="1"/>
      <c r="H2310" s="1" t="str">
        <f>"7803504002333"</f>
        <v>7803504002333</v>
      </c>
      <c r="I2310" s="3">
        <v>0</v>
      </c>
      <c r="J2310" s="3">
        <v>0</v>
      </c>
      <c r="K2310" s="3">
        <v>11000</v>
      </c>
    </row>
    <row r="2311" spans="1:11" x14ac:dyDescent="0.2">
      <c r="A2311" s="1" t="s">
        <v>4994</v>
      </c>
      <c r="B2311" s="1" t="s">
        <v>2897</v>
      </c>
      <c r="C2311" s="1"/>
      <c r="D2311" s="1"/>
      <c r="E2311" s="1"/>
      <c r="F2311" s="1"/>
      <c r="G2311" s="1"/>
      <c r="H2311" s="1" t="str">
        <f>"2000110419530"</f>
        <v>2000110419530</v>
      </c>
      <c r="I2311" s="3">
        <v>0</v>
      </c>
      <c r="J2311" s="3">
        <v>0</v>
      </c>
      <c r="K2311" s="3">
        <v>4000</v>
      </c>
    </row>
    <row r="2312" spans="1:11" x14ac:dyDescent="0.2">
      <c r="A2312" s="1" t="s">
        <v>4994</v>
      </c>
      <c r="B2312" s="1" t="s">
        <v>2898</v>
      </c>
      <c r="C2312" s="1"/>
      <c r="D2312" s="1"/>
      <c r="E2312" s="1"/>
      <c r="F2312" s="1"/>
      <c r="G2312" s="1"/>
      <c r="H2312" s="1" t="str">
        <f>"7800007739704"</f>
        <v>7800007739704</v>
      </c>
      <c r="I2312" s="3">
        <v>0</v>
      </c>
      <c r="J2312" s="3">
        <v>0</v>
      </c>
      <c r="K2312" s="3">
        <v>18000</v>
      </c>
    </row>
    <row r="2313" spans="1:11" x14ac:dyDescent="0.2">
      <c r="A2313" s="1" t="s">
        <v>4994</v>
      </c>
      <c r="B2313" s="1" t="s">
        <v>2900</v>
      </c>
      <c r="C2313" s="1"/>
      <c r="D2313" s="1"/>
      <c r="E2313" s="1"/>
      <c r="F2313" s="1"/>
      <c r="G2313" s="1"/>
      <c r="H2313" s="1" t="str">
        <f>"7501871721412"</f>
        <v>7501871721412</v>
      </c>
      <c r="I2313" s="3">
        <v>0</v>
      </c>
      <c r="J2313" s="3">
        <v>0</v>
      </c>
      <c r="K2313" s="3">
        <v>19000</v>
      </c>
    </row>
    <row r="2314" spans="1:11" x14ac:dyDescent="0.2">
      <c r="A2314" s="1" t="s">
        <v>4994</v>
      </c>
      <c r="B2314" s="1" t="s">
        <v>2901</v>
      </c>
      <c r="C2314" s="1"/>
      <c r="D2314" s="1"/>
      <c r="E2314" s="1"/>
      <c r="F2314" s="1"/>
      <c r="G2314" s="1"/>
      <c r="H2314" s="1" t="str">
        <f>"7800038044709"</f>
        <v>7800038044709</v>
      </c>
      <c r="I2314" s="3">
        <v>0</v>
      </c>
      <c r="J2314" s="3">
        <v>0</v>
      </c>
      <c r="K2314" s="3">
        <v>7500</v>
      </c>
    </row>
    <row r="2315" spans="1:11" x14ac:dyDescent="0.2">
      <c r="A2315" s="1" t="s">
        <v>4994</v>
      </c>
      <c r="B2315" s="1" t="s">
        <v>2902</v>
      </c>
      <c r="C2315" s="1"/>
      <c r="D2315" s="1"/>
      <c r="E2315" s="1"/>
      <c r="F2315" s="1"/>
      <c r="G2315" s="1"/>
      <c r="H2315" s="1" t="str">
        <f>"7800038044723"</f>
        <v>7800038044723</v>
      </c>
      <c r="I2315" s="3">
        <v>3</v>
      </c>
      <c r="J2315" s="3">
        <v>0</v>
      </c>
      <c r="K2315" s="3">
        <v>11000</v>
      </c>
    </row>
    <row r="2316" spans="1:11" x14ac:dyDescent="0.2">
      <c r="A2316" s="1" t="s">
        <v>4994</v>
      </c>
      <c r="B2316" s="1" t="s">
        <v>2903</v>
      </c>
      <c r="C2316" s="1"/>
      <c r="D2316" s="1"/>
      <c r="E2316" s="1"/>
      <c r="F2316" s="1"/>
      <c r="G2316" s="1"/>
      <c r="H2316" s="1" t="str">
        <f>"7800038044471"</f>
        <v>7800038044471</v>
      </c>
      <c r="I2316" s="3">
        <v>3</v>
      </c>
      <c r="J2316" s="3">
        <v>0</v>
      </c>
      <c r="K2316" s="3">
        <v>6000</v>
      </c>
    </row>
    <row r="2317" spans="1:11" x14ac:dyDescent="0.2">
      <c r="A2317" s="1" t="s">
        <v>4994</v>
      </c>
      <c r="B2317" s="1" t="s">
        <v>2904</v>
      </c>
      <c r="C2317" s="1"/>
      <c r="D2317" s="1"/>
      <c r="E2317" s="1"/>
      <c r="F2317" s="1"/>
      <c r="G2317" s="1"/>
      <c r="H2317" s="1" t="str">
        <f>"7800038044457"</f>
        <v>7800038044457</v>
      </c>
      <c r="I2317" s="3">
        <v>2</v>
      </c>
      <c r="J2317" s="3">
        <v>0</v>
      </c>
      <c r="K2317" s="3">
        <v>4000</v>
      </c>
    </row>
    <row r="2318" spans="1:11" x14ac:dyDescent="0.2">
      <c r="A2318" s="1" t="s">
        <v>4994</v>
      </c>
      <c r="B2318" s="1" t="s">
        <v>2905</v>
      </c>
      <c r="C2318" s="1"/>
      <c r="D2318" s="1"/>
      <c r="E2318" s="1"/>
      <c r="F2318" s="1"/>
      <c r="G2318" s="1"/>
      <c r="H2318" s="1" t="str">
        <f>"7805750110244"</f>
        <v>7805750110244</v>
      </c>
      <c r="I2318" s="3">
        <v>5</v>
      </c>
      <c r="J2318" s="3">
        <v>0</v>
      </c>
      <c r="K2318" s="3">
        <v>10000</v>
      </c>
    </row>
    <row r="2319" spans="1:11" x14ac:dyDescent="0.2">
      <c r="A2319" s="1" t="s">
        <v>4994</v>
      </c>
      <c r="B2319" s="1" t="s">
        <v>2906</v>
      </c>
      <c r="C2319" s="1"/>
      <c r="D2319" s="1"/>
      <c r="E2319" s="1"/>
      <c r="F2319" s="1"/>
      <c r="G2319" s="1"/>
      <c r="H2319" s="1" t="str">
        <f>"7800008000728"</f>
        <v>7800008000728</v>
      </c>
      <c r="I2319" s="3">
        <v>0</v>
      </c>
      <c r="J2319" s="3">
        <v>0</v>
      </c>
      <c r="K2319" s="3">
        <v>16000</v>
      </c>
    </row>
    <row r="2320" spans="1:11" x14ac:dyDescent="0.2">
      <c r="A2320" s="1" t="s">
        <v>4994</v>
      </c>
      <c r="B2320" s="1" t="s">
        <v>2907</v>
      </c>
      <c r="C2320" s="1"/>
      <c r="D2320" s="1"/>
      <c r="E2320" s="1"/>
      <c r="F2320" s="1"/>
      <c r="G2320" s="1"/>
      <c r="H2320" s="1" t="str">
        <f>"7800070001586"</f>
        <v>7800070001586</v>
      </c>
      <c r="I2320" s="3">
        <v>1</v>
      </c>
      <c r="J2320" s="3">
        <v>0</v>
      </c>
      <c r="K2320" s="3">
        <v>27000</v>
      </c>
    </row>
    <row r="2321" spans="1:11" x14ac:dyDescent="0.2">
      <c r="A2321" s="1" t="s">
        <v>4994</v>
      </c>
      <c r="B2321" s="1" t="s">
        <v>2908</v>
      </c>
      <c r="C2321" s="1"/>
      <c r="D2321" s="1"/>
      <c r="E2321" s="1"/>
      <c r="F2321" s="1"/>
      <c r="G2321" s="1"/>
      <c r="H2321" s="1" t="str">
        <f>"7800070000244"</f>
        <v>7800070000244</v>
      </c>
      <c r="I2321" s="3">
        <v>5</v>
      </c>
      <c r="J2321" s="3">
        <v>0</v>
      </c>
      <c r="K2321" s="3">
        <v>27000</v>
      </c>
    </row>
    <row r="2322" spans="1:11" x14ac:dyDescent="0.2">
      <c r="A2322" s="1" t="s">
        <v>4994</v>
      </c>
      <c r="B2322" s="1" t="s">
        <v>2909</v>
      </c>
      <c r="C2322" s="1"/>
      <c r="D2322" s="1"/>
      <c r="E2322" s="1"/>
      <c r="F2322" s="1"/>
      <c r="G2322" s="1"/>
      <c r="H2322" s="1" t="str">
        <f>"4022679138415"</f>
        <v>4022679138415</v>
      </c>
      <c r="I2322" s="3">
        <v>6</v>
      </c>
      <c r="J2322" s="3">
        <v>0</v>
      </c>
      <c r="K2322" s="3">
        <v>3500</v>
      </c>
    </row>
    <row r="2323" spans="1:11" x14ac:dyDescent="0.2">
      <c r="A2323" s="1" t="s">
        <v>4994</v>
      </c>
      <c r="B2323" s="1" t="s">
        <v>2910</v>
      </c>
      <c r="C2323" s="1"/>
      <c r="D2323" s="1"/>
      <c r="E2323" s="1"/>
      <c r="F2323" s="1"/>
      <c r="G2323" s="1"/>
      <c r="H2323" s="1" t="str">
        <f>"4022679145482"</f>
        <v>4022679145482</v>
      </c>
      <c r="I2323" s="3">
        <v>0</v>
      </c>
      <c r="J2323" s="3">
        <v>0</v>
      </c>
      <c r="K2323" s="3">
        <v>5500</v>
      </c>
    </row>
    <row r="2324" spans="1:11" x14ac:dyDescent="0.2">
      <c r="A2324" s="1" t="s">
        <v>4994</v>
      </c>
      <c r="B2324" s="1" t="s">
        <v>2911</v>
      </c>
      <c r="C2324" s="1"/>
      <c r="D2324" s="1"/>
      <c r="E2324" s="1"/>
      <c r="F2324" s="1"/>
      <c r="G2324" s="1"/>
      <c r="H2324" s="1" t="str">
        <f>"070501053553"</f>
        <v>070501053553</v>
      </c>
      <c r="I2324" s="3">
        <v>2</v>
      </c>
      <c r="J2324" s="3">
        <v>0</v>
      </c>
      <c r="K2324" s="3">
        <v>3000</v>
      </c>
    </row>
    <row r="2325" spans="1:11" x14ac:dyDescent="0.2">
      <c r="A2325" s="1" t="s">
        <v>4994</v>
      </c>
      <c r="B2325" s="1" t="s">
        <v>2912</v>
      </c>
      <c r="C2325" s="1"/>
      <c r="D2325" s="1"/>
      <c r="E2325" s="1"/>
      <c r="F2325" s="1"/>
      <c r="G2325" s="1"/>
      <c r="H2325" s="1" t="str">
        <f>"7800018000589"</f>
        <v>7800018000589</v>
      </c>
      <c r="I2325" s="3">
        <v>0</v>
      </c>
      <c r="J2325" s="3">
        <v>0</v>
      </c>
      <c r="K2325" s="3">
        <v>20000</v>
      </c>
    </row>
    <row r="2326" spans="1:11" x14ac:dyDescent="0.2">
      <c r="A2326" s="1" t="s">
        <v>4994</v>
      </c>
      <c r="B2326" s="1" t="s">
        <v>2914</v>
      </c>
      <c r="C2326" s="1"/>
      <c r="D2326" s="1"/>
      <c r="E2326" s="1"/>
      <c r="F2326" s="1"/>
      <c r="G2326" s="1"/>
      <c r="H2326" s="1" t="str">
        <f>"7861073971078"</f>
        <v>7861073971078</v>
      </c>
      <c r="I2326" s="3">
        <v>2</v>
      </c>
      <c r="J2326" s="3">
        <v>0</v>
      </c>
      <c r="K2326" s="3">
        <v>19000</v>
      </c>
    </row>
    <row r="2327" spans="1:11" x14ac:dyDescent="0.2">
      <c r="A2327" s="1" t="s">
        <v>4994</v>
      </c>
      <c r="B2327" s="1" t="s">
        <v>2915</v>
      </c>
      <c r="C2327" s="1"/>
      <c r="D2327" s="1"/>
      <c r="E2327" s="1"/>
      <c r="F2327" s="1"/>
      <c r="G2327" s="1"/>
      <c r="H2327" s="1" t="str">
        <f>"9001616703607"</f>
        <v>9001616703607</v>
      </c>
      <c r="I2327" s="3">
        <v>0</v>
      </c>
      <c r="J2327" s="3">
        <v>0</v>
      </c>
      <c r="K2327" s="3">
        <v>14000</v>
      </c>
    </row>
    <row r="2328" spans="1:11" x14ac:dyDescent="0.2">
      <c r="A2328" s="1" t="s">
        <v>4994</v>
      </c>
      <c r="B2328" s="1" t="s">
        <v>2916</v>
      </c>
      <c r="C2328" s="1"/>
      <c r="D2328" s="1"/>
      <c r="E2328" s="1"/>
      <c r="F2328" s="1"/>
      <c r="G2328" s="1"/>
      <c r="H2328" s="1" t="str">
        <f>"9001616503115"</f>
        <v>9001616503115</v>
      </c>
      <c r="I2328" s="3">
        <v>3</v>
      </c>
      <c r="J2328" s="3">
        <v>0</v>
      </c>
      <c r="K2328" s="3">
        <v>12000</v>
      </c>
    </row>
    <row r="2329" spans="1:11" x14ac:dyDescent="0.2">
      <c r="A2329" s="1" t="s">
        <v>4994</v>
      </c>
      <c r="B2329" s="1" t="s">
        <v>2917</v>
      </c>
      <c r="C2329" s="1"/>
      <c r="D2329" s="1"/>
      <c r="E2329" s="1"/>
      <c r="F2329" s="1"/>
      <c r="G2329" s="1"/>
      <c r="H2329" s="1" t="str">
        <f>"9001616204005"</f>
        <v>9001616204005</v>
      </c>
      <c r="I2329" s="3">
        <v>0</v>
      </c>
      <c r="J2329" s="3">
        <v>0</v>
      </c>
      <c r="K2329" s="3">
        <v>8500</v>
      </c>
    </row>
    <row r="2330" spans="1:11" x14ac:dyDescent="0.2">
      <c r="A2330" s="1" t="s">
        <v>4994</v>
      </c>
      <c r="B2330" s="1" t="s">
        <v>2918</v>
      </c>
      <c r="C2330" s="1"/>
      <c r="D2330" s="1"/>
      <c r="E2330" s="1"/>
      <c r="F2330" s="1"/>
      <c r="G2330" s="1"/>
      <c r="H2330" s="1" t="str">
        <f>"7804945078017"</f>
        <v>7804945078017</v>
      </c>
      <c r="I2330" s="3">
        <v>0</v>
      </c>
      <c r="J2330" s="3">
        <v>0</v>
      </c>
      <c r="K2330" s="3">
        <v>2500</v>
      </c>
    </row>
    <row r="2331" spans="1:11" x14ac:dyDescent="0.2">
      <c r="A2331" s="1" t="s">
        <v>4994</v>
      </c>
      <c r="B2331" s="1" t="s">
        <v>2919</v>
      </c>
      <c r="C2331" s="1"/>
      <c r="D2331" s="1"/>
      <c r="E2331" s="1"/>
      <c r="F2331" s="1"/>
      <c r="G2331" s="1"/>
      <c r="H2331" s="1" t="str">
        <f>"7805633013747"</f>
        <v>7805633013747</v>
      </c>
      <c r="I2331" s="3">
        <v>0</v>
      </c>
      <c r="J2331" s="3">
        <v>0</v>
      </c>
      <c r="K2331" s="3">
        <v>2000</v>
      </c>
    </row>
    <row r="2332" spans="1:11" x14ac:dyDescent="0.2">
      <c r="A2332" s="1" t="s">
        <v>4994</v>
      </c>
      <c r="B2332" s="1" t="s">
        <v>2920</v>
      </c>
      <c r="C2332" s="1"/>
      <c r="D2332" s="1"/>
      <c r="E2332" s="1"/>
      <c r="F2332" s="1"/>
      <c r="G2332" s="1"/>
      <c r="H2332" s="1" t="str">
        <f>"9001616698644"</f>
        <v>9001616698644</v>
      </c>
      <c r="I2332" s="3">
        <v>0</v>
      </c>
      <c r="J2332" s="3">
        <v>0</v>
      </c>
      <c r="K2332" s="3">
        <v>10000</v>
      </c>
    </row>
    <row r="2333" spans="1:11" x14ac:dyDescent="0.2">
      <c r="A2333" s="1" t="s">
        <v>4994</v>
      </c>
      <c r="B2333" s="1" t="s">
        <v>2921</v>
      </c>
      <c r="C2333" s="1"/>
      <c r="D2333" s="1"/>
      <c r="E2333" s="1"/>
      <c r="F2333" s="1"/>
      <c r="G2333" s="1"/>
      <c r="H2333" s="1" t="str">
        <f>"7892065326026"</f>
        <v>7892065326026</v>
      </c>
      <c r="I2333" s="3">
        <v>0</v>
      </c>
      <c r="J2333" s="3">
        <v>0</v>
      </c>
      <c r="K2333" s="3">
        <v>1500</v>
      </c>
    </row>
    <row r="2334" spans="1:11" x14ac:dyDescent="0.2">
      <c r="A2334" s="1" t="s">
        <v>4994</v>
      </c>
      <c r="B2334" s="1" t="s">
        <v>2922</v>
      </c>
      <c r="C2334" s="1"/>
      <c r="D2334" s="1"/>
      <c r="E2334" s="1"/>
      <c r="F2334" s="1"/>
      <c r="G2334" s="1"/>
      <c r="H2334" s="1" t="str">
        <f>"7804945021204"</f>
        <v>7804945021204</v>
      </c>
      <c r="I2334" s="3">
        <v>0</v>
      </c>
      <c r="J2334" s="3">
        <v>0</v>
      </c>
      <c r="K2334" s="3">
        <v>5000</v>
      </c>
    </row>
    <row r="2335" spans="1:11" x14ac:dyDescent="0.2">
      <c r="A2335" s="1" t="s">
        <v>4994</v>
      </c>
      <c r="B2335" s="1" t="s">
        <v>2923</v>
      </c>
      <c r="C2335" s="1"/>
      <c r="D2335" s="1"/>
      <c r="E2335" s="1"/>
      <c r="F2335" s="1"/>
      <c r="G2335" s="1"/>
      <c r="H2335" s="1" t="str">
        <f>"7804945002456"</f>
        <v>7804945002456</v>
      </c>
      <c r="I2335" s="3">
        <v>1</v>
      </c>
      <c r="J2335" s="3">
        <v>0</v>
      </c>
      <c r="K2335" s="3">
        <v>3000</v>
      </c>
    </row>
    <row r="2336" spans="1:11" x14ac:dyDescent="0.2">
      <c r="A2336" s="1" t="s">
        <v>4994</v>
      </c>
      <c r="B2336" s="1" t="s">
        <v>2924</v>
      </c>
      <c r="C2336" s="1"/>
      <c r="D2336" s="1"/>
      <c r="E2336" s="1"/>
      <c r="F2336" s="1"/>
      <c r="G2336" s="1"/>
      <c r="H2336" s="1" t="str">
        <f>"9001616503108"</f>
        <v>9001616503108</v>
      </c>
      <c r="I2336" s="3">
        <v>3</v>
      </c>
      <c r="J2336" s="3">
        <v>0</v>
      </c>
      <c r="K2336" s="3">
        <v>11000</v>
      </c>
    </row>
    <row r="2337" spans="1:11" x14ac:dyDescent="0.2">
      <c r="A2337" s="1" t="s">
        <v>4994</v>
      </c>
      <c r="B2337" s="1" t="s">
        <v>2925</v>
      </c>
      <c r="C2337" s="1"/>
      <c r="D2337" s="1"/>
      <c r="E2337" s="1"/>
      <c r="F2337" s="1"/>
      <c r="G2337" s="1"/>
      <c r="H2337" s="1" t="str">
        <f>"7804627030098"</f>
        <v>7804627030098</v>
      </c>
      <c r="I2337" s="3">
        <v>0</v>
      </c>
      <c r="J2337" s="3">
        <v>0</v>
      </c>
      <c r="K2337" s="3">
        <v>2000</v>
      </c>
    </row>
    <row r="2338" spans="1:11" x14ac:dyDescent="0.2">
      <c r="A2338" s="1" t="s">
        <v>4994</v>
      </c>
      <c r="B2338" s="1" t="s">
        <v>2926</v>
      </c>
      <c r="C2338" s="1"/>
      <c r="D2338" s="1"/>
      <c r="E2338" s="1"/>
      <c r="F2338" s="1"/>
      <c r="G2338" s="1"/>
      <c r="H2338" s="1" t="str">
        <f>"7805854000106"</f>
        <v>7805854000106</v>
      </c>
      <c r="I2338" s="3">
        <v>0</v>
      </c>
      <c r="J2338" s="3">
        <v>0</v>
      </c>
      <c r="K2338" s="3">
        <v>2000</v>
      </c>
    </row>
    <row r="2339" spans="1:11" x14ac:dyDescent="0.2">
      <c r="A2339" s="1" t="s">
        <v>4994</v>
      </c>
      <c r="B2339" s="1" t="s">
        <v>2927</v>
      </c>
      <c r="C2339" s="1"/>
      <c r="D2339" s="1"/>
      <c r="E2339" s="1"/>
      <c r="F2339" s="1"/>
      <c r="G2339" s="1"/>
      <c r="H2339" s="1" t="str">
        <f>"7805854000434"</f>
        <v>7805854000434</v>
      </c>
      <c r="I2339" s="3">
        <v>0</v>
      </c>
      <c r="J2339" s="3">
        <v>0</v>
      </c>
      <c r="K2339" s="3">
        <v>2000</v>
      </c>
    </row>
    <row r="2340" spans="1:11" x14ac:dyDescent="0.2">
      <c r="A2340" s="1" t="s">
        <v>4994</v>
      </c>
      <c r="B2340" s="1" t="s">
        <v>2928</v>
      </c>
      <c r="C2340" s="1"/>
      <c r="D2340" s="1"/>
      <c r="E2340" s="1"/>
      <c r="F2340" s="1"/>
      <c r="G2340" s="1"/>
      <c r="H2340" s="1" t="str">
        <f>"7804945002494"</f>
        <v>7804945002494</v>
      </c>
      <c r="I2340" s="3">
        <v>0</v>
      </c>
      <c r="J2340" s="3">
        <v>0</v>
      </c>
      <c r="K2340" s="3">
        <v>3500</v>
      </c>
    </row>
    <row r="2341" spans="1:11" x14ac:dyDescent="0.2">
      <c r="A2341" s="1" t="s">
        <v>4994</v>
      </c>
      <c r="B2341" s="1" t="s">
        <v>2929</v>
      </c>
      <c r="C2341" s="1"/>
      <c r="D2341" s="1"/>
      <c r="E2341" s="1"/>
      <c r="F2341" s="1"/>
      <c r="G2341" s="1"/>
      <c r="H2341" s="1" t="str">
        <f>"6927804581051"</f>
        <v>6927804581051</v>
      </c>
      <c r="I2341" s="3">
        <v>0</v>
      </c>
      <c r="J2341" s="3">
        <v>0</v>
      </c>
      <c r="K2341" s="3">
        <v>2500</v>
      </c>
    </row>
    <row r="2342" spans="1:11" x14ac:dyDescent="0.2">
      <c r="A2342" s="1" t="s">
        <v>4994</v>
      </c>
      <c r="B2342" s="1" t="s">
        <v>2930</v>
      </c>
      <c r="C2342" s="1"/>
      <c r="D2342" s="1"/>
      <c r="E2342" s="1"/>
      <c r="F2342" s="1"/>
      <c r="G2342" s="1"/>
      <c r="H2342" s="1" t="str">
        <f>"7806125581010"</f>
        <v>7806125581010</v>
      </c>
      <c r="I2342" s="3">
        <v>0</v>
      </c>
      <c r="J2342" s="3">
        <v>0</v>
      </c>
      <c r="K2342" s="3">
        <v>2000</v>
      </c>
    </row>
    <row r="2343" spans="1:11" x14ac:dyDescent="0.2">
      <c r="A2343" s="1" t="s">
        <v>4994</v>
      </c>
      <c r="B2343" s="1" t="s">
        <v>2931</v>
      </c>
      <c r="C2343" s="1"/>
      <c r="D2343" s="1"/>
      <c r="E2343" s="1"/>
      <c r="F2343" s="1"/>
      <c r="G2343" s="1"/>
      <c r="H2343" s="1" t="str">
        <f>"765439876489"</f>
        <v>765439876489</v>
      </c>
      <c r="I2343" s="3">
        <v>0</v>
      </c>
      <c r="J2343" s="3">
        <v>0</v>
      </c>
      <c r="K2343" s="3">
        <v>2500</v>
      </c>
    </row>
    <row r="2344" spans="1:11" x14ac:dyDescent="0.2">
      <c r="A2344" s="1" t="s">
        <v>4994</v>
      </c>
      <c r="B2344" s="1" t="s">
        <v>2936</v>
      </c>
      <c r="C2344" s="1"/>
      <c r="D2344" s="1"/>
      <c r="E2344" s="1"/>
      <c r="F2344" s="1"/>
      <c r="G2344" s="1"/>
      <c r="H2344" s="1" t="str">
        <f>"7800044000676"</f>
        <v>7800044000676</v>
      </c>
      <c r="I2344" s="3">
        <v>10</v>
      </c>
      <c r="J2344" s="3">
        <v>0</v>
      </c>
      <c r="K2344" s="3">
        <v>1000</v>
      </c>
    </row>
    <row r="2345" spans="1:11" x14ac:dyDescent="0.2">
      <c r="A2345" s="1" t="s">
        <v>4994</v>
      </c>
      <c r="B2345" s="1" t="s">
        <v>2937</v>
      </c>
      <c r="C2345" s="1"/>
      <c r="D2345" s="1"/>
      <c r="E2345" s="1"/>
      <c r="F2345" s="1"/>
      <c r="G2345" s="1"/>
      <c r="H2345" s="1" t="str">
        <f>"7800044000683"</f>
        <v>7800044000683</v>
      </c>
      <c r="I2345" s="3">
        <v>0</v>
      </c>
      <c r="J2345" s="3">
        <v>0</v>
      </c>
      <c r="K2345" s="3">
        <v>1000</v>
      </c>
    </row>
    <row r="2346" spans="1:11" x14ac:dyDescent="0.2">
      <c r="A2346" s="1" t="s">
        <v>4994</v>
      </c>
      <c r="B2346" s="1" t="s">
        <v>2938</v>
      </c>
      <c r="C2346" s="1"/>
      <c r="D2346" s="1"/>
      <c r="E2346" s="1"/>
      <c r="F2346" s="1"/>
      <c r="G2346" s="1"/>
      <c r="H2346" s="1" t="str">
        <f>"7800044000669"</f>
        <v>7800044000669</v>
      </c>
      <c r="I2346" s="3">
        <v>15</v>
      </c>
      <c r="J2346" s="3">
        <v>0</v>
      </c>
      <c r="K2346" s="3">
        <v>1000</v>
      </c>
    </row>
    <row r="2347" spans="1:11" x14ac:dyDescent="0.2">
      <c r="A2347" s="1" t="s">
        <v>4994</v>
      </c>
      <c r="B2347" s="1" t="s">
        <v>2939</v>
      </c>
      <c r="C2347" s="1"/>
      <c r="D2347" s="1"/>
      <c r="E2347" s="1"/>
      <c r="F2347" s="1"/>
      <c r="G2347" s="1"/>
      <c r="H2347" s="1" t="str">
        <f>"7800044000249"</f>
        <v>7800044000249</v>
      </c>
      <c r="I2347" s="3">
        <v>16</v>
      </c>
      <c r="J2347" s="3">
        <v>0</v>
      </c>
      <c r="K2347" s="3">
        <v>1000</v>
      </c>
    </row>
    <row r="2348" spans="1:11" x14ac:dyDescent="0.2">
      <c r="A2348" s="1" t="s">
        <v>4994</v>
      </c>
      <c r="B2348" s="1" t="s">
        <v>2940</v>
      </c>
      <c r="C2348" s="1"/>
      <c r="D2348" s="1"/>
      <c r="E2348" s="1"/>
      <c r="F2348" s="1"/>
      <c r="G2348" s="1"/>
      <c r="H2348" s="1" t="str">
        <f>"7805357004212"</f>
        <v>7805357004212</v>
      </c>
      <c r="I2348" s="3">
        <v>53</v>
      </c>
      <c r="J2348" s="3">
        <v>0</v>
      </c>
      <c r="K2348" s="3">
        <v>800</v>
      </c>
    </row>
    <row r="2349" spans="1:11" x14ac:dyDescent="0.2">
      <c r="A2349" s="1" t="s">
        <v>4994</v>
      </c>
      <c r="B2349" s="1" t="s">
        <v>2941</v>
      </c>
      <c r="C2349" s="1"/>
      <c r="D2349" s="1"/>
      <c r="E2349" s="1"/>
      <c r="F2349" s="1"/>
      <c r="G2349" s="1"/>
      <c r="H2349" s="1" t="str">
        <f>"7803319004546"</f>
        <v>7803319004546</v>
      </c>
      <c r="I2349" s="3">
        <v>0</v>
      </c>
      <c r="J2349" s="3">
        <v>0</v>
      </c>
      <c r="K2349" s="3">
        <v>5300</v>
      </c>
    </row>
    <row r="2350" spans="1:11" x14ac:dyDescent="0.2">
      <c r="A2350" s="1" t="s">
        <v>4994</v>
      </c>
      <c r="B2350" s="1" t="s">
        <v>2942</v>
      </c>
      <c r="C2350" s="1"/>
      <c r="D2350" s="1"/>
      <c r="E2350" s="1"/>
      <c r="F2350" s="1"/>
      <c r="G2350" s="1"/>
      <c r="H2350" s="1" t="str">
        <f>"6941819748773"</f>
        <v>6941819748773</v>
      </c>
      <c r="I2350" s="3">
        <v>0</v>
      </c>
      <c r="J2350" s="3">
        <v>0</v>
      </c>
      <c r="K2350" s="3">
        <v>2000</v>
      </c>
    </row>
    <row r="2351" spans="1:11" x14ac:dyDescent="0.2">
      <c r="A2351" s="1" t="s">
        <v>4994</v>
      </c>
      <c r="B2351" s="1" t="s">
        <v>2943</v>
      </c>
      <c r="C2351" s="1"/>
      <c r="D2351" s="1"/>
      <c r="E2351" s="1"/>
      <c r="F2351" s="1"/>
      <c r="G2351" s="1"/>
      <c r="H2351" s="1" t="str">
        <f>"070330717565"</f>
        <v>070330717565</v>
      </c>
      <c r="I2351" s="3">
        <v>0</v>
      </c>
      <c r="J2351" s="3">
        <v>0</v>
      </c>
      <c r="K2351" s="3">
        <v>1000</v>
      </c>
    </row>
    <row r="2352" spans="1:11" x14ac:dyDescent="0.2">
      <c r="A2352" s="1" t="s">
        <v>4994</v>
      </c>
      <c r="B2352" s="1" t="s">
        <v>2944</v>
      </c>
      <c r="C2352" s="1"/>
      <c r="D2352" s="1"/>
      <c r="E2352" s="1"/>
      <c r="F2352" s="1"/>
      <c r="G2352" s="1"/>
      <c r="H2352" s="1" t="str">
        <f>"070330717527"</f>
        <v>070330717527</v>
      </c>
      <c r="I2352" s="3">
        <v>0</v>
      </c>
      <c r="J2352" s="3">
        <v>0</v>
      </c>
      <c r="K2352" s="3">
        <v>2000</v>
      </c>
    </row>
    <row r="2353" spans="1:11" x14ac:dyDescent="0.2">
      <c r="A2353" s="1" t="s">
        <v>4994</v>
      </c>
      <c r="B2353" s="1" t="s">
        <v>2945</v>
      </c>
      <c r="C2353" s="1"/>
      <c r="D2353" s="1"/>
      <c r="E2353" s="1"/>
      <c r="F2353" s="1"/>
      <c r="G2353" s="1"/>
      <c r="H2353" s="1" t="str">
        <f>"070330731769"</f>
        <v>070330731769</v>
      </c>
      <c r="I2353" s="3">
        <v>0</v>
      </c>
      <c r="J2353" s="3">
        <v>0</v>
      </c>
      <c r="K2353" s="3">
        <v>2000</v>
      </c>
    </row>
    <row r="2354" spans="1:11" x14ac:dyDescent="0.2">
      <c r="A2354" s="1" t="s">
        <v>4994</v>
      </c>
      <c r="B2354" s="1" t="s">
        <v>2946</v>
      </c>
      <c r="C2354" s="1"/>
      <c r="D2354" s="1"/>
      <c r="E2354" s="1"/>
      <c r="F2354" s="1"/>
      <c r="G2354" s="1"/>
      <c r="H2354" s="1" t="str">
        <f>"070330731806"</f>
        <v>070330731806</v>
      </c>
      <c r="I2354" s="3">
        <v>0</v>
      </c>
      <c r="J2354" s="3">
        <v>0</v>
      </c>
      <c r="K2354" s="3">
        <v>1000</v>
      </c>
    </row>
    <row r="2355" spans="1:11" x14ac:dyDescent="0.2">
      <c r="A2355" s="1" t="s">
        <v>4994</v>
      </c>
      <c r="B2355" s="1" t="s">
        <v>2947</v>
      </c>
      <c r="C2355" s="1"/>
      <c r="D2355" s="1"/>
      <c r="E2355" s="1"/>
      <c r="F2355" s="1"/>
      <c r="G2355" s="1"/>
      <c r="H2355" s="1" t="str">
        <f>"78016118"</f>
        <v>78016118</v>
      </c>
      <c r="I2355" s="3">
        <v>0</v>
      </c>
      <c r="J2355" s="3">
        <v>0</v>
      </c>
      <c r="K2355" s="3">
        <v>500</v>
      </c>
    </row>
    <row r="2356" spans="1:11" x14ac:dyDescent="0.2">
      <c r="A2356" s="1" t="s">
        <v>4994</v>
      </c>
      <c r="B2356" s="1" t="s">
        <v>2948</v>
      </c>
      <c r="C2356" s="1"/>
      <c r="D2356" s="1"/>
      <c r="E2356" s="1"/>
      <c r="F2356" s="1"/>
      <c r="G2356" s="1"/>
      <c r="H2356" s="1" t="str">
        <f>"7500435230599"</f>
        <v>7500435230599</v>
      </c>
      <c r="I2356" s="3">
        <v>0</v>
      </c>
      <c r="J2356" s="3">
        <v>0</v>
      </c>
      <c r="K2356" s="3">
        <v>1500</v>
      </c>
    </row>
    <row r="2357" spans="1:11" x14ac:dyDescent="0.2">
      <c r="A2357" s="1" t="s">
        <v>4994</v>
      </c>
      <c r="B2357" s="1" t="s">
        <v>2949</v>
      </c>
      <c r="C2357" s="1"/>
      <c r="D2357" s="1"/>
      <c r="E2357" s="1"/>
      <c r="F2357" s="1"/>
      <c r="G2357" s="1"/>
      <c r="H2357" s="1" t="str">
        <f>"841058022442"</f>
        <v>841058022442</v>
      </c>
      <c r="I2357" s="3">
        <v>0</v>
      </c>
      <c r="J2357" s="3">
        <v>0</v>
      </c>
      <c r="K2357" s="3">
        <v>6000</v>
      </c>
    </row>
    <row r="2358" spans="1:11" x14ac:dyDescent="0.2">
      <c r="A2358" s="1" t="s">
        <v>4994</v>
      </c>
      <c r="B2358" s="1" t="s">
        <v>2950</v>
      </c>
      <c r="C2358" s="1"/>
      <c r="D2358" s="1"/>
      <c r="E2358" s="1"/>
      <c r="F2358" s="1"/>
      <c r="G2358" s="1"/>
      <c r="H2358" s="1" t="str">
        <f>"7800046004849"</f>
        <v>7800046004849</v>
      </c>
      <c r="I2358" s="3">
        <v>39</v>
      </c>
      <c r="J2358" s="3">
        <v>0</v>
      </c>
      <c r="K2358" s="3">
        <v>4000</v>
      </c>
    </row>
    <row r="2359" spans="1:11" x14ac:dyDescent="0.2">
      <c r="A2359" s="1" t="s">
        <v>4994</v>
      </c>
      <c r="B2359" s="1" t="s">
        <v>2951</v>
      </c>
      <c r="C2359" s="1"/>
      <c r="D2359" s="1"/>
      <c r="E2359" s="1"/>
      <c r="F2359" s="1"/>
      <c r="G2359" s="1"/>
      <c r="H2359" s="1" t="str">
        <f>"7709312398722"</f>
        <v>7709312398722</v>
      </c>
      <c r="I2359" s="3">
        <v>0</v>
      </c>
      <c r="J2359" s="3">
        <v>0</v>
      </c>
      <c r="K2359" s="3">
        <v>3000</v>
      </c>
    </row>
    <row r="2360" spans="1:11" x14ac:dyDescent="0.2">
      <c r="A2360" s="1" t="s">
        <v>4994</v>
      </c>
      <c r="B2360" s="1" t="s">
        <v>2952</v>
      </c>
      <c r="C2360" s="1"/>
      <c r="D2360" s="1"/>
      <c r="E2360" s="1"/>
      <c r="F2360" s="1"/>
      <c r="G2360" s="1"/>
      <c r="H2360" s="1" t="str">
        <f>"7898466608242"</f>
        <v>7898466608242</v>
      </c>
      <c r="I2360" s="3">
        <v>0</v>
      </c>
      <c r="J2360" s="3">
        <v>0</v>
      </c>
      <c r="K2360" s="3">
        <v>15000</v>
      </c>
    </row>
    <row r="2361" spans="1:11" x14ac:dyDescent="0.2">
      <c r="A2361" s="1" t="s">
        <v>4994</v>
      </c>
      <c r="B2361" s="1" t="s">
        <v>2953</v>
      </c>
      <c r="C2361" s="1"/>
      <c r="D2361" s="1"/>
      <c r="E2361" s="1"/>
      <c r="F2361" s="1"/>
      <c r="G2361" s="1"/>
      <c r="H2361" s="1" t="str">
        <f>"FVMPAAP"</f>
        <v>FVMPAAP</v>
      </c>
      <c r="I2361" s="3">
        <v>0</v>
      </c>
      <c r="J2361" s="3">
        <v>0</v>
      </c>
      <c r="K2361" s="3">
        <v>3000</v>
      </c>
    </row>
    <row r="2362" spans="1:11" x14ac:dyDescent="0.2">
      <c r="A2362" s="1" t="s">
        <v>4994</v>
      </c>
      <c r="B2362" s="1" t="s">
        <v>2954</v>
      </c>
      <c r="C2362" s="1"/>
      <c r="D2362" s="1"/>
      <c r="E2362" s="1"/>
      <c r="F2362" s="1"/>
      <c r="G2362" s="1"/>
      <c r="H2362" s="1" t="str">
        <f>"7709631362169"</f>
        <v>7709631362169</v>
      </c>
      <c r="I2362" s="3">
        <v>0</v>
      </c>
      <c r="J2362" s="3">
        <v>0</v>
      </c>
      <c r="K2362" s="3">
        <v>3000</v>
      </c>
    </row>
    <row r="2363" spans="1:11" x14ac:dyDescent="0.2">
      <c r="A2363" s="1" t="s">
        <v>4994</v>
      </c>
      <c r="B2363" s="1" t="s">
        <v>2955</v>
      </c>
      <c r="C2363" s="1"/>
      <c r="D2363" s="1"/>
      <c r="E2363" s="1"/>
      <c r="F2363" s="1"/>
      <c r="G2363" s="1"/>
      <c r="H2363" s="1" t="str">
        <f>"41554493856"</f>
        <v>41554493856</v>
      </c>
      <c r="I2363" s="3">
        <v>0</v>
      </c>
      <c r="J2363" s="3">
        <v>0</v>
      </c>
      <c r="K2363" s="3">
        <v>10000</v>
      </c>
    </row>
    <row r="2364" spans="1:11" x14ac:dyDescent="0.2">
      <c r="A2364" s="1" t="s">
        <v>4994</v>
      </c>
      <c r="B2364" s="1" t="s">
        <v>2956</v>
      </c>
      <c r="C2364" s="1"/>
      <c r="D2364" s="1"/>
      <c r="E2364" s="1"/>
      <c r="F2364" s="1"/>
      <c r="G2364" s="1"/>
      <c r="H2364" s="1" t="str">
        <f>"7509552840261"</f>
        <v>7509552840261</v>
      </c>
      <c r="I2364" s="3">
        <v>0</v>
      </c>
      <c r="J2364" s="3">
        <v>0</v>
      </c>
      <c r="K2364" s="3">
        <v>5500</v>
      </c>
    </row>
    <row r="2365" spans="1:11" x14ac:dyDescent="0.2">
      <c r="A2365" s="1" t="s">
        <v>4994</v>
      </c>
      <c r="B2365" s="1" t="s">
        <v>2957</v>
      </c>
      <c r="C2365" s="1"/>
      <c r="D2365" s="1"/>
      <c r="E2365" s="1"/>
      <c r="F2365" s="1"/>
      <c r="G2365" s="1"/>
      <c r="H2365" s="1" t="str">
        <f>"FVMPPAP"</f>
        <v>FVMPPAP</v>
      </c>
      <c r="I2365" s="3">
        <v>0</v>
      </c>
      <c r="J2365" s="3">
        <v>0</v>
      </c>
      <c r="K2365" s="3">
        <v>4500</v>
      </c>
    </row>
    <row r="2366" spans="1:11" x14ac:dyDescent="0.2">
      <c r="A2366" s="1" t="s">
        <v>4994</v>
      </c>
      <c r="B2366" s="1" t="s">
        <v>2958</v>
      </c>
      <c r="C2366" s="1"/>
      <c r="D2366" s="1"/>
      <c r="E2366" s="1"/>
      <c r="F2366" s="1"/>
      <c r="G2366" s="1"/>
      <c r="H2366" s="1" t="str">
        <f>"7804907932838"</f>
        <v>7804907932838</v>
      </c>
      <c r="I2366" s="3">
        <v>0</v>
      </c>
      <c r="J2366" s="3">
        <v>0</v>
      </c>
      <c r="K2366" s="3">
        <v>5000</v>
      </c>
    </row>
    <row r="2367" spans="1:11" x14ac:dyDescent="0.2">
      <c r="A2367" s="1" t="s">
        <v>4994</v>
      </c>
      <c r="B2367" s="1" t="s">
        <v>2959</v>
      </c>
      <c r="C2367" s="1"/>
      <c r="D2367" s="1"/>
      <c r="E2367" s="1"/>
      <c r="F2367" s="1"/>
      <c r="G2367" s="1"/>
      <c r="H2367" s="1" t="str">
        <f>"7702433228862"</f>
        <v>7702433228862</v>
      </c>
      <c r="I2367" s="3">
        <v>0</v>
      </c>
      <c r="J2367" s="3">
        <v>0</v>
      </c>
      <c r="K2367" s="3">
        <v>4000</v>
      </c>
    </row>
    <row r="2368" spans="1:11" x14ac:dyDescent="0.2">
      <c r="A2368" s="1" t="s">
        <v>4994</v>
      </c>
      <c r="B2368" s="1" t="s">
        <v>2960</v>
      </c>
      <c r="C2368" s="1"/>
      <c r="D2368" s="1"/>
      <c r="E2368" s="1"/>
      <c r="F2368" s="1"/>
      <c r="G2368" s="1"/>
      <c r="H2368" s="1" t="str">
        <f>"3600523591831"</f>
        <v>3600523591831</v>
      </c>
      <c r="I2368" s="3">
        <v>0</v>
      </c>
      <c r="J2368" s="3">
        <v>0</v>
      </c>
      <c r="K2368" s="3">
        <v>12500</v>
      </c>
    </row>
    <row r="2369" spans="1:11" x14ac:dyDescent="0.2">
      <c r="A2369" s="1" t="s">
        <v>4994</v>
      </c>
      <c r="B2369" s="1" t="s">
        <v>2961</v>
      </c>
      <c r="C2369" s="1"/>
      <c r="D2369" s="1"/>
      <c r="E2369" s="1"/>
      <c r="F2369" s="1"/>
      <c r="G2369" s="1"/>
      <c r="H2369" s="1" t="str">
        <f>"30179493"</f>
        <v>30179493</v>
      </c>
      <c r="I2369" s="3">
        <v>0</v>
      </c>
      <c r="J2369" s="3">
        <v>0</v>
      </c>
      <c r="K2369" s="3">
        <v>10000</v>
      </c>
    </row>
    <row r="2370" spans="1:11" x14ac:dyDescent="0.2">
      <c r="A2370" s="1" t="s">
        <v>4994</v>
      </c>
      <c r="B2370" s="1" t="s">
        <v>2962</v>
      </c>
      <c r="C2370" s="1"/>
      <c r="D2370" s="1"/>
      <c r="E2370" s="1"/>
      <c r="F2370" s="1"/>
      <c r="G2370" s="1"/>
      <c r="H2370" s="1" t="str">
        <f>"7708133635382"</f>
        <v>7708133635382</v>
      </c>
      <c r="I2370" s="3">
        <v>0</v>
      </c>
      <c r="J2370" s="3">
        <v>0</v>
      </c>
      <c r="K2370" s="3">
        <v>2500</v>
      </c>
    </row>
    <row r="2371" spans="1:11" x14ac:dyDescent="0.2">
      <c r="A2371" s="1" t="s">
        <v>4994</v>
      </c>
      <c r="B2371" s="1" t="s">
        <v>2963</v>
      </c>
      <c r="C2371" s="1"/>
      <c r="D2371" s="1"/>
      <c r="E2371" s="1"/>
      <c r="F2371" s="1"/>
      <c r="G2371" s="1"/>
      <c r="H2371" s="1" t="str">
        <f>"65673133"</f>
        <v>65673133</v>
      </c>
      <c r="I2371" s="3">
        <v>0</v>
      </c>
      <c r="J2371" s="3">
        <v>0</v>
      </c>
      <c r="K2371" s="3">
        <v>3500</v>
      </c>
    </row>
    <row r="2372" spans="1:11" x14ac:dyDescent="0.2">
      <c r="A2372" s="1" t="s">
        <v>4994</v>
      </c>
      <c r="B2372" s="1" t="s">
        <v>2964</v>
      </c>
      <c r="C2372" s="1"/>
      <c r="D2372" s="1"/>
      <c r="E2372" s="1"/>
      <c r="F2372" s="1"/>
      <c r="G2372" s="1"/>
      <c r="H2372" s="1" t="str">
        <f>"7509552903362"</f>
        <v>7509552903362</v>
      </c>
      <c r="I2372" s="3">
        <v>0</v>
      </c>
      <c r="J2372" s="3">
        <v>0</v>
      </c>
      <c r="K2372" s="3">
        <v>5000</v>
      </c>
    </row>
    <row r="2373" spans="1:11" x14ac:dyDescent="0.2">
      <c r="A2373" s="1" t="s">
        <v>4994</v>
      </c>
      <c r="B2373" s="1" t="s">
        <v>2965</v>
      </c>
      <c r="C2373" s="1"/>
      <c r="D2373" s="1"/>
      <c r="E2373" s="1"/>
      <c r="F2373" s="1"/>
      <c r="G2373" s="1"/>
      <c r="H2373" s="1" t="str">
        <f>"2010120020008"</f>
        <v>2010120020008</v>
      </c>
      <c r="I2373" s="3">
        <v>0</v>
      </c>
      <c r="J2373" s="3">
        <v>0</v>
      </c>
      <c r="K2373" s="3">
        <v>3500</v>
      </c>
    </row>
    <row r="2374" spans="1:11" x14ac:dyDescent="0.2">
      <c r="A2374" s="1" t="s">
        <v>4994</v>
      </c>
      <c r="B2374" s="1" t="s">
        <v>2966</v>
      </c>
      <c r="C2374" s="1"/>
      <c r="D2374" s="1"/>
      <c r="E2374" s="1"/>
      <c r="F2374" s="1"/>
      <c r="G2374" s="1"/>
      <c r="H2374" s="1" t="str">
        <f>"7805357007992"</f>
        <v>7805357007992</v>
      </c>
      <c r="I2374" s="3">
        <v>0</v>
      </c>
      <c r="J2374" s="3">
        <v>0</v>
      </c>
      <c r="K2374" s="3">
        <v>7500</v>
      </c>
    </row>
    <row r="2375" spans="1:11" x14ac:dyDescent="0.2">
      <c r="A2375" s="1" t="s">
        <v>4994</v>
      </c>
      <c r="B2375" s="1" t="s">
        <v>2967</v>
      </c>
      <c r="C2375" s="1"/>
      <c r="D2375" s="1"/>
      <c r="E2375" s="1"/>
      <c r="F2375" s="1"/>
      <c r="G2375" s="1"/>
      <c r="H2375" s="1" t="str">
        <f>"7803504005709"</f>
        <v>7803504005709</v>
      </c>
      <c r="I2375" s="3">
        <v>0</v>
      </c>
      <c r="J2375" s="3">
        <v>0</v>
      </c>
      <c r="K2375" s="3">
        <v>5000</v>
      </c>
    </row>
    <row r="2376" spans="1:11" x14ac:dyDescent="0.2">
      <c r="A2376" s="1" t="s">
        <v>4994</v>
      </c>
      <c r="B2376" s="1" t="s">
        <v>2968</v>
      </c>
      <c r="C2376" s="1"/>
      <c r="D2376" s="1"/>
      <c r="E2376" s="1"/>
      <c r="F2376" s="1"/>
      <c r="G2376" s="1"/>
      <c r="H2376" s="1" t="str">
        <f>"7501065025654"</f>
        <v>7501065025654</v>
      </c>
      <c r="I2376" s="3">
        <v>0</v>
      </c>
      <c r="J2376" s="3">
        <v>0</v>
      </c>
      <c r="K2376" s="3">
        <v>12000</v>
      </c>
    </row>
    <row r="2377" spans="1:11" x14ac:dyDescent="0.2">
      <c r="A2377" s="1" t="s">
        <v>4994</v>
      </c>
      <c r="B2377" s="1" t="s">
        <v>2969</v>
      </c>
      <c r="C2377" s="1"/>
      <c r="D2377" s="1"/>
      <c r="E2377" s="1"/>
      <c r="F2377" s="1"/>
      <c r="G2377" s="1"/>
      <c r="H2377" s="1" t="str">
        <f>"041554590913"</f>
        <v>041554590913</v>
      </c>
      <c r="I2377" s="3">
        <v>3</v>
      </c>
      <c r="J2377" s="3">
        <v>0</v>
      </c>
      <c r="K2377" s="3">
        <v>12500</v>
      </c>
    </row>
    <row r="2378" spans="1:11" x14ac:dyDescent="0.2">
      <c r="A2378" s="1" t="s">
        <v>4994</v>
      </c>
      <c r="B2378" s="1" t="s">
        <v>2970</v>
      </c>
      <c r="C2378" s="1"/>
      <c r="D2378" s="1"/>
      <c r="E2378" s="1"/>
      <c r="F2378" s="1"/>
      <c r="G2378" s="1"/>
      <c r="H2378" s="1" t="str">
        <f>"41554429909"</f>
        <v>41554429909</v>
      </c>
      <c r="I2378" s="3">
        <v>0</v>
      </c>
      <c r="J2378" s="3">
        <v>0</v>
      </c>
      <c r="K2378" s="3">
        <v>5000</v>
      </c>
    </row>
    <row r="2379" spans="1:11" x14ac:dyDescent="0.2">
      <c r="A2379" s="1" t="s">
        <v>4994</v>
      </c>
      <c r="B2379" s="1" t="s">
        <v>2971</v>
      </c>
      <c r="C2379" s="1"/>
      <c r="D2379" s="1"/>
      <c r="E2379" s="1"/>
      <c r="F2379" s="1"/>
      <c r="G2379" s="1"/>
      <c r="H2379" s="1" t="str">
        <f>"41554543698"</f>
        <v>41554543698</v>
      </c>
      <c r="I2379" s="3">
        <v>0</v>
      </c>
      <c r="J2379" s="3">
        <v>0</v>
      </c>
      <c r="K2379" s="3">
        <v>7500</v>
      </c>
    </row>
    <row r="2380" spans="1:11" x14ac:dyDescent="0.2">
      <c r="A2380" s="1" t="s">
        <v>4994</v>
      </c>
      <c r="B2380" s="1" t="s">
        <v>2972</v>
      </c>
      <c r="C2380" s="1"/>
      <c r="D2380" s="1"/>
      <c r="E2380" s="1"/>
      <c r="F2380" s="1"/>
      <c r="G2380" s="1"/>
      <c r="H2380" s="1" t="str">
        <f>"3600531543334"</f>
        <v>3600531543334</v>
      </c>
      <c r="I2380" s="3">
        <v>0</v>
      </c>
      <c r="J2380" s="3">
        <v>0</v>
      </c>
      <c r="K2380" s="3">
        <v>5500</v>
      </c>
    </row>
    <row r="2381" spans="1:11" x14ac:dyDescent="0.2">
      <c r="A2381" s="1" t="s">
        <v>4994</v>
      </c>
      <c r="B2381" s="1" t="s">
        <v>2973</v>
      </c>
      <c r="C2381" s="1"/>
      <c r="D2381" s="1"/>
      <c r="E2381" s="1"/>
      <c r="F2381" s="1"/>
      <c r="G2381" s="1"/>
      <c r="H2381" s="1" t="str">
        <f>"41554197044"</f>
        <v>41554197044</v>
      </c>
      <c r="I2381" s="3">
        <v>0</v>
      </c>
      <c r="J2381" s="3">
        <v>0</v>
      </c>
      <c r="K2381" s="3">
        <v>11000</v>
      </c>
    </row>
    <row r="2382" spans="1:11" x14ac:dyDescent="0.2">
      <c r="A2382" s="1" t="s">
        <v>4994</v>
      </c>
      <c r="B2382" s="1" t="s">
        <v>2974</v>
      </c>
      <c r="C2382" s="1"/>
      <c r="D2382" s="1"/>
      <c r="E2382" s="1"/>
      <c r="F2382" s="1"/>
      <c r="G2382" s="1"/>
      <c r="H2382" s="1" t="str">
        <f>"41554590913"</f>
        <v>41554590913</v>
      </c>
      <c r="I2382" s="3">
        <v>0</v>
      </c>
      <c r="J2382" s="3">
        <v>0</v>
      </c>
      <c r="K2382" s="3">
        <v>12500</v>
      </c>
    </row>
    <row r="2383" spans="1:11" x14ac:dyDescent="0.2">
      <c r="A2383" s="1" t="s">
        <v>4994</v>
      </c>
      <c r="B2383" s="1" t="s">
        <v>2985</v>
      </c>
      <c r="C2383" s="1"/>
      <c r="D2383" s="1"/>
      <c r="E2383" s="1"/>
      <c r="F2383" s="1"/>
      <c r="G2383" s="1"/>
      <c r="H2383" s="1" t="str">
        <f>"41554237726"</f>
        <v>41554237726</v>
      </c>
      <c r="I2383" s="3">
        <v>0</v>
      </c>
      <c r="J2383" s="3">
        <v>0</v>
      </c>
      <c r="K2383" s="3">
        <v>8500</v>
      </c>
    </row>
    <row r="2384" spans="1:11" x14ac:dyDescent="0.2">
      <c r="A2384" s="1" t="s">
        <v>4994</v>
      </c>
      <c r="B2384" s="1" t="s">
        <v>2986</v>
      </c>
      <c r="C2384" s="1"/>
      <c r="D2384" s="1"/>
      <c r="E2384" s="1"/>
      <c r="F2384" s="1"/>
      <c r="G2384" s="1"/>
      <c r="H2384" s="1" t="str">
        <f>"41554541502"</f>
        <v>41554541502</v>
      </c>
      <c r="I2384" s="3">
        <v>0</v>
      </c>
      <c r="J2384" s="3">
        <v>0</v>
      </c>
      <c r="K2384" s="3">
        <v>10000</v>
      </c>
    </row>
    <row r="2385" spans="1:11" x14ac:dyDescent="0.2">
      <c r="A2385" s="1" t="s">
        <v>4994</v>
      </c>
      <c r="B2385" s="1" t="s">
        <v>2987</v>
      </c>
      <c r="C2385" s="1"/>
      <c r="D2385" s="1"/>
      <c r="E2385" s="1"/>
      <c r="F2385" s="1"/>
      <c r="G2385" s="1"/>
      <c r="H2385" s="1" t="str">
        <f>"041554590500"</f>
        <v>041554590500</v>
      </c>
      <c r="I2385" s="3">
        <v>3</v>
      </c>
      <c r="J2385" s="3">
        <v>0</v>
      </c>
      <c r="K2385" s="3">
        <v>12500</v>
      </c>
    </row>
    <row r="2386" spans="1:11" x14ac:dyDescent="0.2">
      <c r="A2386" s="1" t="s">
        <v>4994</v>
      </c>
      <c r="B2386" s="1" t="s">
        <v>2988</v>
      </c>
      <c r="C2386" s="1"/>
      <c r="D2386" s="1"/>
      <c r="E2386" s="1"/>
      <c r="F2386" s="1"/>
      <c r="G2386" s="1"/>
      <c r="H2386" s="1" t="str">
        <f>"7804972313051"</f>
        <v>7804972313051</v>
      </c>
      <c r="I2386" s="3">
        <v>0</v>
      </c>
      <c r="J2386" s="3">
        <v>0</v>
      </c>
      <c r="K2386" s="3">
        <v>4000</v>
      </c>
    </row>
    <row r="2387" spans="1:11" x14ac:dyDescent="0.2">
      <c r="A2387" s="1" t="s">
        <v>4994</v>
      </c>
      <c r="B2387" s="1" t="s">
        <v>2989</v>
      </c>
      <c r="C2387" s="1"/>
      <c r="D2387" s="1"/>
      <c r="E2387" s="1"/>
      <c r="F2387" s="1"/>
      <c r="G2387" s="1"/>
      <c r="H2387" s="1" t="str">
        <f>"7800063110905"</f>
        <v>7800063110905</v>
      </c>
      <c r="I2387" s="3">
        <v>5</v>
      </c>
      <c r="J2387" s="3">
        <v>0</v>
      </c>
      <c r="K2387" s="3">
        <v>1000</v>
      </c>
    </row>
    <row r="2388" spans="1:11" x14ac:dyDescent="0.2">
      <c r="A2388" s="1" t="s">
        <v>4994</v>
      </c>
      <c r="B2388" s="1" t="s">
        <v>2991</v>
      </c>
      <c r="C2388" s="1"/>
      <c r="D2388" s="1"/>
      <c r="E2388" s="1"/>
      <c r="F2388" s="1"/>
      <c r="G2388" s="1"/>
      <c r="H2388" s="1" t="str">
        <f>"8000246003690"</f>
        <v>8000246003690</v>
      </c>
      <c r="I2388" s="3">
        <v>0</v>
      </c>
      <c r="J2388" s="3">
        <v>0</v>
      </c>
      <c r="K2388" s="3">
        <v>2500</v>
      </c>
    </row>
    <row r="2389" spans="1:11" x14ac:dyDescent="0.2">
      <c r="A2389" s="1" t="s">
        <v>4994</v>
      </c>
      <c r="B2389" s="1" t="s">
        <v>2992</v>
      </c>
      <c r="C2389" s="1"/>
      <c r="D2389" s="1"/>
      <c r="E2389" s="1"/>
      <c r="F2389" s="1"/>
      <c r="G2389" s="1"/>
      <c r="H2389" s="1" t="str">
        <f>"4717237992621"</f>
        <v>4717237992621</v>
      </c>
      <c r="I2389" s="3">
        <v>0</v>
      </c>
      <c r="J2389" s="3">
        <v>0</v>
      </c>
      <c r="K2389" s="3">
        <v>7000</v>
      </c>
    </row>
    <row r="2390" spans="1:11" x14ac:dyDescent="0.2">
      <c r="A2390" s="1" t="s">
        <v>4994</v>
      </c>
      <c r="B2390" s="1" t="s">
        <v>2993</v>
      </c>
      <c r="C2390" s="1"/>
      <c r="D2390" s="1"/>
      <c r="E2390" s="1"/>
      <c r="F2390" s="1"/>
      <c r="G2390" s="1"/>
      <c r="H2390" s="1" t="str">
        <f>"7804651931248"</f>
        <v>7804651931248</v>
      </c>
      <c r="I2390" s="3">
        <v>18</v>
      </c>
      <c r="J2390" s="3">
        <v>0</v>
      </c>
      <c r="K2390" s="3">
        <v>9500</v>
      </c>
    </row>
    <row r="2391" spans="1:11" x14ac:dyDescent="0.2">
      <c r="A2391" s="1" t="s">
        <v>4994</v>
      </c>
      <c r="B2391" s="1" t="s">
        <v>2994</v>
      </c>
      <c r="C2391" s="1"/>
      <c r="D2391" s="1"/>
      <c r="E2391" s="1"/>
      <c r="F2391" s="1"/>
      <c r="G2391" s="1"/>
      <c r="H2391" s="1" t="str">
        <f>"650240007019"</f>
        <v>650240007019</v>
      </c>
      <c r="I2391" s="3">
        <v>15</v>
      </c>
      <c r="J2391" s="3">
        <v>0</v>
      </c>
      <c r="K2391" s="3">
        <v>9500</v>
      </c>
    </row>
    <row r="2392" spans="1:11" x14ac:dyDescent="0.2">
      <c r="A2392" s="1" t="s">
        <v>4994</v>
      </c>
      <c r="B2392" s="1" t="s">
        <v>2995</v>
      </c>
      <c r="C2392" s="1"/>
      <c r="D2392" s="1"/>
      <c r="E2392" s="1"/>
      <c r="F2392" s="1"/>
      <c r="G2392" s="1"/>
      <c r="H2392" s="1" t="str">
        <f>"384840518803"</f>
        <v>384840518803</v>
      </c>
      <c r="I2392" s="3">
        <v>0</v>
      </c>
      <c r="J2392" s="3">
        <v>0</v>
      </c>
      <c r="K2392" s="3">
        <v>18000</v>
      </c>
    </row>
    <row r="2393" spans="1:11" x14ac:dyDescent="0.2">
      <c r="A2393" s="1" t="s">
        <v>4994</v>
      </c>
      <c r="B2393" s="1" t="s">
        <v>2996</v>
      </c>
      <c r="C2393" s="1"/>
      <c r="D2393" s="1"/>
      <c r="E2393" s="1"/>
      <c r="F2393" s="1"/>
      <c r="G2393" s="1"/>
      <c r="H2393" s="1" t="str">
        <f>"8411061705919"</f>
        <v>8411061705919</v>
      </c>
      <c r="I2393" s="3">
        <v>0</v>
      </c>
      <c r="J2393" s="3">
        <v>0</v>
      </c>
      <c r="K2393" s="3">
        <v>19000</v>
      </c>
    </row>
    <row r="2394" spans="1:11" x14ac:dyDescent="0.2">
      <c r="A2394" s="1" t="s">
        <v>4994</v>
      </c>
      <c r="B2394" s="1" t="s">
        <v>2998</v>
      </c>
      <c r="C2394" s="1"/>
      <c r="D2394" s="1"/>
      <c r="E2394" s="1"/>
      <c r="F2394" s="1"/>
      <c r="G2394" s="1"/>
      <c r="H2394" s="1" t="str">
        <f>"8000246003911"</f>
        <v>8000246003911</v>
      </c>
      <c r="I2394" s="3">
        <v>0</v>
      </c>
      <c r="J2394" s="3">
        <v>0</v>
      </c>
      <c r="K2394" s="3">
        <v>3000</v>
      </c>
    </row>
    <row r="2395" spans="1:11" x14ac:dyDescent="0.2">
      <c r="A2395" s="1" t="s">
        <v>4994</v>
      </c>
      <c r="B2395" s="1" t="s">
        <v>2999</v>
      </c>
      <c r="C2395" s="1"/>
      <c r="D2395" s="1"/>
      <c r="E2395" s="1"/>
      <c r="F2395" s="1"/>
      <c r="G2395" s="1"/>
      <c r="H2395" s="1" t="str">
        <f>"8000246003799"</f>
        <v>8000246003799</v>
      </c>
      <c r="I2395" s="3">
        <v>0</v>
      </c>
      <c r="J2395" s="3">
        <v>0</v>
      </c>
      <c r="K2395" s="3">
        <v>2000</v>
      </c>
    </row>
    <row r="2396" spans="1:11" x14ac:dyDescent="0.2">
      <c r="A2396" s="1" t="s">
        <v>4994</v>
      </c>
      <c r="B2396" s="1" t="s">
        <v>3000</v>
      </c>
      <c r="C2396" s="1"/>
      <c r="D2396" s="1"/>
      <c r="E2396" s="1"/>
      <c r="F2396" s="1"/>
      <c r="G2396" s="1"/>
      <c r="H2396" s="1" t="str">
        <f>"8000246003782"</f>
        <v>8000246003782</v>
      </c>
      <c r="I2396" s="3">
        <v>0</v>
      </c>
      <c r="J2396" s="3">
        <v>0</v>
      </c>
      <c r="K2396" s="3">
        <v>2500</v>
      </c>
    </row>
    <row r="2397" spans="1:11" x14ac:dyDescent="0.2">
      <c r="A2397" s="1" t="s">
        <v>4994</v>
      </c>
      <c r="B2397" s="1" t="s">
        <v>3001</v>
      </c>
      <c r="C2397" s="1"/>
      <c r="D2397" s="1"/>
      <c r="E2397" s="1"/>
      <c r="F2397" s="1"/>
      <c r="G2397" s="1"/>
      <c r="H2397" s="1" t="str">
        <f>"8000246003812"</f>
        <v>8000246003812</v>
      </c>
      <c r="I2397" s="3">
        <v>0</v>
      </c>
      <c r="J2397" s="3">
        <v>0</v>
      </c>
      <c r="K2397" s="3">
        <v>2500</v>
      </c>
    </row>
    <row r="2398" spans="1:11" x14ac:dyDescent="0.2">
      <c r="A2398" s="1" t="s">
        <v>4994</v>
      </c>
      <c r="B2398" s="1" t="s">
        <v>3002</v>
      </c>
      <c r="C2398" s="1"/>
      <c r="D2398" s="1"/>
      <c r="E2398" s="1"/>
      <c r="F2398" s="1"/>
      <c r="G2398" s="1"/>
      <c r="H2398" s="1" t="str">
        <f>"75613048303063"</f>
        <v>75613048303063</v>
      </c>
      <c r="I2398" s="3">
        <v>0</v>
      </c>
      <c r="J2398" s="3">
        <v>0</v>
      </c>
      <c r="K2398" s="3">
        <v>600</v>
      </c>
    </row>
    <row r="2399" spans="1:11" x14ac:dyDescent="0.2">
      <c r="A2399" s="1" t="s">
        <v>4994</v>
      </c>
      <c r="B2399" s="1" t="s">
        <v>3003</v>
      </c>
      <c r="C2399" s="1"/>
      <c r="D2399" s="1"/>
      <c r="E2399" s="1"/>
      <c r="F2399" s="1"/>
      <c r="G2399" s="1"/>
      <c r="H2399" s="1" t="str">
        <f>"8000246004130"</f>
        <v>8000246004130</v>
      </c>
      <c r="I2399" s="3">
        <v>0</v>
      </c>
      <c r="J2399" s="3">
        <v>0</v>
      </c>
      <c r="K2399" s="3">
        <v>8000</v>
      </c>
    </row>
    <row r="2400" spans="1:11" x14ac:dyDescent="0.2">
      <c r="A2400" s="1" t="s">
        <v>4994</v>
      </c>
      <c r="B2400" s="1" t="s">
        <v>3006</v>
      </c>
      <c r="C2400" s="1"/>
      <c r="D2400" s="1"/>
      <c r="E2400" s="1"/>
      <c r="F2400" s="1"/>
      <c r="G2400" s="1"/>
      <c r="H2400" s="1" t="str">
        <f>"7803501004422"</f>
        <v>7803501004422</v>
      </c>
      <c r="I2400" s="3">
        <v>10</v>
      </c>
      <c r="J2400" s="3">
        <v>0</v>
      </c>
      <c r="K2400" s="3">
        <v>6000</v>
      </c>
    </row>
    <row r="2401" spans="1:11" x14ac:dyDescent="0.2">
      <c r="A2401" s="1" t="s">
        <v>4994</v>
      </c>
      <c r="B2401" s="1" t="s">
        <v>3008</v>
      </c>
      <c r="C2401" s="1"/>
      <c r="D2401" s="1"/>
      <c r="E2401" s="1"/>
      <c r="F2401" s="1"/>
      <c r="G2401" s="1"/>
      <c r="H2401" s="1" t="str">
        <f>"7804673040447"</f>
        <v>7804673040447</v>
      </c>
      <c r="I2401" s="3">
        <v>27</v>
      </c>
      <c r="J2401" s="3">
        <v>0</v>
      </c>
      <c r="K2401" s="3">
        <v>1500</v>
      </c>
    </row>
    <row r="2402" spans="1:11" x14ac:dyDescent="0.2">
      <c r="A2402" s="1" t="s">
        <v>4994</v>
      </c>
      <c r="B2402" s="1" t="s">
        <v>3011</v>
      </c>
      <c r="C2402" s="1"/>
      <c r="D2402" s="1"/>
      <c r="E2402" s="1"/>
      <c r="F2402" s="1"/>
      <c r="G2402" s="1"/>
      <c r="H2402" s="1" t="str">
        <f>"7803504000247"</f>
        <v>7803504000247</v>
      </c>
      <c r="I2402" s="3">
        <v>19</v>
      </c>
      <c r="J2402" s="3">
        <v>0</v>
      </c>
      <c r="K2402" s="3">
        <v>3000</v>
      </c>
    </row>
    <row r="2403" spans="1:11" x14ac:dyDescent="0.2">
      <c r="A2403" s="1" t="s">
        <v>4994</v>
      </c>
      <c r="B2403" s="1" t="s">
        <v>3012</v>
      </c>
      <c r="C2403" s="1"/>
      <c r="D2403" s="1"/>
      <c r="E2403" s="1"/>
      <c r="F2403" s="1"/>
      <c r="G2403" s="1"/>
      <c r="H2403" s="1" t="str">
        <f>"7803504000254"</f>
        <v>7803504000254</v>
      </c>
      <c r="I2403" s="3">
        <v>60</v>
      </c>
      <c r="J2403" s="3">
        <v>0</v>
      </c>
      <c r="K2403" s="3">
        <v>3500</v>
      </c>
    </row>
    <row r="2404" spans="1:11" x14ac:dyDescent="0.2">
      <c r="A2404" s="1" t="s">
        <v>4994</v>
      </c>
      <c r="B2404" s="1" t="s">
        <v>3013</v>
      </c>
      <c r="C2404" s="1"/>
      <c r="D2404" s="1"/>
      <c r="E2404" s="1"/>
      <c r="F2404" s="1"/>
      <c r="G2404" s="1"/>
      <c r="H2404" s="1" t="str">
        <f>"7803504001756"</f>
        <v>7803504001756</v>
      </c>
      <c r="I2404" s="3">
        <v>0</v>
      </c>
      <c r="J2404" s="3">
        <v>0</v>
      </c>
      <c r="K2404" s="3">
        <v>3500</v>
      </c>
    </row>
    <row r="2405" spans="1:11" x14ac:dyDescent="0.2">
      <c r="A2405" s="1" t="s">
        <v>4994</v>
      </c>
      <c r="B2405" s="1" t="s">
        <v>3014</v>
      </c>
      <c r="C2405" s="1"/>
      <c r="D2405" s="1"/>
      <c r="E2405" s="1"/>
      <c r="F2405" s="1"/>
      <c r="G2405" s="1"/>
      <c r="H2405" s="1" t="str">
        <f>"7803504001701"</f>
        <v>7803504001701</v>
      </c>
      <c r="I2405" s="3">
        <v>8</v>
      </c>
      <c r="J2405" s="3">
        <v>0</v>
      </c>
      <c r="K2405" s="3">
        <v>6500</v>
      </c>
    </row>
    <row r="2406" spans="1:11" x14ac:dyDescent="0.2">
      <c r="A2406" s="1" t="s">
        <v>4994</v>
      </c>
      <c r="B2406" s="1" t="s">
        <v>3015</v>
      </c>
      <c r="C2406" s="1"/>
      <c r="D2406" s="1"/>
      <c r="E2406" s="1"/>
      <c r="F2406" s="1"/>
      <c r="G2406" s="1"/>
      <c r="H2406" s="1" t="str">
        <f>"7804620835164"</f>
        <v>7804620835164</v>
      </c>
      <c r="I2406" s="3">
        <v>2</v>
      </c>
      <c r="J2406" s="3">
        <v>0</v>
      </c>
      <c r="K2406" s="3">
        <v>1000</v>
      </c>
    </row>
    <row r="2407" spans="1:11" x14ac:dyDescent="0.2">
      <c r="A2407" s="1" t="s">
        <v>4994</v>
      </c>
      <c r="B2407" s="1" t="s">
        <v>3021</v>
      </c>
      <c r="C2407" s="1"/>
      <c r="D2407" s="1"/>
      <c r="E2407" s="1"/>
      <c r="F2407" s="1"/>
      <c r="G2407" s="1"/>
      <c r="H2407" s="1" t="str">
        <f>"5290931032187"</f>
        <v>5290931032187</v>
      </c>
      <c r="I2407" s="3">
        <v>0</v>
      </c>
      <c r="J2407" s="3">
        <v>0</v>
      </c>
      <c r="K2407" s="3">
        <v>9500</v>
      </c>
    </row>
    <row r="2408" spans="1:11" x14ac:dyDescent="0.2">
      <c r="A2408" s="1" t="s">
        <v>4994</v>
      </c>
      <c r="B2408" s="1" t="s">
        <v>3022</v>
      </c>
      <c r="C2408" s="1"/>
      <c r="D2408" s="1"/>
      <c r="E2408" s="1"/>
      <c r="F2408" s="1"/>
      <c r="G2408" s="1"/>
      <c r="H2408" s="1" t="str">
        <f>"7804653720642"</f>
        <v>7804653720642</v>
      </c>
      <c r="I2408" s="3">
        <v>0</v>
      </c>
      <c r="J2408" s="3">
        <v>0</v>
      </c>
      <c r="K2408" s="3">
        <v>14000</v>
      </c>
    </row>
    <row r="2409" spans="1:11" x14ac:dyDescent="0.2">
      <c r="A2409" s="1" t="s">
        <v>4994</v>
      </c>
      <c r="B2409" s="1" t="s">
        <v>3023</v>
      </c>
      <c r="C2409" s="1"/>
      <c r="D2409" s="1"/>
      <c r="E2409" s="1"/>
      <c r="F2409" s="1"/>
      <c r="G2409" s="1"/>
      <c r="H2409" s="1" t="str">
        <f>"8437020503198"</f>
        <v>8437020503198</v>
      </c>
      <c r="I2409" s="3">
        <v>0</v>
      </c>
      <c r="J2409" s="3">
        <v>0</v>
      </c>
      <c r="K2409" s="3">
        <v>19000</v>
      </c>
    </row>
    <row r="2410" spans="1:11" x14ac:dyDescent="0.2">
      <c r="A2410" s="1" t="s">
        <v>4994</v>
      </c>
      <c r="B2410" s="1" t="s">
        <v>3024</v>
      </c>
      <c r="C2410" s="1"/>
      <c r="D2410" s="1"/>
      <c r="E2410" s="1"/>
      <c r="F2410" s="1"/>
      <c r="G2410" s="1"/>
      <c r="H2410" s="1" t="str">
        <f>"7804667110279"</f>
        <v>7804667110279</v>
      </c>
      <c r="I2410" s="3">
        <v>7</v>
      </c>
      <c r="J2410" s="3">
        <v>0</v>
      </c>
      <c r="K2410" s="3">
        <v>6000</v>
      </c>
    </row>
    <row r="2411" spans="1:11" x14ac:dyDescent="0.2">
      <c r="A2411" s="1" t="s">
        <v>4994</v>
      </c>
      <c r="B2411" s="1" t="s">
        <v>3026</v>
      </c>
      <c r="C2411" s="1"/>
      <c r="D2411" s="1"/>
      <c r="E2411" s="1"/>
      <c r="F2411" s="1"/>
      <c r="G2411" s="1"/>
      <c r="H2411" s="1" t="str">
        <f>"78022522"</f>
        <v>78022522</v>
      </c>
      <c r="I2411" s="3">
        <v>0</v>
      </c>
      <c r="J2411" s="3">
        <v>0</v>
      </c>
      <c r="K2411" s="3">
        <v>1000</v>
      </c>
    </row>
    <row r="2412" spans="1:11" x14ac:dyDescent="0.2">
      <c r="A2412" s="1" t="s">
        <v>4994</v>
      </c>
      <c r="B2412" s="1" t="s">
        <v>3027</v>
      </c>
      <c r="C2412" s="1"/>
      <c r="D2412" s="1"/>
      <c r="E2412" s="1"/>
      <c r="F2412" s="1"/>
      <c r="G2412" s="1"/>
      <c r="H2412" s="1" t="str">
        <f>"3107420076404"</f>
        <v>3107420076404</v>
      </c>
      <c r="I2412" s="3">
        <v>0</v>
      </c>
      <c r="J2412" s="3">
        <v>0</v>
      </c>
      <c r="K2412" s="3">
        <v>7500</v>
      </c>
    </row>
    <row r="2413" spans="1:11" x14ac:dyDescent="0.2">
      <c r="A2413" s="1" t="s">
        <v>4994</v>
      </c>
      <c r="B2413" s="1" t="s">
        <v>3028</v>
      </c>
      <c r="C2413" s="1"/>
      <c r="D2413" s="1"/>
      <c r="E2413" s="1"/>
      <c r="F2413" s="1"/>
      <c r="G2413" s="1"/>
      <c r="H2413" s="1" t="str">
        <f>"7759307541824"</f>
        <v>7759307541824</v>
      </c>
      <c r="I2413" s="3">
        <v>0</v>
      </c>
      <c r="J2413" s="3">
        <v>0</v>
      </c>
      <c r="K2413" s="3">
        <v>5000</v>
      </c>
    </row>
    <row r="2414" spans="1:11" x14ac:dyDescent="0.2">
      <c r="A2414" s="1" t="s">
        <v>4994</v>
      </c>
      <c r="B2414" s="1" t="s">
        <v>3029</v>
      </c>
      <c r="C2414" s="1"/>
      <c r="D2414" s="1"/>
      <c r="E2414" s="1"/>
      <c r="F2414" s="1"/>
      <c r="G2414" s="1"/>
      <c r="H2414" s="1" t="str">
        <f>"10742206011"</f>
        <v>10742206011</v>
      </c>
      <c r="I2414" s="3">
        <v>0</v>
      </c>
      <c r="J2414" s="3">
        <v>0</v>
      </c>
      <c r="K2414" s="3">
        <v>3500</v>
      </c>
    </row>
    <row r="2415" spans="1:11" x14ac:dyDescent="0.2">
      <c r="A2415" s="1" t="s">
        <v>4994</v>
      </c>
      <c r="B2415" s="1" t="s">
        <v>3029</v>
      </c>
      <c r="C2415" s="1"/>
      <c r="D2415" s="1"/>
      <c r="E2415" s="1"/>
      <c r="F2415" s="1"/>
      <c r="G2415" s="1"/>
      <c r="H2415" s="1" t="str">
        <f>"75643596569269"</f>
        <v>75643596569269</v>
      </c>
      <c r="I2415" s="3">
        <v>0</v>
      </c>
      <c r="J2415" s="3">
        <v>0</v>
      </c>
      <c r="K2415" s="3">
        <v>3500</v>
      </c>
    </row>
    <row r="2416" spans="1:11" x14ac:dyDescent="0.2">
      <c r="A2416" s="1" t="s">
        <v>4994</v>
      </c>
      <c r="B2416" s="1" t="s">
        <v>3030</v>
      </c>
      <c r="C2416" s="1"/>
      <c r="D2416" s="1"/>
      <c r="E2416" s="1"/>
      <c r="F2416" s="1"/>
      <c r="G2416" s="1"/>
      <c r="H2416" s="1" t="str">
        <f>"77500403"</f>
        <v>77500403</v>
      </c>
      <c r="I2416" s="3">
        <v>0</v>
      </c>
      <c r="J2416" s="3">
        <v>0</v>
      </c>
      <c r="K2416" s="3">
        <v>3000</v>
      </c>
    </row>
    <row r="2417" spans="1:11" x14ac:dyDescent="0.2">
      <c r="A2417" s="1" t="s">
        <v>4994</v>
      </c>
      <c r="B2417" s="1" t="s">
        <v>3031</v>
      </c>
      <c r="C2417" s="1"/>
      <c r="D2417" s="1"/>
      <c r="E2417" s="1"/>
      <c r="F2417" s="1"/>
      <c r="G2417" s="1"/>
      <c r="H2417" s="1" t="str">
        <f>"78026537"</f>
        <v>78026537</v>
      </c>
      <c r="I2417" s="3">
        <v>0</v>
      </c>
      <c r="J2417" s="3">
        <v>0</v>
      </c>
      <c r="K2417" s="3">
        <v>3000</v>
      </c>
    </row>
    <row r="2418" spans="1:11" x14ac:dyDescent="0.2">
      <c r="A2418" s="1" t="s">
        <v>4994</v>
      </c>
      <c r="B2418" s="1" t="s">
        <v>3032</v>
      </c>
      <c r="C2418" s="1"/>
      <c r="D2418" s="1"/>
      <c r="E2418" s="1"/>
      <c r="F2418" s="1"/>
      <c r="G2418" s="1"/>
      <c r="H2418" s="1" t="str">
        <f>"78037830"</f>
        <v>78037830</v>
      </c>
      <c r="I2418" s="3">
        <v>0</v>
      </c>
      <c r="J2418" s="3">
        <v>0</v>
      </c>
      <c r="K2418" s="3">
        <v>1000</v>
      </c>
    </row>
    <row r="2419" spans="1:11" x14ac:dyDescent="0.2">
      <c r="A2419" s="1" t="s">
        <v>4994</v>
      </c>
      <c r="B2419" s="1" t="s">
        <v>3033</v>
      </c>
      <c r="C2419" s="1"/>
      <c r="D2419" s="1"/>
      <c r="E2419" s="1"/>
      <c r="F2419" s="1"/>
      <c r="G2419" s="1"/>
      <c r="H2419" s="1" t="str">
        <f>"7730698014784"</f>
        <v>7730698014784</v>
      </c>
      <c r="I2419" s="3">
        <v>0</v>
      </c>
      <c r="J2419" s="3">
        <v>0</v>
      </c>
      <c r="K2419" s="3">
        <v>36000</v>
      </c>
    </row>
    <row r="2420" spans="1:11" x14ac:dyDescent="0.2">
      <c r="A2420" s="1" t="s">
        <v>4994</v>
      </c>
      <c r="B2420" s="1" t="s">
        <v>3034</v>
      </c>
      <c r="C2420" s="1"/>
      <c r="D2420" s="1"/>
      <c r="E2420" s="1"/>
      <c r="F2420" s="1"/>
      <c r="G2420" s="1"/>
      <c r="H2420" s="1" t="str">
        <f>"7730698014777"</f>
        <v>7730698014777</v>
      </c>
      <c r="I2420" s="3">
        <v>0</v>
      </c>
      <c r="J2420" s="3">
        <v>0</v>
      </c>
      <c r="K2420" s="3">
        <v>24000</v>
      </c>
    </row>
    <row r="2421" spans="1:11" x14ac:dyDescent="0.2">
      <c r="A2421" s="1" t="s">
        <v>4994</v>
      </c>
      <c r="B2421" s="1" t="s">
        <v>3035</v>
      </c>
      <c r="C2421" s="1"/>
      <c r="D2421" s="1"/>
      <c r="E2421" s="1"/>
      <c r="F2421" s="1"/>
      <c r="G2421" s="1"/>
      <c r="H2421" s="1" t="str">
        <f>"7804650885863"</f>
        <v>7804650885863</v>
      </c>
      <c r="I2421" s="3">
        <v>0</v>
      </c>
      <c r="J2421" s="3">
        <v>0</v>
      </c>
      <c r="K2421" s="3">
        <v>10000</v>
      </c>
    </row>
    <row r="2422" spans="1:11" x14ac:dyDescent="0.2">
      <c r="A2422" s="1" t="s">
        <v>4994</v>
      </c>
      <c r="B2422" s="1" t="s">
        <v>3036</v>
      </c>
      <c r="C2422" s="1"/>
      <c r="D2422" s="1"/>
      <c r="E2422" s="1"/>
      <c r="F2422" s="1"/>
      <c r="G2422" s="1"/>
      <c r="H2422" s="1" t="str">
        <f>"7804918500040"</f>
        <v>7804918500040</v>
      </c>
      <c r="I2422" s="3">
        <v>26</v>
      </c>
      <c r="J2422" s="3">
        <v>0</v>
      </c>
      <c r="K2422" s="3">
        <v>6500</v>
      </c>
    </row>
    <row r="2423" spans="1:11" x14ac:dyDescent="0.2">
      <c r="A2423" s="1" t="s">
        <v>4994</v>
      </c>
      <c r="B2423" s="1" t="s">
        <v>3037</v>
      </c>
      <c r="C2423" s="1"/>
      <c r="D2423" s="1"/>
      <c r="E2423" s="1"/>
      <c r="F2423" s="1"/>
      <c r="G2423" s="1"/>
      <c r="H2423" s="1" t="str">
        <f>"7804918402313"</f>
        <v>7804918402313</v>
      </c>
      <c r="I2423" s="3">
        <v>23</v>
      </c>
      <c r="J2423" s="3">
        <v>0</v>
      </c>
      <c r="K2423" s="3">
        <v>3500</v>
      </c>
    </row>
    <row r="2424" spans="1:11" x14ac:dyDescent="0.2">
      <c r="A2424" s="1" t="s">
        <v>4994</v>
      </c>
      <c r="B2424" s="1" t="s">
        <v>3038</v>
      </c>
      <c r="C2424" s="1"/>
      <c r="D2424" s="1"/>
      <c r="E2424" s="1"/>
      <c r="F2424" s="1"/>
      <c r="G2424" s="1"/>
      <c r="H2424" s="1" t="str">
        <f>"7804918500668"</f>
        <v>7804918500668</v>
      </c>
      <c r="I2424" s="3">
        <v>0</v>
      </c>
      <c r="J2424" s="3">
        <v>0</v>
      </c>
      <c r="K2424" s="3">
        <v>10000</v>
      </c>
    </row>
    <row r="2425" spans="1:11" x14ac:dyDescent="0.2">
      <c r="A2425" s="1" t="s">
        <v>4994</v>
      </c>
      <c r="B2425" s="1" t="s">
        <v>3039</v>
      </c>
      <c r="C2425" s="1"/>
      <c r="D2425" s="1"/>
      <c r="E2425" s="1"/>
      <c r="F2425" s="1"/>
      <c r="G2425" s="1"/>
      <c r="H2425" s="1" t="str">
        <f>"7809605500099"</f>
        <v>7809605500099</v>
      </c>
      <c r="I2425" s="3">
        <v>0</v>
      </c>
      <c r="J2425" s="3">
        <v>0</v>
      </c>
      <c r="K2425" s="3">
        <v>45000</v>
      </c>
    </row>
    <row r="2426" spans="1:11" x14ac:dyDescent="0.2">
      <c r="A2426" s="1" t="s">
        <v>4994</v>
      </c>
      <c r="B2426" s="1" t="s">
        <v>3040</v>
      </c>
      <c r="C2426" s="1"/>
      <c r="D2426" s="1"/>
      <c r="E2426" s="1"/>
      <c r="F2426" s="1"/>
      <c r="G2426" s="1"/>
      <c r="H2426" s="1" t="str">
        <f>"7501303494471"</f>
        <v>7501303494471</v>
      </c>
      <c r="I2426" s="3">
        <v>0</v>
      </c>
      <c r="J2426" s="3">
        <v>0</v>
      </c>
      <c r="K2426" s="3">
        <v>12000</v>
      </c>
    </row>
    <row r="2427" spans="1:11" x14ac:dyDescent="0.2">
      <c r="A2427" s="1" t="s">
        <v>4994</v>
      </c>
      <c r="B2427" s="1" t="s">
        <v>3041</v>
      </c>
      <c r="C2427" s="1"/>
      <c r="D2427" s="1"/>
      <c r="E2427" s="1"/>
      <c r="F2427" s="1"/>
      <c r="G2427" s="1"/>
      <c r="H2427" s="1" t="str">
        <f>"7506339351279"</f>
        <v>7506339351279</v>
      </c>
      <c r="I2427" s="3">
        <v>1</v>
      </c>
      <c r="J2427" s="3">
        <v>0</v>
      </c>
      <c r="K2427" s="3">
        <v>12000</v>
      </c>
    </row>
    <row r="2428" spans="1:11" x14ac:dyDescent="0.2">
      <c r="A2428" s="1" t="s">
        <v>4994</v>
      </c>
      <c r="B2428" s="1" t="s">
        <v>3042</v>
      </c>
      <c r="C2428" s="1"/>
      <c r="D2428" s="1"/>
      <c r="E2428" s="1"/>
      <c r="F2428" s="1"/>
      <c r="G2428" s="1"/>
      <c r="H2428" s="1" t="str">
        <f>"7506339351286"</f>
        <v>7506339351286</v>
      </c>
      <c r="I2428" s="3">
        <v>3</v>
      </c>
      <c r="J2428" s="3">
        <v>0</v>
      </c>
      <c r="K2428" s="3">
        <v>12000</v>
      </c>
    </row>
    <row r="2429" spans="1:11" x14ac:dyDescent="0.2">
      <c r="A2429" s="1" t="s">
        <v>4994</v>
      </c>
      <c r="B2429" s="1" t="s">
        <v>3043</v>
      </c>
      <c r="C2429" s="1"/>
      <c r="D2429" s="1"/>
      <c r="E2429" s="1"/>
      <c r="F2429" s="1"/>
      <c r="G2429" s="1"/>
      <c r="H2429" s="1" t="str">
        <f>"7800061001236"</f>
        <v>7800061001236</v>
      </c>
      <c r="I2429" s="3">
        <v>2</v>
      </c>
      <c r="J2429" s="3">
        <v>0</v>
      </c>
      <c r="K2429" s="3">
        <v>3000</v>
      </c>
    </row>
    <row r="2430" spans="1:11" x14ac:dyDescent="0.2">
      <c r="A2430" s="1" t="s">
        <v>4994</v>
      </c>
      <c r="B2430" s="1" t="s">
        <v>3044</v>
      </c>
      <c r="C2430" s="1"/>
      <c r="D2430" s="1"/>
      <c r="E2430" s="1"/>
      <c r="F2430" s="1"/>
      <c r="G2430" s="1"/>
      <c r="H2430" s="1" t="str">
        <f>"7800063116716"</f>
        <v>7800063116716</v>
      </c>
      <c r="I2430" s="3">
        <v>58</v>
      </c>
      <c r="J2430" s="3">
        <v>0</v>
      </c>
      <c r="K2430" s="3">
        <v>1000</v>
      </c>
    </row>
    <row r="2431" spans="1:11" x14ac:dyDescent="0.2">
      <c r="A2431" s="1" t="s">
        <v>4994</v>
      </c>
      <c r="B2431" s="1" t="s">
        <v>3046</v>
      </c>
      <c r="C2431" s="1"/>
      <c r="D2431" s="1"/>
      <c r="E2431" s="1"/>
      <c r="F2431" s="1"/>
      <c r="G2431" s="1"/>
      <c r="H2431" s="1" t="str">
        <f>"75917907398696"</f>
        <v>75917907398696</v>
      </c>
      <c r="I2431" s="3">
        <v>0</v>
      </c>
      <c r="J2431" s="3">
        <v>0</v>
      </c>
      <c r="K2431" s="3">
        <v>500</v>
      </c>
    </row>
    <row r="2432" spans="1:11" x14ac:dyDescent="0.2">
      <c r="A2432" s="1" t="s">
        <v>4994</v>
      </c>
      <c r="B2432" s="1" t="s">
        <v>3047</v>
      </c>
      <c r="C2432" s="1"/>
      <c r="D2432" s="1"/>
      <c r="E2432" s="1"/>
      <c r="F2432" s="1"/>
      <c r="G2432" s="1"/>
      <c r="H2432" s="1" t="str">
        <f>"7800044001444"</f>
        <v>7800044001444</v>
      </c>
      <c r="I2432" s="3">
        <v>0</v>
      </c>
      <c r="J2432" s="3">
        <v>0</v>
      </c>
      <c r="K2432" s="3">
        <v>1000</v>
      </c>
    </row>
    <row r="2433" spans="1:11" x14ac:dyDescent="0.2">
      <c r="A2433" s="1" t="s">
        <v>4994</v>
      </c>
      <c r="B2433" s="1" t="s">
        <v>3048</v>
      </c>
      <c r="C2433" s="1"/>
      <c r="D2433" s="1"/>
      <c r="E2433" s="1"/>
      <c r="F2433" s="1"/>
      <c r="G2433" s="1"/>
      <c r="H2433" s="1" t="str">
        <f>"7800063116715"</f>
        <v>7800063116715</v>
      </c>
      <c r="I2433" s="3">
        <v>0</v>
      </c>
      <c r="J2433" s="3">
        <v>0</v>
      </c>
      <c r="K2433" s="3">
        <v>1000</v>
      </c>
    </row>
    <row r="2434" spans="1:11" x14ac:dyDescent="0.2">
      <c r="A2434" s="1" t="s">
        <v>4994</v>
      </c>
      <c r="B2434" s="1" t="s">
        <v>3049</v>
      </c>
      <c r="C2434" s="1"/>
      <c r="D2434" s="1"/>
      <c r="E2434" s="1"/>
      <c r="F2434" s="1"/>
      <c r="G2434" s="1"/>
      <c r="H2434" s="1" t="str">
        <f>"7800018000541"</f>
        <v>7800018000541</v>
      </c>
      <c r="I2434" s="3">
        <v>0</v>
      </c>
      <c r="J2434" s="3">
        <v>0</v>
      </c>
      <c r="K2434" s="3">
        <v>1000</v>
      </c>
    </row>
    <row r="2435" spans="1:11" x14ac:dyDescent="0.2">
      <c r="A2435" s="1" t="s">
        <v>4994</v>
      </c>
      <c r="B2435" s="1" t="s">
        <v>3050</v>
      </c>
      <c r="C2435" s="1"/>
      <c r="D2435" s="1"/>
      <c r="E2435" s="1"/>
      <c r="F2435" s="1"/>
      <c r="G2435" s="1"/>
      <c r="H2435" s="1" t="str">
        <f>"7801000000761"</f>
        <v>7801000000761</v>
      </c>
      <c r="I2435" s="3">
        <v>0</v>
      </c>
      <c r="J2435" s="3">
        <v>0</v>
      </c>
      <c r="K2435" s="3">
        <v>3500</v>
      </c>
    </row>
    <row r="2436" spans="1:11" x14ac:dyDescent="0.2">
      <c r="A2436" s="1" t="s">
        <v>4994</v>
      </c>
      <c r="B2436" s="1" t="s">
        <v>3051</v>
      </c>
      <c r="C2436" s="1"/>
      <c r="D2436" s="1"/>
      <c r="E2436" s="1"/>
      <c r="F2436" s="1"/>
      <c r="G2436" s="1"/>
      <c r="H2436" s="1" t="str">
        <f>"8902281614438"</f>
        <v>8902281614438</v>
      </c>
      <c r="I2436" s="3">
        <v>0</v>
      </c>
      <c r="J2436" s="3">
        <v>0</v>
      </c>
      <c r="K2436" s="3">
        <v>4000</v>
      </c>
    </row>
    <row r="2437" spans="1:11" x14ac:dyDescent="0.2">
      <c r="A2437" s="1" t="s">
        <v>4994</v>
      </c>
      <c r="B2437" s="1" t="s">
        <v>3052</v>
      </c>
      <c r="C2437" s="1"/>
      <c r="D2437" s="1"/>
      <c r="E2437" s="1"/>
      <c r="F2437" s="1"/>
      <c r="G2437" s="1"/>
      <c r="H2437" s="1" t="str">
        <f>"7800018000664"</f>
        <v>7800018000664</v>
      </c>
      <c r="I2437" s="3">
        <v>0</v>
      </c>
      <c r="J2437" s="3">
        <v>0</v>
      </c>
      <c r="K2437" s="3">
        <v>2500</v>
      </c>
    </row>
    <row r="2438" spans="1:11" x14ac:dyDescent="0.2">
      <c r="A2438" s="1" t="s">
        <v>4994</v>
      </c>
      <c r="B2438" s="1" t="s">
        <v>3054</v>
      </c>
      <c r="C2438" s="1"/>
      <c r="D2438" s="1"/>
      <c r="E2438" s="1"/>
      <c r="F2438" s="1"/>
      <c r="G2438" s="1"/>
      <c r="H2438" s="1" t="str">
        <f>"7804650880226"</f>
        <v>7804650880226</v>
      </c>
      <c r="I2438" s="3">
        <v>0</v>
      </c>
      <c r="J2438" s="3">
        <v>0</v>
      </c>
      <c r="K2438" s="3">
        <v>1000</v>
      </c>
    </row>
    <row r="2439" spans="1:11" x14ac:dyDescent="0.2">
      <c r="A2439" s="1" t="s">
        <v>4994</v>
      </c>
      <c r="B2439" s="1" t="s">
        <v>3056</v>
      </c>
      <c r="C2439" s="1"/>
      <c r="D2439" s="1"/>
      <c r="E2439" s="1"/>
      <c r="F2439" s="1"/>
      <c r="G2439" s="1"/>
      <c r="H2439" s="1" t="str">
        <f>"7800007122384"</f>
        <v>7800007122384</v>
      </c>
      <c r="I2439" s="3">
        <v>0</v>
      </c>
      <c r="J2439" s="3">
        <v>0</v>
      </c>
      <c r="K2439" s="3">
        <v>4000</v>
      </c>
    </row>
    <row r="2440" spans="1:11" x14ac:dyDescent="0.2">
      <c r="A2440" s="1" t="s">
        <v>4994</v>
      </c>
      <c r="B2440" s="1" t="s">
        <v>3058</v>
      </c>
      <c r="C2440" s="1"/>
      <c r="D2440" s="1"/>
      <c r="E2440" s="1"/>
      <c r="F2440" s="1"/>
      <c r="G2440" s="1"/>
      <c r="H2440" s="1" t="str">
        <f>"7800007153937"</f>
        <v>7800007153937</v>
      </c>
      <c r="I2440" s="3">
        <v>0</v>
      </c>
      <c r="J2440" s="3">
        <v>0</v>
      </c>
      <c r="K2440" s="3">
        <v>1000</v>
      </c>
    </row>
    <row r="2441" spans="1:11" x14ac:dyDescent="0.2">
      <c r="A2441" s="1" t="s">
        <v>4994</v>
      </c>
      <c r="B2441" s="1" t="s">
        <v>3059</v>
      </c>
      <c r="C2441" s="1"/>
      <c r="D2441" s="1"/>
      <c r="E2441" s="1"/>
      <c r="F2441" s="1"/>
      <c r="G2441" s="1"/>
      <c r="H2441" s="1" t="str">
        <f>"7800059006922"</f>
        <v>7800059006922</v>
      </c>
      <c r="I2441" s="3">
        <v>0</v>
      </c>
      <c r="J2441" s="3">
        <v>0</v>
      </c>
      <c r="K2441" s="3">
        <v>5000</v>
      </c>
    </row>
    <row r="2442" spans="1:11" x14ac:dyDescent="0.2">
      <c r="A2442" s="1" t="s">
        <v>4994</v>
      </c>
      <c r="B2442" s="1" t="s">
        <v>3060</v>
      </c>
      <c r="C2442" s="1"/>
      <c r="D2442" s="1"/>
      <c r="E2442" s="1"/>
      <c r="F2442" s="1"/>
      <c r="G2442" s="1"/>
      <c r="H2442" s="1" t="str">
        <f>"7800063001371"</f>
        <v>7800063001371</v>
      </c>
      <c r="I2442" s="3">
        <v>0</v>
      </c>
      <c r="J2442" s="3">
        <v>0</v>
      </c>
      <c r="K2442" s="3">
        <v>17000</v>
      </c>
    </row>
    <row r="2443" spans="1:11" x14ac:dyDescent="0.2">
      <c r="A2443" s="1" t="s">
        <v>4994</v>
      </c>
      <c r="B2443" s="1" t="s">
        <v>3061</v>
      </c>
      <c r="C2443" s="1"/>
      <c r="D2443" s="1"/>
      <c r="E2443" s="1"/>
      <c r="F2443" s="1"/>
      <c r="G2443" s="1"/>
      <c r="H2443" s="1" t="str">
        <f>"7804640560565"</f>
        <v>7804640560565</v>
      </c>
      <c r="I2443" s="3">
        <v>0</v>
      </c>
      <c r="J2443" s="3">
        <v>0</v>
      </c>
      <c r="K2443" s="3">
        <v>3000</v>
      </c>
    </row>
    <row r="2444" spans="1:11" x14ac:dyDescent="0.2">
      <c r="A2444" s="1" t="s">
        <v>4994</v>
      </c>
      <c r="B2444" s="1" t="s">
        <v>3062</v>
      </c>
      <c r="C2444" s="1"/>
      <c r="D2444" s="1"/>
      <c r="E2444" s="1"/>
      <c r="F2444" s="1"/>
      <c r="G2444" s="1"/>
      <c r="H2444" s="1" t="str">
        <f>"7800007142306"</f>
        <v>7800007142306</v>
      </c>
      <c r="I2444" s="3">
        <v>0</v>
      </c>
      <c r="J2444" s="3">
        <v>0</v>
      </c>
      <c r="K2444" s="3">
        <v>2000</v>
      </c>
    </row>
    <row r="2445" spans="1:11" x14ac:dyDescent="0.2">
      <c r="A2445" s="1" t="s">
        <v>4994</v>
      </c>
      <c r="B2445" s="1" t="s">
        <v>3063</v>
      </c>
      <c r="C2445" s="1"/>
      <c r="D2445" s="1"/>
      <c r="E2445" s="1"/>
      <c r="F2445" s="1"/>
      <c r="G2445" s="1"/>
      <c r="H2445" s="1" t="str">
        <f>"7800086812107"</f>
        <v>7800086812107</v>
      </c>
      <c r="I2445" s="3">
        <v>0</v>
      </c>
      <c r="J2445" s="3">
        <v>0</v>
      </c>
      <c r="K2445" s="3">
        <v>2000</v>
      </c>
    </row>
    <row r="2446" spans="1:11" x14ac:dyDescent="0.2">
      <c r="A2446" s="1" t="s">
        <v>4994</v>
      </c>
      <c r="B2446" s="1" t="s">
        <v>3064</v>
      </c>
      <c r="C2446" s="1"/>
      <c r="D2446" s="1"/>
      <c r="E2446" s="1"/>
      <c r="F2446" s="1"/>
      <c r="G2446" s="1"/>
      <c r="H2446" s="1" t="str">
        <f>"7800068013508"</f>
        <v>7800068013508</v>
      </c>
      <c r="I2446" s="3">
        <v>28</v>
      </c>
      <c r="J2446" s="3">
        <v>0</v>
      </c>
      <c r="K2446" s="3">
        <v>6000</v>
      </c>
    </row>
    <row r="2447" spans="1:11" x14ac:dyDescent="0.2">
      <c r="A2447" s="1" t="s">
        <v>4994</v>
      </c>
      <c r="B2447" s="1" t="s">
        <v>3065</v>
      </c>
      <c r="C2447" s="1"/>
      <c r="D2447" s="1"/>
      <c r="E2447" s="1"/>
      <c r="F2447" s="1"/>
      <c r="G2447" s="1"/>
      <c r="H2447" s="1" t="str">
        <f>"7800068013515"</f>
        <v>7800068013515</v>
      </c>
      <c r="I2447" s="3">
        <v>29</v>
      </c>
      <c r="J2447" s="3">
        <v>0</v>
      </c>
      <c r="K2447" s="3">
        <v>10000</v>
      </c>
    </row>
    <row r="2448" spans="1:11" x14ac:dyDescent="0.2">
      <c r="A2448" s="1" t="s">
        <v>4994</v>
      </c>
      <c r="B2448" s="1" t="s">
        <v>3066</v>
      </c>
      <c r="C2448" s="1"/>
      <c r="D2448" s="1"/>
      <c r="E2448" s="1"/>
      <c r="F2448" s="1"/>
      <c r="G2448" s="1"/>
      <c r="H2448" s="1" t="str">
        <f>"7800068013461"</f>
        <v>7800068013461</v>
      </c>
      <c r="I2448" s="3">
        <v>0</v>
      </c>
      <c r="J2448" s="3">
        <v>0</v>
      </c>
      <c r="K2448" s="3">
        <v>10000</v>
      </c>
    </row>
    <row r="2449" spans="1:11" x14ac:dyDescent="0.2">
      <c r="A2449" s="1" t="s">
        <v>4994</v>
      </c>
      <c r="B2449" s="1" t="s">
        <v>3067</v>
      </c>
      <c r="C2449" s="1"/>
      <c r="D2449" s="1"/>
      <c r="E2449" s="1"/>
      <c r="F2449" s="1"/>
      <c r="G2449" s="1"/>
      <c r="H2449" s="1" t="str">
        <f>"7805633021469"</f>
        <v>7805633021469</v>
      </c>
      <c r="I2449" s="3">
        <v>0</v>
      </c>
      <c r="J2449" s="3">
        <v>0</v>
      </c>
      <c r="K2449" s="3">
        <v>1500</v>
      </c>
    </row>
    <row r="2450" spans="1:11" x14ac:dyDescent="0.2">
      <c r="A2450" s="1" t="s">
        <v>4994</v>
      </c>
      <c r="B2450" s="1" t="s">
        <v>3068</v>
      </c>
      <c r="C2450" s="1"/>
      <c r="D2450" s="1"/>
      <c r="E2450" s="1"/>
      <c r="F2450" s="1"/>
      <c r="G2450" s="1"/>
      <c r="H2450" s="1" t="str">
        <f>"7805633021483"</f>
        <v>7805633021483</v>
      </c>
      <c r="I2450" s="3">
        <v>0</v>
      </c>
      <c r="J2450" s="3">
        <v>0</v>
      </c>
      <c r="K2450" s="3">
        <v>1000</v>
      </c>
    </row>
    <row r="2451" spans="1:11" x14ac:dyDescent="0.2">
      <c r="A2451" s="1" t="s">
        <v>4994</v>
      </c>
      <c r="B2451" s="1" t="s">
        <v>3073</v>
      </c>
      <c r="C2451" s="1"/>
      <c r="D2451" s="1"/>
      <c r="E2451" s="1"/>
      <c r="F2451" s="1"/>
      <c r="G2451" s="1"/>
      <c r="H2451" s="1" t="str">
        <f>"7804612011705"</f>
        <v>7804612011705</v>
      </c>
      <c r="I2451" s="3">
        <v>0</v>
      </c>
      <c r="J2451" s="3">
        <v>0</v>
      </c>
      <c r="K2451" s="3">
        <v>18000</v>
      </c>
    </row>
    <row r="2452" spans="1:11" x14ac:dyDescent="0.2">
      <c r="A2452" s="1" t="s">
        <v>4994</v>
      </c>
      <c r="B2452" s="1" t="s">
        <v>3074</v>
      </c>
      <c r="C2452" s="1"/>
      <c r="D2452" s="1"/>
      <c r="E2452" s="1"/>
      <c r="F2452" s="1"/>
      <c r="G2452" s="1"/>
      <c r="H2452" s="1" t="str">
        <f>"7861148021745"</f>
        <v>7861148021745</v>
      </c>
      <c r="I2452" s="3">
        <v>0</v>
      </c>
      <c r="J2452" s="3">
        <v>0</v>
      </c>
      <c r="K2452" s="3">
        <v>8500</v>
      </c>
    </row>
    <row r="2453" spans="1:11" x14ac:dyDescent="0.2">
      <c r="A2453" s="1" t="s">
        <v>4994</v>
      </c>
      <c r="B2453" s="1" t="s">
        <v>3075</v>
      </c>
      <c r="C2453" s="1"/>
      <c r="D2453" s="1"/>
      <c r="E2453" s="1"/>
      <c r="F2453" s="1"/>
      <c r="G2453" s="1"/>
      <c r="H2453" s="1" t="str">
        <f>"7795373013322"</f>
        <v>7795373013322</v>
      </c>
      <c r="I2453" s="3">
        <v>0</v>
      </c>
      <c r="J2453" s="3">
        <v>0</v>
      </c>
      <c r="K2453" s="3">
        <v>13000</v>
      </c>
    </row>
    <row r="2454" spans="1:11" x14ac:dyDescent="0.2">
      <c r="A2454" s="1" t="s">
        <v>4994</v>
      </c>
      <c r="B2454" s="1" t="s">
        <v>3076</v>
      </c>
      <c r="C2454" s="1"/>
      <c r="D2454" s="1"/>
      <c r="E2454" s="1"/>
      <c r="F2454" s="1"/>
      <c r="G2454" s="1"/>
      <c r="H2454" s="1" t="str">
        <f>"7805070401114"</f>
        <v>7805070401114</v>
      </c>
      <c r="I2454" s="3">
        <v>0</v>
      </c>
      <c r="J2454" s="3">
        <v>0</v>
      </c>
      <c r="K2454" s="3">
        <v>8500</v>
      </c>
    </row>
    <row r="2455" spans="1:11" x14ac:dyDescent="0.2">
      <c r="A2455" s="1" t="s">
        <v>4994</v>
      </c>
      <c r="B2455" s="1" t="s">
        <v>3077</v>
      </c>
      <c r="C2455" s="1"/>
      <c r="D2455" s="1"/>
      <c r="E2455" s="1"/>
      <c r="F2455" s="1"/>
      <c r="G2455" s="1"/>
      <c r="H2455" s="1" t="str">
        <f>"7800055001037"</f>
        <v>7800055001037</v>
      </c>
      <c r="I2455" s="3">
        <v>0</v>
      </c>
      <c r="J2455" s="3">
        <v>0</v>
      </c>
      <c r="K2455" s="3">
        <v>25000</v>
      </c>
    </row>
    <row r="2456" spans="1:11" x14ac:dyDescent="0.2">
      <c r="A2456" s="1" t="s">
        <v>4994</v>
      </c>
      <c r="B2456" s="1" t="s">
        <v>3078</v>
      </c>
      <c r="C2456" s="1"/>
      <c r="D2456" s="1"/>
      <c r="E2456" s="1"/>
      <c r="F2456" s="1"/>
      <c r="G2456" s="1"/>
      <c r="H2456" s="1" t="str">
        <f>"7800055000375"</f>
        <v>7800055000375</v>
      </c>
      <c r="I2456" s="3">
        <v>0</v>
      </c>
      <c r="J2456" s="3">
        <v>0</v>
      </c>
      <c r="K2456" s="3">
        <v>30000</v>
      </c>
    </row>
    <row r="2457" spans="1:11" x14ac:dyDescent="0.2">
      <c r="A2457" s="1" t="s">
        <v>4994</v>
      </c>
      <c r="B2457" s="1" t="s">
        <v>3079</v>
      </c>
      <c r="C2457" s="1"/>
      <c r="D2457" s="1"/>
      <c r="E2457" s="1"/>
      <c r="F2457" s="1"/>
      <c r="G2457" s="1"/>
      <c r="H2457" s="1" t="str">
        <f>"850007468002"</f>
        <v>850007468002</v>
      </c>
      <c r="I2457" s="3">
        <v>2</v>
      </c>
      <c r="J2457" s="3">
        <v>0</v>
      </c>
      <c r="K2457" s="3">
        <v>10000</v>
      </c>
    </row>
    <row r="2458" spans="1:11" x14ac:dyDescent="0.2">
      <c r="A2458" s="1" t="s">
        <v>4994</v>
      </c>
      <c r="B2458" s="1" t="s">
        <v>3080</v>
      </c>
      <c r="C2458" s="1"/>
      <c r="D2458" s="1"/>
      <c r="E2458" s="1"/>
      <c r="F2458" s="1"/>
      <c r="G2458" s="1"/>
      <c r="H2458" s="1" t="str">
        <f>"7730969301339"</f>
        <v>7730969301339</v>
      </c>
      <c r="I2458" s="3">
        <v>0</v>
      </c>
      <c r="J2458" s="3">
        <v>0</v>
      </c>
      <c r="K2458" s="3">
        <v>6500</v>
      </c>
    </row>
    <row r="2459" spans="1:11" x14ac:dyDescent="0.2">
      <c r="A2459" s="1" t="s">
        <v>4994</v>
      </c>
      <c r="B2459" s="1" t="s">
        <v>3082</v>
      </c>
      <c r="C2459" s="1"/>
      <c r="D2459" s="1"/>
      <c r="E2459" s="1"/>
      <c r="F2459" s="1"/>
      <c r="G2459" s="1"/>
      <c r="H2459" s="1" t="str">
        <f>"7803504003095"</f>
        <v>7803504003095</v>
      </c>
      <c r="I2459" s="3">
        <v>0</v>
      </c>
      <c r="J2459" s="3">
        <v>0</v>
      </c>
      <c r="K2459" s="3">
        <v>3500</v>
      </c>
    </row>
    <row r="2460" spans="1:11" x14ac:dyDescent="0.2">
      <c r="A2460" s="1" t="s">
        <v>4994</v>
      </c>
      <c r="B2460" s="1" t="s">
        <v>3084</v>
      </c>
      <c r="C2460" s="1"/>
      <c r="D2460" s="1"/>
      <c r="E2460" s="1"/>
      <c r="F2460" s="1"/>
      <c r="G2460" s="1"/>
      <c r="H2460" s="1" t="str">
        <f>"7804923025248"</f>
        <v>7804923025248</v>
      </c>
      <c r="I2460" s="3">
        <v>11</v>
      </c>
      <c r="J2460" s="3">
        <v>0</v>
      </c>
      <c r="K2460" s="3">
        <v>6000</v>
      </c>
    </row>
    <row r="2461" spans="1:11" x14ac:dyDescent="0.2">
      <c r="A2461" s="1" t="s">
        <v>4994</v>
      </c>
      <c r="B2461" s="1" t="s">
        <v>3085</v>
      </c>
      <c r="C2461" s="1"/>
      <c r="D2461" s="1"/>
      <c r="E2461" s="1"/>
      <c r="F2461" s="1"/>
      <c r="G2461" s="1"/>
      <c r="H2461" s="1" t="str">
        <f>"7804923025187"</f>
        <v>7804923025187</v>
      </c>
      <c r="I2461" s="3">
        <v>4</v>
      </c>
      <c r="J2461" s="3">
        <v>0</v>
      </c>
      <c r="K2461" s="3">
        <v>5500</v>
      </c>
    </row>
    <row r="2462" spans="1:11" x14ac:dyDescent="0.2">
      <c r="A2462" s="1" t="s">
        <v>4994</v>
      </c>
      <c r="B2462" s="1" t="s">
        <v>3086</v>
      </c>
      <c r="C2462" s="1"/>
      <c r="D2462" s="1"/>
      <c r="E2462" s="1"/>
      <c r="F2462" s="1"/>
      <c r="G2462" s="1"/>
      <c r="H2462" s="1" t="str">
        <f>"7804923025071"</f>
        <v>7804923025071</v>
      </c>
      <c r="I2462" s="3">
        <v>2</v>
      </c>
      <c r="J2462" s="3">
        <v>0</v>
      </c>
      <c r="K2462" s="3">
        <v>4500</v>
      </c>
    </row>
    <row r="2463" spans="1:11" x14ac:dyDescent="0.2">
      <c r="A2463" s="1" t="s">
        <v>4994</v>
      </c>
      <c r="B2463" s="1" t="s">
        <v>3087</v>
      </c>
      <c r="C2463" s="1"/>
      <c r="D2463" s="1"/>
      <c r="E2463" s="1"/>
      <c r="F2463" s="1"/>
      <c r="G2463" s="1"/>
      <c r="H2463" s="1" t="str">
        <f>"7804923025194"</f>
        <v>7804923025194</v>
      </c>
      <c r="I2463" s="3">
        <v>8</v>
      </c>
      <c r="J2463" s="3">
        <v>0</v>
      </c>
      <c r="K2463" s="3">
        <v>4000</v>
      </c>
    </row>
    <row r="2464" spans="1:11" x14ac:dyDescent="0.2">
      <c r="A2464" s="1" t="s">
        <v>4994</v>
      </c>
      <c r="B2464" s="1" t="s">
        <v>3088</v>
      </c>
      <c r="C2464" s="1"/>
      <c r="D2464" s="1"/>
      <c r="E2464" s="1"/>
      <c r="F2464" s="1"/>
      <c r="G2464" s="1"/>
      <c r="H2464" s="1" t="str">
        <f>"6921199300259"</f>
        <v>6921199300259</v>
      </c>
      <c r="I2464" s="3">
        <v>0</v>
      </c>
      <c r="J2464" s="3">
        <v>0</v>
      </c>
      <c r="K2464" s="3">
        <v>2500</v>
      </c>
    </row>
    <row r="2465" spans="1:11" x14ac:dyDescent="0.2">
      <c r="A2465" s="1" t="s">
        <v>4994</v>
      </c>
      <c r="B2465" s="1" t="s">
        <v>3089</v>
      </c>
      <c r="C2465" s="1"/>
      <c r="D2465" s="1"/>
      <c r="E2465" s="1"/>
      <c r="F2465" s="1"/>
      <c r="G2465" s="1"/>
      <c r="H2465" s="1" t="str">
        <f>"7803510002266"</f>
        <v>7803510002266</v>
      </c>
      <c r="I2465" s="3">
        <v>6</v>
      </c>
      <c r="J2465" s="3">
        <v>0</v>
      </c>
      <c r="K2465" s="3">
        <v>6500</v>
      </c>
    </row>
    <row r="2466" spans="1:11" x14ac:dyDescent="0.2">
      <c r="A2466" s="1" t="s">
        <v>4994</v>
      </c>
      <c r="B2466" s="1" t="s">
        <v>3090</v>
      </c>
      <c r="C2466" s="1"/>
      <c r="D2466" s="1"/>
      <c r="E2466" s="1"/>
      <c r="F2466" s="1"/>
      <c r="G2466" s="1"/>
      <c r="H2466" s="1" t="str">
        <f>"7803510002129"</f>
        <v>7803510002129</v>
      </c>
      <c r="I2466" s="3">
        <v>1</v>
      </c>
      <c r="J2466" s="3">
        <v>0</v>
      </c>
      <c r="K2466" s="3">
        <v>2500</v>
      </c>
    </row>
    <row r="2467" spans="1:11" x14ac:dyDescent="0.2">
      <c r="A2467" s="1" t="s">
        <v>4994</v>
      </c>
      <c r="B2467" s="1" t="s">
        <v>3091</v>
      </c>
      <c r="C2467" s="1"/>
      <c r="D2467" s="1"/>
      <c r="E2467" s="1"/>
      <c r="F2467" s="1"/>
      <c r="G2467" s="1"/>
      <c r="H2467" s="1" t="str">
        <f>"7800063360195"</f>
        <v>7800063360195</v>
      </c>
      <c r="I2467" s="3">
        <v>0</v>
      </c>
      <c r="J2467" s="3">
        <v>0</v>
      </c>
      <c r="K2467" s="3">
        <v>3000</v>
      </c>
    </row>
    <row r="2468" spans="1:11" x14ac:dyDescent="0.2">
      <c r="A2468" s="1" t="s">
        <v>4994</v>
      </c>
      <c r="B2468" s="1" t="s">
        <v>3092</v>
      </c>
      <c r="C2468" s="1"/>
      <c r="D2468" s="1"/>
      <c r="E2468" s="1"/>
      <c r="F2468" s="1"/>
      <c r="G2468" s="1"/>
      <c r="H2468" s="1" t="str">
        <f>"7800063004631"</f>
        <v>7800063004631</v>
      </c>
      <c r="I2468" s="3">
        <v>95</v>
      </c>
      <c r="J2468" s="3">
        <v>0</v>
      </c>
      <c r="K2468" s="3">
        <v>2000</v>
      </c>
    </row>
    <row r="2469" spans="1:11" x14ac:dyDescent="0.2">
      <c r="A2469" s="1" t="s">
        <v>4994</v>
      </c>
      <c r="B2469" s="1" t="s">
        <v>3093</v>
      </c>
      <c r="C2469" s="1"/>
      <c r="D2469" s="1"/>
      <c r="E2469" s="1"/>
      <c r="F2469" s="1"/>
      <c r="G2469" s="1"/>
      <c r="H2469" s="1" t="str">
        <f>"7800059006052"</f>
        <v>7800059006052</v>
      </c>
      <c r="I2469" s="3">
        <v>0</v>
      </c>
      <c r="J2469" s="3">
        <v>0</v>
      </c>
      <c r="K2469" s="3">
        <v>11000</v>
      </c>
    </row>
    <row r="2470" spans="1:11" x14ac:dyDescent="0.2">
      <c r="A2470" s="1" t="s">
        <v>4994</v>
      </c>
      <c r="B2470" s="1" t="s">
        <v>3095</v>
      </c>
      <c r="C2470" s="1"/>
      <c r="D2470" s="1"/>
      <c r="E2470" s="1"/>
      <c r="F2470" s="1"/>
      <c r="G2470" s="1"/>
      <c r="H2470" s="1" t="str">
        <f>"8437020503426"</f>
        <v>8437020503426</v>
      </c>
      <c r="I2470" s="3">
        <v>1</v>
      </c>
      <c r="J2470" s="3">
        <v>0</v>
      </c>
      <c r="K2470" s="3">
        <v>21000</v>
      </c>
    </row>
    <row r="2471" spans="1:11" x14ac:dyDescent="0.2">
      <c r="A2471" s="1" t="s">
        <v>4994</v>
      </c>
      <c r="B2471" s="1" t="s">
        <v>3096</v>
      </c>
      <c r="C2471" s="1"/>
      <c r="D2471" s="1"/>
      <c r="E2471" s="1"/>
      <c r="F2471" s="1"/>
      <c r="G2471" s="1"/>
      <c r="H2471" s="1" t="str">
        <f>"7800007811189"</f>
        <v>7800007811189</v>
      </c>
      <c r="I2471" s="3">
        <v>0</v>
      </c>
      <c r="J2471" s="3">
        <v>0</v>
      </c>
      <c r="K2471" s="3">
        <v>8500</v>
      </c>
    </row>
    <row r="2472" spans="1:11" x14ac:dyDescent="0.2">
      <c r="A2472" s="1" t="s">
        <v>4994</v>
      </c>
      <c r="B2472" s="1" t="s">
        <v>3099</v>
      </c>
      <c r="C2472" s="1"/>
      <c r="D2472" s="1"/>
      <c r="E2472" s="1"/>
      <c r="F2472" s="1"/>
      <c r="G2472" s="1"/>
      <c r="H2472" s="1" t="str">
        <f>"8437020503204"</f>
        <v>8437020503204</v>
      </c>
      <c r="I2472" s="3">
        <v>0</v>
      </c>
      <c r="J2472" s="3">
        <v>0</v>
      </c>
      <c r="K2472" s="3">
        <v>17500</v>
      </c>
    </row>
    <row r="2473" spans="1:11" x14ac:dyDescent="0.2">
      <c r="A2473" s="1" t="s">
        <v>4994</v>
      </c>
      <c r="B2473" s="1" t="s">
        <v>3100</v>
      </c>
      <c r="C2473" s="1"/>
      <c r="D2473" s="1"/>
      <c r="E2473" s="1"/>
      <c r="F2473" s="1"/>
      <c r="G2473" s="1"/>
      <c r="H2473" s="1" t="str">
        <f>"8437020503211"</f>
        <v>8437020503211</v>
      </c>
      <c r="I2473" s="3">
        <v>0</v>
      </c>
      <c r="J2473" s="3">
        <v>0</v>
      </c>
      <c r="K2473" s="3">
        <v>25000</v>
      </c>
    </row>
    <row r="2474" spans="1:11" x14ac:dyDescent="0.2">
      <c r="A2474" s="1" t="s">
        <v>4994</v>
      </c>
      <c r="B2474" s="1" t="s">
        <v>3101</v>
      </c>
      <c r="C2474" s="1"/>
      <c r="D2474" s="1"/>
      <c r="E2474" s="1"/>
      <c r="F2474" s="1"/>
      <c r="G2474" s="1"/>
      <c r="H2474" s="1" t="str">
        <f>"7795373019768"</f>
        <v>7795373019768</v>
      </c>
      <c r="I2474" s="3">
        <v>0</v>
      </c>
      <c r="J2474" s="3">
        <v>0</v>
      </c>
      <c r="K2474" s="3">
        <v>34000</v>
      </c>
    </row>
    <row r="2475" spans="1:11" x14ac:dyDescent="0.2">
      <c r="A2475" s="1" t="s">
        <v>4994</v>
      </c>
      <c r="B2475" s="1" t="s">
        <v>3102</v>
      </c>
      <c r="C2475" s="1"/>
      <c r="D2475" s="1"/>
      <c r="E2475" s="1"/>
      <c r="F2475" s="1"/>
      <c r="G2475" s="1"/>
      <c r="H2475" s="1" t="str">
        <f>"7795347982937"</f>
        <v>7795347982937</v>
      </c>
      <c r="I2475" s="3">
        <v>0</v>
      </c>
      <c r="J2475" s="3">
        <v>0</v>
      </c>
      <c r="K2475" s="3">
        <v>15000</v>
      </c>
    </row>
    <row r="2476" spans="1:11" x14ac:dyDescent="0.2">
      <c r="A2476" s="1" t="s">
        <v>4994</v>
      </c>
      <c r="B2476" s="1" t="s">
        <v>3103</v>
      </c>
      <c r="C2476" s="1"/>
      <c r="D2476" s="1"/>
      <c r="E2476" s="1"/>
      <c r="F2476" s="1"/>
      <c r="G2476" s="1"/>
      <c r="H2476" s="1" t="str">
        <f>"7804918452608"</f>
        <v>7804918452608</v>
      </c>
      <c r="I2476" s="3">
        <v>30</v>
      </c>
      <c r="J2476" s="3">
        <v>0</v>
      </c>
      <c r="K2476" s="3">
        <v>3500</v>
      </c>
    </row>
    <row r="2477" spans="1:11" x14ac:dyDescent="0.2">
      <c r="A2477" s="1" t="s">
        <v>4994</v>
      </c>
      <c r="B2477" s="1" t="s">
        <v>3107</v>
      </c>
      <c r="C2477" s="1"/>
      <c r="D2477" s="1"/>
      <c r="E2477" s="1"/>
      <c r="F2477" s="1"/>
      <c r="G2477" s="1"/>
      <c r="H2477" s="1" t="str">
        <f>"7891317023140"</f>
        <v>7891317023140</v>
      </c>
      <c r="I2477" s="3">
        <v>0</v>
      </c>
      <c r="J2477" s="3">
        <v>0</v>
      </c>
      <c r="K2477" s="3">
        <v>9000</v>
      </c>
    </row>
    <row r="2478" spans="1:11" x14ac:dyDescent="0.2">
      <c r="A2478" s="1" t="s">
        <v>4994</v>
      </c>
      <c r="B2478" s="1" t="s">
        <v>3109</v>
      </c>
      <c r="C2478" s="1"/>
      <c r="D2478" s="1"/>
      <c r="E2478" s="1"/>
      <c r="F2478" s="1"/>
      <c r="G2478" s="1"/>
      <c r="H2478" s="1" t="str">
        <f>"7891317018474"</f>
        <v>7891317018474</v>
      </c>
      <c r="I2478" s="3">
        <v>0</v>
      </c>
      <c r="J2478" s="3">
        <v>0</v>
      </c>
      <c r="K2478" s="3">
        <v>9000</v>
      </c>
    </row>
    <row r="2479" spans="1:11" x14ac:dyDescent="0.2">
      <c r="A2479" s="1" t="s">
        <v>4994</v>
      </c>
      <c r="B2479" s="1" t="s">
        <v>3110</v>
      </c>
      <c r="C2479" s="1"/>
      <c r="D2479" s="1"/>
      <c r="E2479" s="1"/>
      <c r="F2479" s="1"/>
      <c r="G2479" s="1"/>
      <c r="H2479" s="1" t="str">
        <f>"7891317027742"</f>
        <v>7891317027742</v>
      </c>
      <c r="I2479" s="3">
        <v>0</v>
      </c>
      <c r="J2479" s="3">
        <v>0</v>
      </c>
      <c r="K2479" s="3">
        <v>10000</v>
      </c>
    </row>
    <row r="2480" spans="1:11" x14ac:dyDescent="0.2">
      <c r="A2480" s="1" t="s">
        <v>4994</v>
      </c>
      <c r="B2480" s="1" t="s">
        <v>3112</v>
      </c>
      <c r="C2480" s="1"/>
      <c r="D2480" s="1"/>
      <c r="E2480" s="1"/>
      <c r="F2480" s="1"/>
      <c r="G2480" s="1"/>
      <c r="H2480" s="1" t="str">
        <f>"7800018124056"</f>
        <v>7800018124056</v>
      </c>
      <c r="I2480" s="3">
        <v>0</v>
      </c>
      <c r="J2480" s="3">
        <v>0</v>
      </c>
      <c r="K2480" s="3">
        <v>14500</v>
      </c>
    </row>
    <row r="2481" spans="1:11" x14ac:dyDescent="0.2">
      <c r="A2481" s="1" t="s">
        <v>4994</v>
      </c>
      <c r="B2481" s="1" t="s">
        <v>3113</v>
      </c>
      <c r="C2481" s="1"/>
      <c r="D2481" s="1"/>
      <c r="E2481" s="1"/>
      <c r="F2481" s="1"/>
      <c r="G2481" s="1"/>
      <c r="H2481" s="1" t="str">
        <f>"7800007801708"</f>
        <v>7800007801708</v>
      </c>
      <c r="I2481" s="3">
        <v>0</v>
      </c>
      <c r="J2481" s="3">
        <v>0</v>
      </c>
      <c r="K2481" s="3">
        <v>15000</v>
      </c>
    </row>
    <row r="2482" spans="1:11" x14ac:dyDescent="0.2">
      <c r="A2482" s="1" t="s">
        <v>4994</v>
      </c>
      <c r="B2482" s="1" t="s">
        <v>3115</v>
      </c>
      <c r="C2482" s="1"/>
      <c r="D2482" s="1"/>
      <c r="E2482" s="1"/>
      <c r="F2482" s="1"/>
      <c r="G2482" s="1"/>
      <c r="H2482" s="1" t="str">
        <f>"7800068010873"</f>
        <v>7800068010873</v>
      </c>
      <c r="I2482" s="3">
        <v>0</v>
      </c>
      <c r="J2482" s="3">
        <v>0</v>
      </c>
      <c r="K2482" s="3">
        <v>15000</v>
      </c>
    </row>
    <row r="2483" spans="1:11" x14ac:dyDescent="0.2">
      <c r="A2483" s="1" t="s">
        <v>4994</v>
      </c>
      <c r="B2483" s="1" t="s">
        <v>3116</v>
      </c>
      <c r="C2483" s="1"/>
      <c r="D2483" s="1"/>
      <c r="E2483" s="1"/>
      <c r="F2483" s="1"/>
      <c r="G2483" s="1"/>
      <c r="H2483" s="1" t="str">
        <f>"70847009511"</f>
        <v>70847009511</v>
      </c>
      <c r="I2483" s="3">
        <v>0</v>
      </c>
      <c r="J2483" s="3">
        <v>0</v>
      </c>
      <c r="K2483" s="3">
        <v>2000</v>
      </c>
    </row>
    <row r="2484" spans="1:11" x14ac:dyDescent="0.2">
      <c r="A2484" s="1" t="s">
        <v>4994</v>
      </c>
      <c r="B2484" s="1" t="s">
        <v>3118</v>
      </c>
      <c r="C2484" s="1"/>
      <c r="D2484" s="1"/>
      <c r="E2484" s="1"/>
      <c r="F2484" s="1"/>
      <c r="G2484" s="1"/>
      <c r="H2484" s="1" t="str">
        <f>"70847031406"</f>
        <v>70847031406</v>
      </c>
      <c r="I2484" s="3">
        <v>0</v>
      </c>
      <c r="J2484" s="3">
        <v>0</v>
      </c>
      <c r="K2484" s="3">
        <v>2000</v>
      </c>
    </row>
    <row r="2485" spans="1:11" x14ac:dyDescent="0.2">
      <c r="A2485" s="1" t="s">
        <v>4994</v>
      </c>
      <c r="B2485" s="1" t="s">
        <v>3120</v>
      </c>
      <c r="C2485" s="1"/>
      <c r="D2485" s="1"/>
      <c r="E2485" s="1"/>
      <c r="F2485" s="1"/>
      <c r="G2485" s="1"/>
      <c r="H2485" s="1" t="str">
        <f>"70847021964"</f>
        <v>70847021964</v>
      </c>
      <c r="I2485" s="3">
        <v>0</v>
      </c>
      <c r="J2485" s="3">
        <v>0</v>
      </c>
      <c r="K2485" s="3">
        <v>2000</v>
      </c>
    </row>
    <row r="2486" spans="1:11" x14ac:dyDescent="0.2">
      <c r="A2486" s="1" t="s">
        <v>4994</v>
      </c>
      <c r="B2486" s="1" t="s">
        <v>3123</v>
      </c>
      <c r="C2486" s="1"/>
      <c r="D2486" s="1"/>
      <c r="E2486" s="1"/>
      <c r="F2486" s="1"/>
      <c r="G2486" s="1"/>
      <c r="H2486" s="1" t="str">
        <f>"70847035800"</f>
        <v>70847035800</v>
      </c>
      <c r="I2486" s="3">
        <v>0</v>
      </c>
      <c r="J2486" s="3">
        <v>0</v>
      </c>
      <c r="K2486" s="3">
        <v>2000</v>
      </c>
    </row>
    <row r="2487" spans="1:11" x14ac:dyDescent="0.2">
      <c r="A2487" s="1" t="s">
        <v>4994</v>
      </c>
      <c r="B2487" s="1" t="s">
        <v>3124</v>
      </c>
      <c r="C2487" s="1"/>
      <c r="D2487" s="1"/>
      <c r="E2487" s="1"/>
      <c r="F2487" s="1"/>
      <c r="G2487" s="1"/>
      <c r="H2487" s="1" t="str">
        <f>"70847035206"</f>
        <v>70847035206</v>
      </c>
      <c r="I2487" s="3">
        <v>0</v>
      </c>
      <c r="J2487" s="3">
        <v>0</v>
      </c>
      <c r="K2487" s="3">
        <v>2000</v>
      </c>
    </row>
    <row r="2488" spans="1:11" x14ac:dyDescent="0.2">
      <c r="A2488" s="1" t="s">
        <v>4994</v>
      </c>
      <c r="B2488" s="1" t="s">
        <v>3125</v>
      </c>
      <c r="C2488" s="1"/>
      <c r="D2488" s="1"/>
      <c r="E2488" s="1"/>
      <c r="F2488" s="1"/>
      <c r="G2488" s="1"/>
      <c r="H2488" s="1" t="str">
        <f>"8903726195529"</f>
        <v>8903726195529</v>
      </c>
      <c r="I2488" s="3">
        <v>27</v>
      </c>
      <c r="J2488" s="3">
        <v>0</v>
      </c>
      <c r="K2488" s="3">
        <v>5000</v>
      </c>
    </row>
    <row r="2489" spans="1:11" x14ac:dyDescent="0.2">
      <c r="A2489" s="1" t="s">
        <v>4994</v>
      </c>
      <c r="B2489" s="1" t="s">
        <v>3126</v>
      </c>
      <c r="C2489" s="1"/>
      <c r="D2489" s="1"/>
      <c r="E2489" s="1"/>
      <c r="F2489" s="1"/>
      <c r="G2489" s="1"/>
      <c r="H2489" s="1" t="str">
        <f>"8903726192368"</f>
        <v>8903726192368</v>
      </c>
      <c r="I2489" s="3">
        <v>38</v>
      </c>
      <c r="J2489" s="3">
        <v>0</v>
      </c>
      <c r="K2489" s="3">
        <v>6800</v>
      </c>
    </row>
    <row r="2490" spans="1:11" x14ac:dyDescent="0.2">
      <c r="A2490" s="1" t="s">
        <v>4994</v>
      </c>
      <c r="B2490" s="1" t="s">
        <v>3128</v>
      </c>
      <c r="C2490" s="1"/>
      <c r="D2490" s="1"/>
      <c r="E2490" s="1"/>
      <c r="F2490" s="1"/>
      <c r="G2490" s="1"/>
      <c r="H2490" s="1" t="str">
        <f>"8903726192696"</f>
        <v>8903726192696</v>
      </c>
      <c r="I2490" s="3">
        <v>4</v>
      </c>
      <c r="J2490" s="3">
        <v>0</v>
      </c>
      <c r="K2490" s="3">
        <v>6500</v>
      </c>
    </row>
    <row r="2491" spans="1:11" x14ac:dyDescent="0.2">
      <c r="A2491" s="1" t="s">
        <v>4994</v>
      </c>
      <c r="B2491" s="1" t="s">
        <v>3129</v>
      </c>
      <c r="C2491" s="1"/>
      <c r="D2491" s="1"/>
      <c r="E2491" s="1"/>
      <c r="F2491" s="1"/>
      <c r="G2491" s="1"/>
      <c r="H2491" s="1" t="str">
        <f>"7800007810571"</f>
        <v>7800007810571</v>
      </c>
      <c r="I2491" s="3">
        <v>22</v>
      </c>
      <c r="J2491" s="3">
        <v>0</v>
      </c>
      <c r="K2491" s="3">
        <v>3500</v>
      </c>
    </row>
    <row r="2492" spans="1:11" x14ac:dyDescent="0.2">
      <c r="A2492" s="1" t="s">
        <v>4994</v>
      </c>
      <c r="B2492" s="1" t="s">
        <v>3130</v>
      </c>
      <c r="C2492" s="1"/>
      <c r="D2492" s="1"/>
      <c r="E2492" s="1"/>
      <c r="F2492" s="1"/>
      <c r="G2492" s="1"/>
      <c r="H2492" s="1" t="str">
        <f>"7800063360096"</f>
        <v>7800063360096</v>
      </c>
      <c r="I2492" s="3">
        <v>0</v>
      </c>
      <c r="J2492" s="3">
        <v>0</v>
      </c>
      <c r="K2492" s="3">
        <v>4000</v>
      </c>
    </row>
    <row r="2493" spans="1:11" x14ac:dyDescent="0.2">
      <c r="A2493" s="1" t="s">
        <v>4994</v>
      </c>
      <c r="B2493" s="1" t="s">
        <v>3131</v>
      </c>
      <c r="C2493" s="1"/>
      <c r="D2493" s="1"/>
      <c r="E2493" s="1"/>
      <c r="F2493" s="1"/>
      <c r="G2493" s="1"/>
      <c r="H2493" s="1" t="str">
        <f>"8850217715561"</f>
        <v>8850217715561</v>
      </c>
      <c r="I2493" s="3">
        <v>8</v>
      </c>
      <c r="J2493" s="3">
        <v>0</v>
      </c>
      <c r="K2493" s="3">
        <v>2500</v>
      </c>
    </row>
    <row r="2494" spans="1:11" x14ac:dyDescent="0.2">
      <c r="A2494" s="1" t="s">
        <v>4994</v>
      </c>
      <c r="B2494" s="1" t="s">
        <v>3132</v>
      </c>
      <c r="C2494" s="1"/>
      <c r="D2494" s="1"/>
      <c r="E2494" s="1"/>
      <c r="F2494" s="1"/>
      <c r="G2494" s="1"/>
      <c r="H2494" s="1" t="str">
        <f>"7803504001763"</f>
        <v>7803504001763</v>
      </c>
      <c r="I2494" s="3">
        <v>0</v>
      </c>
      <c r="J2494" s="3">
        <v>0</v>
      </c>
      <c r="K2494" s="3">
        <v>4000</v>
      </c>
    </row>
    <row r="2495" spans="1:11" x14ac:dyDescent="0.2">
      <c r="A2495" s="1" t="s">
        <v>4994</v>
      </c>
      <c r="B2495" s="1" t="s">
        <v>3133</v>
      </c>
      <c r="C2495" s="1"/>
      <c r="D2495" s="1"/>
      <c r="E2495" s="1"/>
      <c r="F2495" s="1"/>
      <c r="G2495" s="1"/>
      <c r="H2495" s="1" t="str">
        <f>"5854010753266"</f>
        <v>5854010753266</v>
      </c>
      <c r="I2495" s="3">
        <v>0</v>
      </c>
      <c r="J2495" s="3">
        <v>0</v>
      </c>
      <c r="K2495" s="3">
        <v>12500</v>
      </c>
    </row>
    <row r="2496" spans="1:11" x14ac:dyDescent="0.2">
      <c r="A2496" s="1" t="s">
        <v>4994</v>
      </c>
      <c r="B2496" s="1" t="s">
        <v>3137</v>
      </c>
      <c r="C2496" s="1"/>
      <c r="D2496" s="1"/>
      <c r="E2496" s="1"/>
      <c r="F2496" s="1"/>
      <c r="G2496" s="1"/>
      <c r="H2496" s="1" t="str">
        <f>"7805357001006"</f>
        <v>7805357001006</v>
      </c>
      <c r="I2496" s="3">
        <v>0</v>
      </c>
      <c r="J2496" s="3">
        <v>0</v>
      </c>
      <c r="K2496" s="3">
        <v>1500</v>
      </c>
    </row>
    <row r="2497" spans="1:11" x14ac:dyDescent="0.2">
      <c r="A2497" s="1" t="s">
        <v>4994</v>
      </c>
      <c r="B2497" s="1" t="s">
        <v>3138</v>
      </c>
      <c r="C2497" s="1"/>
      <c r="D2497" s="1"/>
      <c r="E2497" s="1"/>
      <c r="F2497" s="1"/>
      <c r="G2497" s="1"/>
      <c r="H2497" s="1" t="str">
        <f>"7804947000597"</f>
        <v>7804947000597</v>
      </c>
      <c r="I2497" s="3">
        <v>4</v>
      </c>
      <c r="J2497" s="3">
        <v>0</v>
      </c>
      <c r="K2497" s="3">
        <v>3500</v>
      </c>
    </row>
    <row r="2498" spans="1:11" x14ac:dyDescent="0.2">
      <c r="A2498" s="1" t="s">
        <v>4994</v>
      </c>
      <c r="B2498" s="1" t="s">
        <v>3139</v>
      </c>
      <c r="C2498" s="1"/>
      <c r="D2498" s="1"/>
      <c r="E2498" s="1"/>
      <c r="F2498" s="1"/>
      <c r="G2498" s="1"/>
      <c r="H2498" s="1" t="str">
        <f>"7804947000580"</f>
        <v>7804947000580</v>
      </c>
      <c r="I2498" s="3">
        <v>0</v>
      </c>
      <c r="J2498" s="3">
        <v>0</v>
      </c>
      <c r="K2498" s="3">
        <v>3000</v>
      </c>
    </row>
    <row r="2499" spans="1:11" x14ac:dyDescent="0.2">
      <c r="A2499" s="1" t="s">
        <v>4994</v>
      </c>
      <c r="B2499" s="1" t="s">
        <v>3141</v>
      </c>
      <c r="C2499" s="1"/>
      <c r="D2499" s="1"/>
      <c r="E2499" s="1"/>
      <c r="F2499" s="1"/>
      <c r="G2499" s="1"/>
      <c r="H2499" s="1" t="str">
        <f>"7800028001330"</f>
        <v>7800028001330</v>
      </c>
      <c r="I2499" s="3">
        <v>0</v>
      </c>
      <c r="J2499" s="3">
        <v>0</v>
      </c>
      <c r="K2499" s="3">
        <v>26000</v>
      </c>
    </row>
    <row r="2500" spans="1:11" x14ac:dyDescent="0.2">
      <c r="A2500" s="1" t="s">
        <v>4994</v>
      </c>
      <c r="B2500" s="1" t="s">
        <v>3142</v>
      </c>
      <c r="C2500" s="1"/>
      <c r="D2500" s="1"/>
      <c r="E2500" s="1"/>
      <c r="F2500" s="1"/>
      <c r="G2500" s="1"/>
      <c r="H2500" s="1" t="str">
        <f>"7800028001347"</f>
        <v>7800028001347</v>
      </c>
      <c r="I2500" s="3">
        <v>0</v>
      </c>
      <c r="J2500" s="3">
        <v>0</v>
      </c>
      <c r="K2500" s="3">
        <v>33000</v>
      </c>
    </row>
    <row r="2501" spans="1:11" x14ac:dyDescent="0.2">
      <c r="A2501" s="1" t="s">
        <v>4994</v>
      </c>
      <c r="B2501" s="1" t="s">
        <v>3144</v>
      </c>
      <c r="C2501" s="1"/>
      <c r="D2501" s="1"/>
      <c r="E2501" s="1"/>
      <c r="F2501" s="1"/>
      <c r="G2501" s="1"/>
      <c r="H2501" s="1" t="str">
        <f>"7800007804006"</f>
        <v>7800007804006</v>
      </c>
      <c r="I2501" s="3">
        <v>0</v>
      </c>
      <c r="J2501" s="3">
        <v>0</v>
      </c>
      <c r="K2501" s="3">
        <v>12000</v>
      </c>
    </row>
    <row r="2502" spans="1:11" x14ac:dyDescent="0.2">
      <c r="A2502" s="1" t="s">
        <v>4994</v>
      </c>
      <c r="B2502" s="1" t="s">
        <v>3145</v>
      </c>
      <c r="C2502" s="1"/>
      <c r="D2502" s="1"/>
      <c r="E2502" s="1"/>
      <c r="F2502" s="1"/>
      <c r="G2502" s="1"/>
      <c r="H2502" s="1" t="str">
        <f>"465800300048"</f>
        <v>465800300048</v>
      </c>
      <c r="I2502" s="3">
        <v>0</v>
      </c>
      <c r="J2502" s="3">
        <v>0</v>
      </c>
      <c r="K2502" s="3">
        <v>100</v>
      </c>
    </row>
    <row r="2503" spans="1:11" x14ac:dyDescent="0.2">
      <c r="A2503" s="1" t="s">
        <v>4994</v>
      </c>
      <c r="B2503" s="1" t="s">
        <v>3146</v>
      </c>
      <c r="C2503" s="1"/>
      <c r="D2503" s="1"/>
      <c r="E2503" s="1"/>
      <c r="F2503" s="1"/>
      <c r="G2503" s="1"/>
      <c r="H2503" s="1" t="str">
        <f>"7804918500576"</f>
        <v>7804918500576</v>
      </c>
      <c r="I2503" s="3">
        <v>0</v>
      </c>
      <c r="J2503" s="3">
        <v>0</v>
      </c>
      <c r="K2503" s="3">
        <v>6000</v>
      </c>
    </row>
    <row r="2504" spans="1:11" x14ac:dyDescent="0.2">
      <c r="A2504" s="1" t="s">
        <v>4994</v>
      </c>
      <c r="B2504" s="1" t="s">
        <v>3147</v>
      </c>
      <c r="C2504" s="1"/>
      <c r="D2504" s="1"/>
      <c r="E2504" s="1"/>
      <c r="F2504" s="1"/>
      <c r="G2504" s="1"/>
      <c r="H2504" s="1" t="str">
        <f>"7804918500088"</f>
        <v>7804918500088</v>
      </c>
      <c r="I2504" s="3">
        <v>2</v>
      </c>
      <c r="J2504" s="3">
        <v>0</v>
      </c>
      <c r="K2504" s="3">
        <v>2500</v>
      </c>
    </row>
    <row r="2505" spans="1:11" x14ac:dyDescent="0.2">
      <c r="A2505" s="1" t="s">
        <v>4994</v>
      </c>
      <c r="B2505" s="1" t="s">
        <v>3148</v>
      </c>
      <c r="C2505" s="1"/>
      <c r="D2505" s="1"/>
      <c r="E2505" s="1"/>
      <c r="F2505" s="1"/>
      <c r="G2505" s="1"/>
      <c r="H2505" s="1" t="str">
        <f>"75613044006601"</f>
        <v>75613044006601</v>
      </c>
      <c r="I2505" s="3">
        <v>0</v>
      </c>
      <c r="J2505" s="3">
        <v>0</v>
      </c>
      <c r="K2505" s="3">
        <v>3000</v>
      </c>
    </row>
    <row r="2506" spans="1:11" x14ac:dyDescent="0.2">
      <c r="A2506" s="1" t="s">
        <v>4994</v>
      </c>
      <c r="B2506" s="1" t="s">
        <v>3149</v>
      </c>
      <c r="C2506" s="1"/>
      <c r="D2506" s="1"/>
      <c r="E2506" s="1"/>
      <c r="F2506" s="1"/>
      <c r="G2506" s="1"/>
      <c r="H2506" s="1" t="str">
        <f>"7804918500354"</f>
        <v>7804918500354</v>
      </c>
      <c r="I2506" s="3">
        <v>0</v>
      </c>
      <c r="J2506" s="3">
        <v>0</v>
      </c>
      <c r="K2506" s="3">
        <v>7500</v>
      </c>
    </row>
    <row r="2507" spans="1:11" x14ac:dyDescent="0.2">
      <c r="A2507" s="1" t="s">
        <v>4994</v>
      </c>
      <c r="B2507" s="1" t="s">
        <v>3152</v>
      </c>
      <c r="C2507" s="1"/>
      <c r="D2507" s="1"/>
      <c r="E2507" s="1"/>
      <c r="F2507" s="1"/>
      <c r="G2507" s="1"/>
      <c r="H2507" s="1" t="str">
        <f>"8711231114283"</f>
        <v>8711231114283</v>
      </c>
      <c r="I2507" s="3">
        <v>0</v>
      </c>
      <c r="J2507" s="3">
        <v>0</v>
      </c>
      <c r="K2507" s="3">
        <v>11000</v>
      </c>
    </row>
    <row r="2508" spans="1:11" x14ac:dyDescent="0.2">
      <c r="A2508" s="1" t="s">
        <v>4994</v>
      </c>
      <c r="B2508" s="1" t="s">
        <v>3153</v>
      </c>
      <c r="C2508" s="1"/>
      <c r="D2508" s="1"/>
      <c r="E2508" s="1"/>
      <c r="F2508" s="1"/>
      <c r="G2508" s="1"/>
      <c r="H2508" s="1" t="str">
        <f>"7800059005055"</f>
        <v>7800059005055</v>
      </c>
      <c r="I2508" s="3">
        <v>8</v>
      </c>
      <c r="J2508" s="3">
        <v>0</v>
      </c>
      <c r="K2508" s="3">
        <v>17000</v>
      </c>
    </row>
    <row r="2509" spans="1:11" x14ac:dyDescent="0.2">
      <c r="A2509" s="1" t="s">
        <v>4994</v>
      </c>
      <c r="B2509" s="1" t="s">
        <v>3154</v>
      </c>
      <c r="C2509" s="1"/>
      <c r="D2509" s="1"/>
      <c r="E2509" s="1"/>
      <c r="F2509" s="1"/>
      <c r="G2509" s="1"/>
      <c r="H2509" s="1" t="str">
        <f>"5027314498625"</f>
        <v>5027314498625</v>
      </c>
      <c r="I2509" s="3">
        <v>0</v>
      </c>
      <c r="J2509" s="3">
        <v>0</v>
      </c>
      <c r="K2509" s="3">
        <v>21000</v>
      </c>
    </row>
    <row r="2510" spans="1:11" x14ac:dyDescent="0.2">
      <c r="A2510" s="1" t="s">
        <v>4994</v>
      </c>
      <c r="B2510" s="1" t="s">
        <v>3155</v>
      </c>
      <c r="C2510" s="1"/>
      <c r="D2510" s="1"/>
      <c r="E2510" s="1"/>
      <c r="F2510" s="1"/>
      <c r="G2510" s="1"/>
      <c r="H2510" s="1" t="str">
        <f>"7800059006281"</f>
        <v>7800059006281</v>
      </c>
      <c r="I2510" s="3">
        <v>0</v>
      </c>
      <c r="J2510" s="3">
        <v>0</v>
      </c>
      <c r="K2510" s="3">
        <v>25000</v>
      </c>
    </row>
    <row r="2511" spans="1:11" x14ac:dyDescent="0.2">
      <c r="A2511" s="1" t="s">
        <v>4994</v>
      </c>
      <c r="B2511" s="1" t="s">
        <v>3156</v>
      </c>
      <c r="C2511" s="1"/>
      <c r="D2511" s="1"/>
      <c r="E2511" s="1"/>
      <c r="F2511" s="1"/>
      <c r="G2511" s="1"/>
      <c r="H2511" s="1" t="str">
        <f>"7800059006991"</f>
        <v>7800059006991</v>
      </c>
      <c r="I2511" s="3">
        <v>0</v>
      </c>
      <c r="J2511" s="3">
        <v>0</v>
      </c>
      <c r="K2511" s="3">
        <v>17000</v>
      </c>
    </row>
    <row r="2512" spans="1:11" x14ac:dyDescent="0.2">
      <c r="A2512" s="1" t="s">
        <v>4994</v>
      </c>
      <c r="B2512" s="1" t="s">
        <v>3157</v>
      </c>
      <c r="C2512" s="1"/>
      <c r="D2512" s="1"/>
      <c r="E2512" s="1"/>
      <c r="F2512" s="1"/>
      <c r="G2512" s="1"/>
      <c r="H2512" s="1" t="str">
        <f>"5027314502940"</f>
        <v>5027314502940</v>
      </c>
      <c r="I2512" s="3">
        <v>20</v>
      </c>
      <c r="J2512" s="3">
        <v>0</v>
      </c>
      <c r="K2512" s="3">
        <v>18000</v>
      </c>
    </row>
    <row r="2513" spans="1:11" x14ac:dyDescent="0.2">
      <c r="A2513" s="1" t="s">
        <v>4994</v>
      </c>
      <c r="B2513" s="1" t="s">
        <v>3158</v>
      </c>
      <c r="C2513" s="1"/>
      <c r="D2513" s="1"/>
      <c r="E2513" s="1"/>
      <c r="F2513" s="1"/>
      <c r="G2513" s="1"/>
      <c r="H2513" s="1" t="str">
        <f>"5027314502964"</f>
        <v>5027314502964</v>
      </c>
      <c r="I2513" s="3">
        <v>0</v>
      </c>
      <c r="J2513" s="3">
        <v>0</v>
      </c>
      <c r="K2513" s="3">
        <v>17000</v>
      </c>
    </row>
    <row r="2514" spans="1:11" x14ac:dyDescent="0.2">
      <c r="A2514" s="1" t="s">
        <v>4994</v>
      </c>
      <c r="B2514" s="1" t="s">
        <v>3161</v>
      </c>
      <c r="C2514" s="1"/>
      <c r="D2514" s="1"/>
      <c r="E2514" s="1"/>
      <c r="F2514" s="1"/>
      <c r="G2514" s="1"/>
      <c r="H2514" s="1" t="str">
        <f>"7804671180190"</f>
        <v>7804671180190</v>
      </c>
      <c r="I2514" s="3">
        <v>46</v>
      </c>
      <c r="J2514" s="3">
        <v>0</v>
      </c>
      <c r="K2514" s="3">
        <v>3960</v>
      </c>
    </row>
    <row r="2515" spans="1:11" x14ac:dyDescent="0.2">
      <c r="A2515" s="1" t="s">
        <v>4994</v>
      </c>
      <c r="B2515" s="1" t="s">
        <v>3162</v>
      </c>
      <c r="C2515" s="1"/>
      <c r="D2515" s="1"/>
      <c r="E2515" s="1"/>
      <c r="F2515" s="1"/>
      <c r="G2515" s="1"/>
      <c r="H2515" s="1" t="str">
        <f>"7805633022800"</f>
        <v>7805633022800</v>
      </c>
      <c r="I2515" s="3">
        <v>0</v>
      </c>
      <c r="J2515" s="3">
        <v>0</v>
      </c>
      <c r="K2515" s="3">
        <v>4000</v>
      </c>
    </row>
    <row r="2516" spans="1:11" x14ac:dyDescent="0.2">
      <c r="A2516" s="1" t="s">
        <v>4994</v>
      </c>
      <c r="B2516" s="1" t="s">
        <v>3163</v>
      </c>
      <c r="C2516" s="1"/>
      <c r="D2516" s="1"/>
      <c r="E2516" s="1"/>
      <c r="F2516" s="1"/>
      <c r="G2516" s="1"/>
      <c r="H2516" s="1" t="str">
        <f>"7805633022824"</f>
        <v>7805633022824</v>
      </c>
      <c r="I2516" s="3">
        <v>5</v>
      </c>
      <c r="J2516" s="3">
        <v>0</v>
      </c>
      <c r="K2516" s="3">
        <v>3500</v>
      </c>
    </row>
    <row r="2517" spans="1:11" x14ac:dyDescent="0.2">
      <c r="A2517" s="1" t="s">
        <v>4994</v>
      </c>
      <c r="B2517" s="1" t="s">
        <v>3164</v>
      </c>
      <c r="C2517" s="1"/>
      <c r="D2517" s="1"/>
      <c r="E2517" s="1"/>
      <c r="F2517" s="1"/>
      <c r="G2517" s="1"/>
      <c r="H2517" s="1" t="str">
        <f>"7805633027393"</f>
        <v>7805633027393</v>
      </c>
      <c r="I2517" s="3">
        <v>2</v>
      </c>
      <c r="J2517" s="3">
        <v>0</v>
      </c>
      <c r="K2517" s="3">
        <v>11000</v>
      </c>
    </row>
    <row r="2518" spans="1:11" x14ac:dyDescent="0.2">
      <c r="A2518" s="1" t="s">
        <v>4994</v>
      </c>
      <c r="B2518" s="1" t="s">
        <v>3165</v>
      </c>
      <c r="C2518" s="1"/>
      <c r="D2518" s="1"/>
      <c r="E2518" s="1"/>
      <c r="F2518" s="1"/>
      <c r="G2518" s="1"/>
      <c r="H2518" s="1" t="str">
        <f>"737186534196"</f>
        <v>737186534196</v>
      </c>
      <c r="I2518" s="3">
        <v>0</v>
      </c>
      <c r="J2518" s="3">
        <v>0</v>
      </c>
      <c r="K2518" s="3">
        <v>5000</v>
      </c>
    </row>
    <row r="2519" spans="1:11" x14ac:dyDescent="0.2">
      <c r="A2519" s="1" t="s">
        <v>4994</v>
      </c>
      <c r="B2519" s="1" t="s">
        <v>3167</v>
      </c>
      <c r="C2519" s="1"/>
      <c r="D2519" s="1"/>
      <c r="E2519" s="1"/>
      <c r="F2519" s="1"/>
      <c r="G2519" s="1"/>
      <c r="H2519" s="1" t="str">
        <f>"7805633029090"</f>
        <v>7805633029090</v>
      </c>
      <c r="I2519" s="3">
        <v>0</v>
      </c>
      <c r="J2519" s="3">
        <v>0</v>
      </c>
      <c r="K2519" s="3">
        <v>3000</v>
      </c>
    </row>
    <row r="2520" spans="1:11" x14ac:dyDescent="0.2">
      <c r="A2520" s="1" t="s">
        <v>4994</v>
      </c>
      <c r="B2520" s="1" t="s">
        <v>3168</v>
      </c>
      <c r="C2520" s="1"/>
      <c r="D2520" s="1"/>
      <c r="E2520" s="1"/>
      <c r="F2520" s="1"/>
      <c r="G2520" s="1"/>
      <c r="H2520" s="1" t="str">
        <f>"7804651290291"</f>
        <v>7804651290291</v>
      </c>
      <c r="I2520" s="3">
        <v>21</v>
      </c>
      <c r="J2520" s="3">
        <v>0</v>
      </c>
      <c r="K2520" s="3">
        <v>11000</v>
      </c>
    </row>
    <row r="2521" spans="1:11" x14ac:dyDescent="0.2">
      <c r="A2521" s="1" t="s">
        <v>4994</v>
      </c>
      <c r="B2521" s="1" t="s">
        <v>3169</v>
      </c>
      <c r="C2521" s="1"/>
      <c r="D2521" s="1"/>
      <c r="E2521" s="1"/>
      <c r="F2521" s="1"/>
      <c r="G2521" s="1"/>
      <c r="H2521" s="1" t="str">
        <f>"7804651290345"</f>
        <v>7804651290345</v>
      </c>
      <c r="I2521" s="3">
        <v>0</v>
      </c>
      <c r="J2521" s="3">
        <v>0</v>
      </c>
      <c r="K2521" s="3">
        <v>19000</v>
      </c>
    </row>
    <row r="2522" spans="1:11" x14ac:dyDescent="0.2">
      <c r="A2522" s="1" t="s">
        <v>4994</v>
      </c>
      <c r="B2522" s="1" t="s">
        <v>3170</v>
      </c>
      <c r="C2522" s="1"/>
      <c r="D2522" s="1"/>
      <c r="E2522" s="1"/>
      <c r="F2522" s="1"/>
      <c r="G2522" s="1"/>
      <c r="H2522" s="1" t="str">
        <f>"7804651290109"</f>
        <v>7804651290109</v>
      </c>
      <c r="I2522" s="3">
        <v>0</v>
      </c>
      <c r="J2522" s="3">
        <v>0</v>
      </c>
      <c r="K2522" s="3">
        <v>27000</v>
      </c>
    </row>
    <row r="2523" spans="1:11" x14ac:dyDescent="0.2">
      <c r="A2523" s="1" t="s">
        <v>4994</v>
      </c>
      <c r="B2523" s="1" t="s">
        <v>3171</v>
      </c>
      <c r="C2523" s="1"/>
      <c r="D2523" s="1"/>
      <c r="E2523" s="1"/>
      <c r="F2523" s="1"/>
      <c r="G2523" s="1"/>
      <c r="H2523" s="1" t="str">
        <f>"7804651290321"</f>
        <v>7804651290321</v>
      </c>
      <c r="I2523" s="3">
        <v>0</v>
      </c>
      <c r="J2523" s="3">
        <v>0</v>
      </c>
      <c r="K2523" s="3">
        <v>23000</v>
      </c>
    </row>
    <row r="2524" spans="1:11" x14ac:dyDescent="0.2">
      <c r="A2524" s="1" t="s">
        <v>4994</v>
      </c>
      <c r="B2524" s="1" t="s">
        <v>3172</v>
      </c>
      <c r="C2524" s="1"/>
      <c r="D2524" s="1"/>
      <c r="E2524" s="1"/>
      <c r="F2524" s="1"/>
      <c r="G2524" s="1"/>
      <c r="H2524" s="1" t="str">
        <f>"7804651290338"</f>
        <v>7804651290338</v>
      </c>
      <c r="I2524" s="3">
        <v>0</v>
      </c>
      <c r="J2524" s="3">
        <v>0</v>
      </c>
      <c r="K2524" s="3">
        <v>14000</v>
      </c>
    </row>
    <row r="2525" spans="1:11" x14ac:dyDescent="0.2">
      <c r="A2525" s="1" t="s">
        <v>4994</v>
      </c>
      <c r="B2525" s="1" t="s">
        <v>3173</v>
      </c>
      <c r="C2525" s="1"/>
      <c r="D2525" s="1"/>
      <c r="E2525" s="1"/>
      <c r="F2525" s="1"/>
      <c r="G2525" s="1"/>
      <c r="H2525" s="1" t="str">
        <f>"7795347982890"</f>
        <v>7795347982890</v>
      </c>
      <c r="I2525" s="3">
        <v>0</v>
      </c>
      <c r="J2525" s="3">
        <v>0</v>
      </c>
      <c r="K2525" s="3">
        <v>5000</v>
      </c>
    </row>
    <row r="2526" spans="1:11" x14ac:dyDescent="0.2">
      <c r="A2526" s="1" t="s">
        <v>4994</v>
      </c>
      <c r="B2526" s="1" t="s">
        <v>3174</v>
      </c>
      <c r="C2526" s="1"/>
      <c r="D2526" s="1"/>
      <c r="E2526" s="1"/>
      <c r="F2526" s="1"/>
      <c r="G2526" s="1"/>
      <c r="H2526" s="1" t="str">
        <f>"7804640560534"</f>
        <v>7804640560534</v>
      </c>
      <c r="I2526" s="3">
        <v>0</v>
      </c>
      <c r="J2526" s="3">
        <v>0</v>
      </c>
      <c r="K2526" s="3">
        <v>4500</v>
      </c>
    </row>
    <row r="2527" spans="1:11" x14ac:dyDescent="0.2">
      <c r="A2527" s="1" t="s">
        <v>4994</v>
      </c>
      <c r="B2527" s="1" t="s">
        <v>3176</v>
      </c>
      <c r="C2527" s="1"/>
      <c r="D2527" s="1"/>
      <c r="E2527" s="1"/>
      <c r="F2527" s="1"/>
      <c r="G2527" s="1"/>
      <c r="H2527" s="1" t="str">
        <f>"7800060009738"</f>
        <v>7800060009738</v>
      </c>
      <c r="I2527" s="3">
        <v>12</v>
      </c>
      <c r="J2527" s="3">
        <v>0</v>
      </c>
      <c r="K2527" s="3">
        <v>4000</v>
      </c>
    </row>
    <row r="2528" spans="1:11" x14ac:dyDescent="0.2">
      <c r="A2528" s="1" t="s">
        <v>4994</v>
      </c>
      <c r="B2528" s="1" t="s">
        <v>3177</v>
      </c>
      <c r="C2528" s="1"/>
      <c r="D2528" s="1"/>
      <c r="E2528" s="1"/>
      <c r="F2528" s="1"/>
      <c r="G2528" s="1"/>
      <c r="H2528" s="1" t="str">
        <f>"7800060003606"</f>
        <v>7800060003606</v>
      </c>
      <c r="I2528" s="3">
        <v>0</v>
      </c>
      <c r="J2528" s="3">
        <v>0</v>
      </c>
      <c r="K2528" s="3">
        <v>9000</v>
      </c>
    </row>
    <row r="2529" spans="1:11" x14ac:dyDescent="0.2">
      <c r="A2529" s="1" t="s">
        <v>4994</v>
      </c>
      <c r="B2529" s="1" t="s">
        <v>3178</v>
      </c>
      <c r="C2529" s="1"/>
      <c r="D2529" s="1"/>
      <c r="E2529" s="1"/>
      <c r="F2529" s="1"/>
      <c r="G2529" s="1"/>
      <c r="H2529" s="1" t="str">
        <f>"8862233777881"</f>
        <v>8862233777881</v>
      </c>
      <c r="I2529" s="3">
        <v>0</v>
      </c>
      <c r="J2529" s="3">
        <v>0</v>
      </c>
      <c r="K2529" s="3">
        <v>1500</v>
      </c>
    </row>
    <row r="2530" spans="1:11" x14ac:dyDescent="0.2">
      <c r="A2530" s="1" t="s">
        <v>4994</v>
      </c>
      <c r="B2530" s="1" t="s">
        <v>3179</v>
      </c>
      <c r="C2530" s="1"/>
      <c r="D2530" s="1"/>
      <c r="E2530" s="1"/>
      <c r="F2530" s="1"/>
      <c r="G2530" s="1"/>
      <c r="H2530" s="1" t="str">
        <f>"8424559090138"</f>
        <v>8424559090138</v>
      </c>
      <c r="I2530" s="3">
        <v>0</v>
      </c>
      <c r="J2530" s="3">
        <v>0</v>
      </c>
      <c r="K2530" s="3">
        <v>1500</v>
      </c>
    </row>
    <row r="2531" spans="1:11" x14ac:dyDescent="0.2">
      <c r="A2531" s="1" t="s">
        <v>4994</v>
      </c>
      <c r="B2531" s="1" t="s">
        <v>3180</v>
      </c>
      <c r="C2531" s="1"/>
      <c r="D2531" s="1"/>
      <c r="E2531" s="1"/>
      <c r="F2531" s="1"/>
      <c r="G2531" s="1"/>
      <c r="H2531" s="1" t="str">
        <f>"7805633023562"</f>
        <v>7805633023562</v>
      </c>
      <c r="I2531" s="3">
        <v>0</v>
      </c>
      <c r="J2531" s="3">
        <v>0</v>
      </c>
      <c r="K2531" s="3">
        <v>1500</v>
      </c>
    </row>
    <row r="2532" spans="1:11" x14ac:dyDescent="0.2">
      <c r="A2532" s="1" t="s">
        <v>4994</v>
      </c>
      <c r="B2532" s="1" t="s">
        <v>3181</v>
      </c>
      <c r="C2532" s="1"/>
      <c r="D2532" s="1"/>
      <c r="E2532" s="1"/>
      <c r="F2532" s="1"/>
      <c r="G2532" s="1"/>
      <c r="H2532" s="1" t="str">
        <f>"7506475116800"</f>
        <v>7506475116800</v>
      </c>
      <c r="I2532" s="3">
        <v>0</v>
      </c>
      <c r="J2532" s="3">
        <v>0</v>
      </c>
      <c r="K2532" s="3">
        <v>24000</v>
      </c>
    </row>
    <row r="2533" spans="1:11" x14ac:dyDescent="0.2">
      <c r="A2533" s="1" t="s">
        <v>4994</v>
      </c>
      <c r="B2533" s="1" t="s">
        <v>3182</v>
      </c>
      <c r="C2533" s="1"/>
      <c r="D2533" s="1"/>
      <c r="E2533" s="1"/>
      <c r="F2533" s="1"/>
      <c r="G2533" s="1"/>
      <c r="H2533" s="1" t="str">
        <f>"7506475116961"</f>
        <v>7506475116961</v>
      </c>
      <c r="I2533" s="3">
        <v>1</v>
      </c>
      <c r="J2533" s="3">
        <v>0</v>
      </c>
      <c r="K2533" s="3">
        <v>32000</v>
      </c>
    </row>
    <row r="2534" spans="1:11" x14ac:dyDescent="0.2">
      <c r="A2534" s="1" t="s">
        <v>4994</v>
      </c>
      <c r="B2534" s="1" t="s">
        <v>3183</v>
      </c>
      <c r="C2534" s="1"/>
      <c r="D2534" s="1"/>
      <c r="E2534" s="1"/>
      <c r="F2534" s="1"/>
      <c r="G2534" s="1"/>
      <c r="H2534" s="1" t="str">
        <f>"7506475116794"</f>
        <v>7506475116794</v>
      </c>
      <c r="I2534" s="3">
        <v>0</v>
      </c>
      <c r="J2534" s="3">
        <v>0</v>
      </c>
      <c r="K2534" s="3">
        <v>19000</v>
      </c>
    </row>
    <row r="2535" spans="1:11" x14ac:dyDescent="0.2">
      <c r="A2535" s="1" t="s">
        <v>4994</v>
      </c>
      <c r="B2535" s="1" t="s">
        <v>3184</v>
      </c>
      <c r="C2535" s="1"/>
      <c r="D2535" s="1"/>
      <c r="E2535" s="1"/>
      <c r="F2535" s="1"/>
      <c r="G2535" s="1"/>
      <c r="H2535" s="1" t="str">
        <f>"7506475116954"</f>
        <v>7506475116954</v>
      </c>
      <c r="I2535" s="3">
        <v>7</v>
      </c>
      <c r="J2535" s="3">
        <v>0</v>
      </c>
      <c r="K2535" s="3">
        <v>27000</v>
      </c>
    </row>
    <row r="2536" spans="1:11" x14ac:dyDescent="0.2">
      <c r="A2536" s="1" t="s">
        <v>4994</v>
      </c>
      <c r="B2536" s="1" t="s">
        <v>3185</v>
      </c>
      <c r="C2536" s="1"/>
      <c r="D2536" s="1"/>
      <c r="E2536" s="1"/>
      <c r="F2536" s="1"/>
      <c r="G2536" s="1"/>
      <c r="H2536" s="1" t="str">
        <f>"7613039819333"</f>
        <v>7613039819333</v>
      </c>
      <c r="I2536" s="3">
        <v>0</v>
      </c>
      <c r="J2536" s="3">
        <v>0</v>
      </c>
      <c r="K2536" s="3">
        <v>28000</v>
      </c>
    </row>
    <row r="2537" spans="1:11" x14ac:dyDescent="0.2">
      <c r="A2537" s="1" t="s">
        <v>4994</v>
      </c>
      <c r="B2537" s="1" t="s">
        <v>3186</v>
      </c>
      <c r="C2537" s="1"/>
      <c r="D2537" s="1"/>
      <c r="E2537" s="1"/>
      <c r="F2537" s="1"/>
      <c r="G2537" s="1"/>
      <c r="H2537" s="1" t="str">
        <f>"7501059232877"</f>
        <v>7501059232877</v>
      </c>
      <c r="I2537" s="3">
        <v>0</v>
      </c>
      <c r="J2537" s="3">
        <v>0</v>
      </c>
      <c r="K2537" s="3">
        <v>32000</v>
      </c>
    </row>
    <row r="2538" spans="1:11" x14ac:dyDescent="0.2">
      <c r="A2538" s="1" t="s">
        <v>4994</v>
      </c>
      <c r="B2538" s="1" t="s">
        <v>3187</v>
      </c>
      <c r="C2538" s="1"/>
      <c r="D2538" s="1"/>
      <c r="E2538" s="1"/>
      <c r="F2538" s="1"/>
      <c r="G2538" s="1"/>
      <c r="H2538" s="1" t="str">
        <f>"8445291357891"</f>
        <v>8445291357891</v>
      </c>
      <c r="I2538" s="3">
        <v>9</v>
      </c>
      <c r="J2538" s="3">
        <v>0</v>
      </c>
      <c r="K2538" s="3">
        <v>14000</v>
      </c>
    </row>
    <row r="2539" spans="1:11" x14ac:dyDescent="0.2">
      <c r="A2539" s="1" t="s">
        <v>4994</v>
      </c>
      <c r="B2539" s="1" t="s">
        <v>3188</v>
      </c>
      <c r="C2539" s="1"/>
      <c r="D2539" s="1"/>
      <c r="E2539" s="1"/>
      <c r="F2539" s="1"/>
      <c r="G2539" s="1"/>
      <c r="H2539" s="1" t="str">
        <f>"7896548134825"</f>
        <v>7896548134825</v>
      </c>
      <c r="I2539" s="3">
        <v>0</v>
      </c>
      <c r="J2539" s="3">
        <v>0</v>
      </c>
      <c r="K2539" s="3">
        <v>55000</v>
      </c>
    </row>
    <row r="2540" spans="1:11" x14ac:dyDescent="0.2">
      <c r="A2540" s="1" t="s">
        <v>4994</v>
      </c>
      <c r="B2540" s="1" t="s">
        <v>3189</v>
      </c>
      <c r="C2540" s="1"/>
      <c r="D2540" s="1"/>
      <c r="E2540" s="1"/>
      <c r="F2540" s="1"/>
      <c r="G2540" s="1"/>
      <c r="H2540" s="1" t="str">
        <f>"7800007176394"</f>
        <v>7800007176394</v>
      </c>
      <c r="I2540" s="3">
        <v>0</v>
      </c>
      <c r="J2540" s="3">
        <v>0</v>
      </c>
      <c r="K2540" s="3">
        <v>1500</v>
      </c>
    </row>
    <row r="2541" spans="1:11" x14ac:dyDescent="0.2">
      <c r="A2541" s="1" t="s">
        <v>4994</v>
      </c>
      <c r="B2541" s="1" t="s">
        <v>3192</v>
      </c>
      <c r="C2541" s="1"/>
      <c r="D2541" s="1"/>
      <c r="E2541" s="1"/>
      <c r="F2541" s="1"/>
      <c r="G2541" s="1"/>
      <c r="H2541" s="1" t="str">
        <f>"4711436400208"</f>
        <v>4711436400208</v>
      </c>
      <c r="I2541" s="3">
        <v>3</v>
      </c>
      <c r="J2541" s="3">
        <v>0</v>
      </c>
      <c r="K2541" s="3">
        <v>6000</v>
      </c>
    </row>
    <row r="2542" spans="1:11" x14ac:dyDescent="0.2">
      <c r="A2542" s="1" t="s">
        <v>4994</v>
      </c>
      <c r="B2542" s="1" t="s">
        <v>3193</v>
      </c>
      <c r="C2542" s="1"/>
      <c r="D2542" s="1"/>
      <c r="E2542" s="1"/>
      <c r="F2542" s="1"/>
      <c r="G2542" s="1"/>
      <c r="H2542" s="1" t="str">
        <f>"7800007790651"</f>
        <v>7800007790651</v>
      </c>
      <c r="I2542" s="3">
        <v>0</v>
      </c>
      <c r="J2542" s="3">
        <v>0</v>
      </c>
      <c r="K2542" s="3">
        <v>13000</v>
      </c>
    </row>
    <row r="2543" spans="1:11" x14ac:dyDescent="0.2">
      <c r="A2543" s="1" t="s">
        <v>4994</v>
      </c>
      <c r="B2543" s="1" t="s">
        <v>3194</v>
      </c>
      <c r="C2543" s="1"/>
      <c r="D2543" s="1"/>
      <c r="E2543" s="1"/>
      <c r="F2543" s="1"/>
      <c r="G2543" s="1"/>
      <c r="H2543" s="1" t="str">
        <f>"7800007790736"</f>
        <v>7800007790736</v>
      </c>
      <c r="I2543" s="3">
        <v>0</v>
      </c>
      <c r="J2543" s="3">
        <v>0</v>
      </c>
      <c r="K2543" s="3">
        <v>5000</v>
      </c>
    </row>
    <row r="2544" spans="1:11" x14ac:dyDescent="0.2">
      <c r="A2544" s="1" t="s">
        <v>4994</v>
      </c>
      <c r="B2544" s="1" t="s">
        <v>3195</v>
      </c>
      <c r="C2544" s="1"/>
      <c r="D2544" s="1"/>
      <c r="E2544" s="1"/>
      <c r="F2544" s="1"/>
      <c r="G2544" s="1"/>
      <c r="H2544" s="1" t="str">
        <f>"7501298211367"</f>
        <v>7501298211367</v>
      </c>
      <c r="I2544" s="3">
        <v>0</v>
      </c>
      <c r="J2544" s="3">
        <v>0</v>
      </c>
      <c r="K2544" s="3">
        <v>12000</v>
      </c>
    </row>
    <row r="2545" spans="1:11" x14ac:dyDescent="0.2">
      <c r="A2545" s="1" t="s">
        <v>4994</v>
      </c>
      <c r="B2545" s="1" t="s">
        <v>3196</v>
      </c>
      <c r="C2545" s="1"/>
      <c r="D2545" s="1"/>
      <c r="E2545" s="1"/>
      <c r="F2545" s="1"/>
      <c r="G2545" s="1"/>
      <c r="H2545" s="1" t="str">
        <f>"7800063000794"</f>
        <v>7800063000794</v>
      </c>
      <c r="I2545" s="3">
        <v>0</v>
      </c>
      <c r="J2545" s="3">
        <v>0</v>
      </c>
      <c r="K2545" s="3">
        <v>3500</v>
      </c>
    </row>
    <row r="2546" spans="1:11" x14ac:dyDescent="0.2">
      <c r="A2546" s="1" t="s">
        <v>4994</v>
      </c>
      <c r="B2546" s="1" t="s">
        <v>3197</v>
      </c>
      <c r="C2546" s="1"/>
      <c r="D2546" s="1"/>
      <c r="E2546" s="1"/>
      <c r="F2546" s="1"/>
      <c r="G2546" s="1"/>
      <c r="H2546" s="1" t="str">
        <f>"7707213871269"</f>
        <v>7707213871269</v>
      </c>
      <c r="I2546" s="3">
        <v>0</v>
      </c>
      <c r="J2546" s="3">
        <v>0</v>
      </c>
      <c r="K2546" s="3">
        <v>23000</v>
      </c>
    </row>
    <row r="2547" spans="1:11" x14ac:dyDescent="0.2">
      <c r="A2547" s="1" t="s">
        <v>4994</v>
      </c>
      <c r="B2547" s="1" t="s">
        <v>3199</v>
      </c>
      <c r="C2547" s="1"/>
      <c r="D2547" s="1"/>
      <c r="E2547" s="1"/>
      <c r="F2547" s="1"/>
      <c r="G2547" s="1"/>
      <c r="H2547" s="1" t="str">
        <f>"7800028001231"</f>
        <v>7800028001231</v>
      </c>
      <c r="I2547" s="3">
        <v>0</v>
      </c>
      <c r="J2547" s="3">
        <v>0</v>
      </c>
      <c r="K2547" s="3">
        <v>1000</v>
      </c>
    </row>
    <row r="2548" spans="1:11" x14ac:dyDescent="0.2">
      <c r="A2548" s="1" t="s">
        <v>4994</v>
      </c>
      <c r="B2548" s="1" t="s">
        <v>3201</v>
      </c>
      <c r="C2548" s="1"/>
      <c r="D2548" s="1"/>
      <c r="E2548" s="1"/>
      <c r="F2548" s="1"/>
      <c r="G2548" s="1"/>
      <c r="H2548" s="1" t="str">
        <f>"7800028000852"</f>
        <v>7800028000852</v>
      </c>
      <c r="I2548" s="3">
        <v>21</v>
      </c>
      <c r="J2548" s="3">
        <v>0</v>
      </c>
      <c r="K2548" s="3">
        <v>10800</v>
      </c>
    </row>
    <row r="2549" spans="1:11" x14ac:dyDescent="0.2">
      <c r="A2549" s="1" t="s">
        <v>4994</v>
      </c>
      <c r="B2549" s="1" t="s">
        <v>3202</v>
      </c>
      <c r="C2549" s="1"/>
      <c r="D2549" s="1"/>
      <c r="E2549" s="1"/>
      <c r="F2549" s="1"/>
      <c r="G2549" s="1"/>
      <c r="H2549" s="1" t="str">
        <f>"7800028210602"</f>
        <v>7800028210602</v>
      </c>
      <c r="I2549" s="3">
        <v>0</v>
      </c>
      <c r="J2549" s="3">
        <v>0</v>
      </c>
      <c r="K2549" s="3">
        <v>3500</v>
      </c>
    </row>
    <row r="2550" spans="1:11" x14ac:dyDescent="0.2">
      <c r="A2550" s="1" t="s">
        <v>4994</v>
      </c>
      <c r="B2550" s="1" t="s">
        <v>3203</v>
      </c>
      <c r="C2550" s="1"/>
      <c r="D2550" s="1"/>
      <c r="E2550" s="1"/>
      <c r="F2550" s="1"/>
      <c r="G2550" s="1"/>
      <c r="H2550" s="1" t="str">
        <f>"7800028210350"</f>
        <v>7800028210350</v>
      </c>
      <c r="I2550" s="3">
        <v>0</v>
      </c>
      <c r="J2550" s="3">
        <v>0</v>
      </c>
      <c r="K2550" s="3">
        <v>9500</v>
      </c>
    </row>
    <row r="2551" spans="1:11" x14ac:dyDescent="0.2">
      <c r="A2551" s="1" t="s">
        <v>4994</v>
      </c>
      <c r="B2551" s="1" t="s">
        <v>3205</v>
      </c>
      <c r="C2551" s="1"/>
      <c r="D2551" s="1"/>
      <c r="E2551" s="1"/>
      <c r="F2551" s="1"/>
      <c r="G2551" s="1"/>
      <c r="H2551" s="1" t="str">
        <f>"7800028310296"</f>
        <v>7800028310296</v>
      </c>
      <c r="I2551" s="3">
        <v>10</v>
      </c>
      <c r="J2551" s="3">
        <v>0</v>
      </c>
      <c r="K2551" s="3">
        <v>10000</v>
      </c>
    </row>
    <row r="2552" spans="1:11" x14ac:dyDescent="0.2">
      <c r="A2552" s="1" t="s">
        <v>4994</v>
      </c>
      <c r="B2552" s="1" t="s">
        <v>3206</v>
      </c>
      <c r="C2552" s="1"/>
      <c r="D2552" s="1"/>
      <c r="E2552" s="1"/>
      <c r="F2552" s="1"/>
      <c r="G2552" s="1"/>
      <c r="H2552" s="1" t="str">
        <f>"7800041047605"</f>
        <v>7800041047605</v>
      </c>
      <c r="I2552" s="3">
        <v>11</v>
      </c>
      <c r="J2552" s="3">
        <v>0</v>
      </c>
      <c r="K2552" s="3">
        <v>2000</v>
      </c>
    </row>
    <row r="2553" spans="1:11" x14ac:dyDescent="0.2">
      <c r="A2553" s="1" t="s">
        <v>4994</v>
      </c>
      <c r="B2553" s="1" t="s">
        <v>3207</v>
      </c>
      <c r="C2553" s="1"/>
      <c r="D2553" s="1"/>
      <c r="E2553" s="1"/>
      <c r="F2553" s="1"/>
      <c r="G2553" s="1"/>
      <c r="H2553" s="1" t="str">
        <f>"7800041047629"</f>
        <v>7800041047629</v>
      </c>
      <c r="I2553" s="3">
        <v>59</v>
      </c>
      <c r="J2553" s="3">
        <v>0</v>
      </c>
      <c r="K2553" s="3">
        <v>3000</v>
      </c>
    </row>
    <row r="2554" spans="1:11" x14ac:dyDescent="0.2">
      <c r="A2554" s="1" t="s">
        <v>4994</v>
      </c>
      <c r="B2554" s="1" t="s">
        <v>3208</v>
      </c>
      <c r="C2554" s="1"/>
      <c r="D2554" s="1"/>
      <c r="E2554" s="1"/>
      <c r="F2554" s="1"/>
      <c r="G2554" s="1"/>
      <c r="H2554" s="1" t="str">
        <f>"7800041047643"</f>
        <v>7800041047643</v>
      </c>
      <c r="I2554" s="3">
        <v>30</v>
      </c>
      <c r="J2554" s="3">
        <v>0</v>
      </c>
      <c r="K2554" s="3">
        <v>5500</v>
      </c>
    </row>
    <row r="2555" spans="1:11" x14ac:dyDescent="0.2">
      <c r="A2555" s="1" t="s">
        <v>4994</v>
      </c>
      <c r="B2555" s="1" t="s">
        <v>3210</v>
      </c>
      <c r="C2555" s="1"/>
      <c r="D2555" s="1"/>
      <c r="E2555" s="1"/>
      <c r="F2555" s="1"/>
      <c r="G2555" s="1"/>
      <c r="H2555" s="1" t="str">
        <f>"7809591401936"</f>
        <v>7809591401936</v>
      </c>
      <c r="I2555" s="3">
        <v>0</v>
      </c>
      <c r="J2555" s="3">
        <v>0</v>
      </c>
      <c r="K2555" s="3">
        <v>9000</v>
      </c>
    </row>
    <row r="2556" spans="1:11" x14ac:dyDescent="0.2">
      <c r="A2556" s="1" t="s">
        <v>4994</v>
      </c>
      <c r="B2556" s="1" t="s">
        <v>3211</v>
      </c>
      <c r="C2556" s="1"/>
      <c r="D2556" s="1"/>
      <c r="E2556" s="1"/>
      <c r="F2556" s="1"/>
      <c r="G2556" s="1"/>
      <c r="H2556" s="1" t="str">
        <f>"7809591402506"</f>
        <v>7809591402506</v>
      </c>
      <c r="I2556" s="3">
        <v>1</v>
      </c>
      <c r="J2556" s="3">
        <v>0</v>
      </c>
      <c r="K2556" s="3">
        <v>12000</v>
      </c>
    </row>
    <row r="2557" spans="1:11" x14ac:dyDescent="0.2">
      <c r="A2557" s="1" t="s">
        <v>4994</v>
      </c>
      <c r="B2557" s="1" t="s">
        <v>3212</v>
      </c>
      <c r="C2557" s="1"/>
      <c r="D2557" s="1"/>
      <c r="E2557" s="1"/>
      <c r="F2557" s="1"/>
      <c r="G2557" s="1"/>
      <c r="H2557" s="1" t="str">
        <f>"7804918401651"</f>
        <v>7804918401651</v>
      </c>
      <c r="I2557" s="3">
        <v>0</v>
      </c>
      <c r="J2557" s="3">
        <v>0</v>
      </c>
      <c r="K2557" s="3">
        <v>2500</v>
      </c>
    </row>
    <row r="2558" spans="1:11" x14ac:dyDescent="0.2">
      <c r="A2558" s="1" t="s">
        <v>4994</v>
      </c>
      <c r="B2558" s="1" t="s">
        <v>3213</v>
      </c>
      <c r="C2558" s="1"/>
      <c r="D2558" s="1"/>
      <c r="E2558" s="1"/>
      <c r="F2558" s="1"/>
      <c r="G2558" s="1"/>
      <c r="H2558" s="1" t="str">
        <f>"7804918401248"</f>
        <v>7804918401248</v>
      </c>
      <c r="I2558" s="3">
        <v>0</v>
      </c>
      <c r="J2558" s="3">
        <v>0</v>
      </c>
      <c r="K2558" s="3">
        <v>4000</v>
      </c>
    </row>
    <row r="2559" spans="1:11" x14ac:dyDescent="0.2">
      <c r="A2559" s="1" t="s">
        <v>4994</v>
      </c>
      <c r="B2559" s="1" t="s">
        <v>3214</v>
      </c>
      <c r="C2559" s="1"/>
      <c r="D2559" s="1"/>
      <c r="E2559" s="1"/>
      <c r="F2559" s="1"/>
      <c r="G2559" s="1"/>
      <c r="H2559" s="1" t="str">
        <f>"7804918401606"</f>
        <v>7804918401606</v>
      </c>
      <c r="I2559" s="3">
        <v>0</v>
      </c>
      <c r="J2559" s="3">
        <v>0</v>
      </c>
      <c r="K2559" s="3">
        <v>2000</v>
      </c>
    </row>
    <row r="2560" spans="1:11" x14ac:dyDescent="0.2">
      <c r="A2560" s="1" t="s">
        <v>4994</v>
      </c>
      <c r="B2560" s="1" t="s">
        <v>3215</v>
      </c>
      <c r="C2560" s="1"/>
      <c r="D2560" s="1"/>
      <c r="E2560" s="1"/>
      <c r="F2560" s="1"/>
      <c r="G2560" s="1"/>
      <c r="H2560" s="1" t="str">
        <f>"7506309895208"</f>
        <v>7506309895208</v>
      </c>
      <c r="I2560" s="3">
        <v>0</v>
      </c>
      <c r="J2560" s="3">
        <v>0</v>
      </c>
      <c r="K2560" s="3">
        <v>1000</v>
      </c>
    </row>
    <row r="2561" spans="1:11" x14ac:dyDescent="0.2">
      <c r="A2561" s="1" t="s">
        <v>4994</v>
      </c>
      <c r="B2561" s="1" t="s">
        <v>3216</v>
      </c>
      <c r="C2561" s="1"/>
      <c r="D2561" s="1"/>
      <c r="E2561" s="1"/>
      <c r="F2561" s="1"/>
      <c r="G2561" s="1"/>
      <c r="H2561" s="1" t="str">
        <f>"7506339394719"</f>
        <v>7506339394719</v>
      </c>
      <c r="I2561" s="3">
        <v>0</v>
      </c>
      <c r="J2561" s="3">
        <v>0</v>
      </c>
      <c r="K2561" s="3">
        <v>1500</v>
      </c>
    </row>
    <row r="2562" spans="1:11" x14ac:dyDescent="0.2">
      <c r="A2562" s="1" t="s">
        <v>4994</v>
      </c>
      <c r="B2562" s="1" t="s">
        <v>3220</v>
      </c>
      <c r="C2562" s="1"/>
      <c r="D2562" s="1"/>
      <c r="E2562" s="1"/>
      <c r="F2562" s="1"/>
      <c r="G2562" s="1"/>
      <c r="H2562" s="1" t="str">
        <f>"SDLFJSDI"</f>
        <v>SDLFJSDI</v>
      </c>
      <c r="I2562" s="3">
        <v>0</v>
      </c>
      <c r="J2562" s="3">
        <v>0</v>
      </c>
      <c r="K2562" s="3">
        <v>3500</v>
      </c>
    </row>
    <row r="2563" spans="1:11" x14ac:dyDescent="0.2">
      <c r="A2563" s="1" t="s">
        <v>4994</v>
      </c>
      <c r="B2563" s="1" t="s">
        <v>3221</v>
      </c>
      <c r="C2563" s="1"/>
      <c r="D2563" s="1"/>
      <c r="E2563" s="1"/>
      <c r="F2563" s="1"/>
      <c r="G2563" s="1"/>
      <c r="H2563" s="1" t="str">
        <f>"7804653720567"</f>
        <v>7804653720567</v>
      </c>
      <c r="I2563" s="3">
        <v>7</v>
      </c>
      <c r="J2563" s="3">
        <v>0</v>
      </c>
      <c r="K2563" s="3">
        <v>9000</v>
      </c>
    </row>
    <row r="2564" spans="1:11" x14ac:dyDescent="0.2">
      <c r="A2564" s="1" t="s">
        <v>4994</v>
      </c>
      <c r="B2564" s="1" t="s">
        <v>3222</v>
      </c>
      <c r="C2564" s="1"/>
      <c r="D2564" s="1"/>
      <c r="E2564" s="1"/>
      <c r="F2564" s="1"/>
      <c r="G2564" s="1"/>
      <c r="H2564" s="1" t="str">
        <f>"7730698001159"</f>
        <v>7730698001159</v>
      </c>
      <c r="I2564" s="3">
        <v>0</v>
      </c>
      <c r="J2564" s="3">
        <v>0</v>
      </c>
      <c r="K2564" s="3">
        <v>13500</v>
      </c>
    </row>
    <row r="2565" spans="1:11" x14ac:dyDescent="0.2">
      <c r="A2565" s="1" t="s">
        <v>4994</v>
      </c>
      <c r="B2565" s="1" t="s">
        <v>3223</v>
      </c>
      <c r="C2565" s="1"/>
      <c r="D2565" s="1"/>
      <c r="E2565" s="1"/>
      <c r="F2565" s="1"/>
      <c r="G2565" s="1"/>
      <c r="H2565" s="1" t="str">
        <f>"7804620835607"</f>
        <v>7804620835607</v>
      </c>
      <c r="I2565" s="3">
        <v>0</v>
      </c>
      <c r="J2565" s="3">
        <v>0</v>
      </c>
      <c r="K2565" s="3">
        <v>17000</v>
      </c>
    </row>
    <row r="2566" spans="1:11" x14ac:dyDescent="0.2">
      <c r="A2566" s="1" t="s">
        <v>4994</v>
      </c>
      <c r="B2566" s="1" t="s">
        <v>3227</v>
      </c>
      <c r="C2566" s="1"/>
      <c r="D2566" s="1"/>
      <c r="E2566" s="1"/>
      <c r="F2566" s="1"/>
      <c r="G2566" s="1"/>
      <c r="H2566" s="1" t="str">
        <f>"7800007122629"</f>
        <v>7800007122629</v>
      </c>
      <c r="I2566" s="3">
        <v>0</v>
      </c>
      <c r="J2566" s="3">
        <v>0</v>
      </c>
      <c r="K2566" s="3">
        <v>6500</v>
      </c>
    </row>
    <row r="2567" spans="1:11" x14ac:dyDescent="0.2">
      <c r="A2567" s="1" t="s">
        <v>4994</v>
      </c>
      <c r="B2567" s="1" t="s">
        <v>3228</v>
      </c>
      <c r="C2567" s="1"/>
      <c r="D2567" s="1"/>
      <c r="E2567" s="1"/>
      <c r="F2567" s="1"/>
      <c r="G2567" s="1"/>
      <c r="H2567" s="1" t="str">
        <f>"7804667110286"</f>
        <v>7804667110286</v>
      </c>
      <c r="I2567" s="3">
        <v>0</v>
      </c>
      <c r="J2567" s="3">
        <v>0</v>
      </c>
      <c r="K2567" s="3">
        <v>19000</v>
      </c>
    </row>
    <row r="2568" spans="1:11" x14ac:dyDescent="0.2">
      <c r="A2568" s="1" t="s">
        <v>4994</v>
      </c>
      <c r="B2568" s="1" t="s">
        <v>3231</v>
      </c>
      <c r="C2568" s="1"/>
      <c r="D2568" s="1"/>
      <c r="E2568" s="1"/>
      <c r="F2568" s="1"/>
      <c r="G2568" s="1"/>
      <c r="H2568" s="1" t="str">
        <f>"7809561400082"</f>
        <v>7809561400082</v>
      </c>
      <c r="I2568" s="3">
        <v>10</v>
      </c>
      <c r="J2568" s="3">
        <v>0</v>
      </c>
      <c r="K2568" s="3">
        <v>17000</v>
      </c>
    </row>
    <row r="2569" spans="1:11" x14ac:dyDescent="0.2">
      <c r="A2569" s="1" t="s">
        <v>4994</v>
      </c>
      <c r="B2569" s="1" t="s">
        <v>3233</v>
      </c>
      <c r="C2569" s="1"/>
      <c r="D2569" s="1"/>
      <c r="E2569" s="1"/>
      <c r="F2569" s="1"/>
      <c r="G2569" s="1"/>
      <c r="H2569" s="1" t="str">
        <f>"7891000299265"</f>
        <v>7891000299265</v>
      </c>
      <c r="I2569" s="3">
        <v>2</v>
      </c>
      <c r="J2569" s="3">
        <v>0</v>
      </c>
      <c r="K2569" s="3">
        <v>8500</v>
      </c>
    </row>
    <row r="2570" spans="1:11" x14ac:dyDescent="0.2">
      <c r="A2570" s="1" t="s">
        <v>4994</v>
      </c>
      <c r="B2570" s="1" t="s">
        <v>3234</v>
      </c>
      <c r="C2570" s="1"/>
      <c r="D2570" s="1"/>
      <c r="E2570" s="1"/>
      <c r="F2570" s="1"/>
      <c r="G2570" s="1"/>
      <c r="H2570" s="1" t="str">
        <f>"7795373024458"</f>
        <v>7795373024458</v>
      </c>
      <c r="I2570" s="3">
        <v>3</v>
      </c>
      <c r="J2570" s="3">
        <v>0</v>
      </c>
      <c r="K2570" s="3">
        <v>35000</v>
      </c>
    </row>
    <row r="2571" spans="1:11" x14ac:dyDescent="0.2">
      <c r="A2571" s="1" t="s">
        <v>4994</v>
      </c>
      <c r="B2571" s="1" t="s">
        <v>3235</v>
      </c>
      <c r="C2571" s="1"/>
      <c r="D2571" s="1"/>
      <c r="E2571" s="1"/>
      <c r="F2571" s="1"/>
      <c r="G2571" s="1"/>
      <c r="H2571" s="1" t="str">
        <f>"7809561400945"</f>
        <v>7809561400945</v>
      </c>
      <c r="I2571" s="3">
        <v>0</v>
      </c>
      <c r="J2571" s="3">
        <v>0</v>
      </c>
      <c r="K2571" s="3">
        <v>14000</v>
      </c>
    </row>
    <row r="2572" spans="1:11" x14ac:dyDescent="0.2">
      <c r="A2572" s="1" t="s">
        <v>4994</v>
      </c>
      <c r="B2572" s="1" t="s">
        <v>3236</v>
      </c>
      <c r="C2572" s="1"/>
      <c r="D2572" s="1"/>
      <c r="E2572" s="1"/>
      <c r="F2572" s="1"/>
      <c r="G2572" s="1"/>
      <c r="H2572" s="1" t="str">
        <f>"76125502330528"</f>
        <v>76125502330528</v>
      </c>
      <c r="I2572" s="3">
        <v>12</v>
      </c>
      <c r="J2572" s="3">
        <v>0</v>
      </c>
      <c r="K2572" s="3">
        <v>20000</v>
      </c>
    </row>
    <row r="2573" spans="1:11" x14ac:dyDescent="0.2">
      <c r="A2573" s="1" t="s">
        <v>4994</v>
      </c>
      <c r="B2573" s="1" t="s">
        <v>3237</v>
      </c>
      <c r="C2573" s="1"/>
      <c r="D2573" s="1"/>
      <c r="E2573" s="1"/>
      <c r="F2573" s="1"/>
      <c r="G2573" s="1"/>
      <c r="H2573" s="1" t="str">
        <f>"7501298223803"</f>
        <v>7501298223803</v>
      </c>
      <c r="I2573" s="3">
        <v>0</v>
      </c>
      <c r="J2573" s="3">
        <v>0</v>
      </c>
      <c r="K2573" s="3">
        <v>20000</v>
      </c>
    </row>
    <row r="2574" spans="1:11" x14ac:dyDescent="0.2">
      <c r="A2574" s="1" t="s">
        <v>4994</v>
      </c>
      <c r="B2574" s="1" t="s">
        <v>3239</v>
      </c>
      <c r="C2574" s="1"/>
      <c r="D2574" s="1"/>
      <c r="E2574" s="1"/>
      <c r="F2574" s="1"/>
      <c r="G2574" s="1"/>
      <c r="H2574" s="1" t="str">
        <f>"7800435221035"</f>
        <v>7800435221035</v>
      </c>
      <c r="I2574" s="3">
        <v>0</v>
      </c>
      <c r="J2574" s="3">
        <v>0</v>
      </c>
      <c r="K2574" s="3">
        <v>20000</v>
      </c>
    </row>
    <row r="2575" spans="1:11" x14ac:dyDescent="0.2">
      <c r="A2575" s="1" t="s">
        <v>4994</v>
      </c>
      <c r="B2575" s="1" t="s">
        <v>3241</v>
      </c>
      <c r="C2575" s="1"/>
      <c r="D2575" s="1"/>
      <c r="E2575" s="1"/>
      <c r="F2575" s="1"/>
      <c r="G2575" s="1"/>
      <c r="H2575" s="1" t="str">
        <f>"7891010882983"</f>
        <v>7891010882983</v>
      </c>
      <c r="I2575" s="3">
        <v>10</v>
      </c>
      <c r="J2575" s="3">
        <v>0</v>
      </c>
      <c r="K2575" s="3">
        <v>11000</v>
      </c>
    </row>
    <row r="2576" spans="1:11" x14ac:dyDescent="0.2">
      <c r="A2576" s="1" t="s">
        <v>4994</v>
      </c>
      <c r="B2576" s="1" t="s">
        <v>3242</v>
      </c>
      <c r="C2576" s="1"/>
      <c r="D2576" s="1"/>
      <c r="E2576" s="1"/>
      <c r="F2576" s="1"/>
      <c r="G2576" s="1"/>
      <c r="H2576" s="1" t="str">
        <f>"7891010253844"</f>
        <v>7891010253844</v>
      </c>
      <c r="I2576" s="3">
        <v>0</v>
      </c>
      <c r="J2576" s="3">
        <v>0</v>
      </c>
      <c r="K2576" s="3">
        <v>7000</v>
      </c>
    </row>
    <row r="2577" spans="1:11" x14ac:dyDescent="0.2">
      <c r="A2577" s="1" t="s">
        <v>4994</v>
      </c>
      <c r="B2577" s="1" t="s">
        <v>3243</v>
      </c>
      <c r="C2577" s="1"/>
      <c r="D2577" s="1"/>
      <c r="E2577" s="1"/>
      <c r="F2577" s="1"/>
      <c r="G2577" s="1"/>
      <c r="H2577" s="1" t="str">
        <f>"7891010882990"</f>
        <v>7891010882990</v>
      </c>
      <c r="I2577" s="3">
        <v>3</v>
      </c>
      <c r="J2577" s="3">
        <v>0</v>
      </c>
      <c r="K2577" s="3">
        <v>11000</v>
      </c>
    </row>
    <row r="2578" spans="1:11" x14ac:dyDescent="0.2">
      <c r="A2578" s="1" t="s">
        <v>4994</v>
      </c>
      <c r="B2578" s="1" t="s">
        <v>3244</v>
      </c>
      <c r="C2578" s="1"/>
      <c r="D2578" s="1"/>
      <c r="E2578" s="1"/>
      <c r="F2578" s="1"/>
      <c r="G2578" s="1"/>
      <c r="H2578" s="1" t="str">
        <f>"7891010255725"</f>
        <v>7891010255725</v>
      </c>
      <c r="I2578" s="3">
        <v>2</v>
      </c>
      <c r="J2578" s="3">
        <v>0</v>
      </c>
      <c r="K2578" s="3">
        <v>7000</v>
      </c>
    </row>
    <row r="2579" spans="1:11" x14ac:dyDescent="0.2">
      <c r="A2579" s="1" t="s">
        <v>4994</v>
      </c>
      <c r="B2579" s="1" t="s">
        <v>3245</v>
      </c>
      <c r="C2579" s="1"/>
      <c r="D2579" s="1"/>
      <c r="E2579" s="1"/>
      <c r="F2579" s="1"/>
      <c r="G2579" s="1"/>
      <c r="H2579" s="1" t="str">
        <f>"70501053553"</f>
        <v>70501053553</v>
      </c>
      <c r="I2579" s="3">
        <v>0</v>
      </c>
      <c r="J2579" s="3">
        <v>0</v>
      </c>
      <c r="K2579" s="3">
        <v>3000</v>
      </c>
    </row>
    <row r="2580" spans="1:11" x14ac:dyDescent="0.2">
      <c r="A2580" s="1" t="s">
        <v>4994</v>
      </c>
      <c r="B2580" s="1" t="s">
        <v>3246</v>
      </c>
      <c r="C2580" s="1"/>
      <c r="D2580" s="1"/>
      <c r="E2580" s="1"/>
      <c r="F2580" s="1"/>
      <c r="G2580" s="1"/>
      <c r="H2580" s="1" t="str">
        <f>"070501051054"</f>
        <v>070501051054</v>
      </c>
      <c r="I2580" s="3">
        <v>0</v>
      </c>
      <c r="J2580" s="3">
        <v>0</v>
      </c>
      <c r="K2580" s="3">
        <v>3000</v>
      </c>
    </row>
    <row r="2581" spans="1:11" x14ac:dyDescent="0.2">
      <c r="A2581" s="1" t="s">
        <v>4994</v>
      </c>
      <c r="B2581" s="1" t="s">
        <v>3247</v>
      </c>
      <c r="C2581" s="1"/>
      <c r="D2581" s="1"/>
      <c r="E2581" s="1"/>
      <c r="F2581" s="1"/>
      <c r="G2581" s="1"/>
      <c r="H2581" s="1" t="str">
        <f>"7804620834396"</f>
        <v>7804620834396</v>
      </c>
      <c r="I2581" s="3">
        <v>19</v>
      </c>
      <c r="J2581" s="3">
        <v>0</v>
      </c>
      <c r="K2581" s="3">
        <v>2000</v>
      </c>
    </row>
    <row r="2582" spans="1:11" x14ac:dyDescent="0.2">
      <c r="A2582" s="1" t="s">
        <v>4994</v>
      </c>
      <c r="B2582" s="1" t="s">
        <v>3248</v>
      </c>
      <c r="C2582" s="1"/>
      <c r="D2582" s="1"/>
      <c r="E2582" s="1"/>
      <c r="F2582" s="1"/>
      <c r="G2582" s="1"/>
      <c r="H2582" s="1" t="str">
        <f>"7702098004146"</f>
        <v>7702098004146</v>
      </c>
      <c r="I2582" s="3">
        <v>0</v>
      </c>
      <c r="J2582" s="3">
        <v>0</v>
      </c>
      <c r="K2582" s="3">
        <v>6000</v>
      </c>
    </row>
    <row r="2583" spans="1:11" x14ac:dyDescent="0.2">
      <c r="A2583" s="1" t="s">
        <v>4994</v>
      </c>
      <c r="B2583" s="1" t="s">
        <v>3249</v>
      </c>
      <c r="C2583" s="1"/>
      <c r="D2583" s="1"/>
      <c r="E2583" s="1"/>
      <c r="F2583" s="1"/>
      <c r="G2583" s="1"/>
      <c r="H2583" s="1" t="str">
        <f>"51131223196"</f>
        <v>51131223196</v>
      </c>
      <c r="I2583" s="3">
        <v>0</v>
      </c>
      <c r="J2583" s="3">
        <v>0</v>
      </c>
      <c r="K2583" s="3">
        <v>3500</v>
      </c>
    </row>
    <row r="2584" spans="1:11" x14ac:dyDescent="0.2">
      <c r="A2584" s="1" t="s">
        <v>4994</v>
      </c>
      <c r="B2584" s="1" t="s">
        <v>3250</v>
      </c>
      <c r="C2584" s="1"/>
      <c r="D2584" s="1"/>
      <c r="E2584" s="1"/>
      <c r="F2584" s="1"/>
      <c r="G2584" s="1"/>
      <c r="H2584" s="1" t="str">
        <f>"7805070024634"</f>
        <v>7805070024634</v>
      </c>
      <c r="I2584" s="3">
        <v>0</v>
      </c>
      <c r="J2584" s="3">
        <v>0</v>
      </c>
      <c r="K2584" s="3">
        <v>6500</v>
      </c>
    </row>
    <row r="2585" spans="1:11" x14ac:dyDescent="0.2">
      <c r="A2585" s="1" t="s">
        <v>4994</v>
      </c>
      <c r="B2585" s="1" t="s">
        <v>3251</v>
      </c>
      <c r="C2585" s="1"/>
      <c r="D2585" s="1"/>
      <c r="E2585" s="1"/>
      <c r="F2585" s="1"/>
      <c r="G2585" s="1"/>
      <c r="H2585" s="1" t="str">
        <f>"51131223912"</f>
        <v>51131223912</v>
      </c>
      <c r="I2585" s="3">
        <v>0</v>
      </c>
      <c r="J2585" s="3">
        <v>0</v>
      </c>
      <c r="K2585" s="3">
        <v>2000</v>
      </c>
    </row>
    <row r="2586" spans="1:11" x14ac:dyDescent="0.2">
      <c r="A2586" s="1" t="s">
        <v>4994</v>
      </c>
      <c r="B2586" s="1" t="s">
        <v>3252</v>
      </c>
      <c r="C2586" s="1"/>
      <c r="D2586" s="1"/>
      <c r="E2586" s="1"/>
      <c r="F2586" s="1"/>
      <c r="G2586" s="1"/>
      <c r="H2586" s="1" t="str">
        <f>"7805070024528"</f>
        <v>7805070024528</v>
      </c>
      <c r="I2586" s="3">
        <v>3</v>
      </c>
      <c r="J2586" s="3">
        <v>0</v>
      </c>
      <c r="K2586" s="3">
        <v>9000</v>
      </c>
    </row>
    <row r="2587" spans="1:11" x14ac:dyDescent="0.2">
      <c r="A2587" s="1" t="s">
        <v>4994</v>
      </c>
      <c r="B2587" s="1" t="s">
        <v>3253</v>
      </c>
      <c r="C2587" s="1"/>
      <c r="D2587" s="1"/>
      <c r="E2587" s="1"/>
      <c r="F2587" s="1"/>
      <c r="G2587" s="1"/>
      <c r="H2587" s="1" t="str">
        <f>"7702098004184"</f>
        <v>7702098004184</v>
      </c>
      <c r="I2587" s="3">
        <v>0</v>
      </c>
      <c r="J2587" s="3">
        <v>0</v>
      </c>
      <c r="K2587" s="3">
        <v>7000</v>
      </c>
    </row>
    <row r="2588" spans="1:11" x14ac:dyDescent="0.2">
      <c r="A2588" s="1" t="s">
        <v>4994</v>
      </c>
      <c r="B2588" s="1" t="s">
        <v>3254</v>
      </c>
      <c r="C2588" s="1"/>
      <c r="D2588" s="1"/>
      <c r="E2588" s="1"/>
      <c r="F2588" s="1"/>
      <c r="G2588" s="1"/>
      <c r="H2588" s="1" t="str">
        <f>"7805070401312"</f>
        <v>7805070401312</v>
      </c>
      <c r="I2588" s="3">
        <v>0</v>
      </c>
      <c r="J2588" s="3">
        <v>0</v>
      </c>
      <c r="K2588" s="3">
        <v>7500</v>
      </c>
    </row>
    <row r="2589" spans="1:11" x14ac:dyDescent="0.2">
      <c r="A2589" s="1" t="s">
        <v>4994</v>
      </c>
      <c r="B2589" s="1" t="s">
        <v>3255</v>
      </c>
      <c r="C2589" s="1"/>
      <c r="D2589" s="1"/>
      <c r="E2589" s="1"/>
      <c r="F2589" s="1"/>
      <c r="G2589" s="1"/>
      <c r="H2589" s="1" t="str">
        <f>"051131223196"</f>
        <v>051131223196</v>
      </c>
      <c r="I2589" s="3">
        <v>0</v>
      </c>
      <c r="J2589" s="3">
        <v>0</v>
      </c>
      <c r="K2589" s="3">
        <v>3500</v>
      </c>
    </row>
    <row r="2590" spans="1:11" x14ac:dyDescent="0.2">
      <c r="A2590" s="1" t="s">
        <v>4994</v>
      </c>
      <c r="B2590" s="1" t="s">
        <v>3256</v>
      </c>
      <c r="C2590" s="1"/>
      <c r="D2590" s="1"/>
      <c r="E2590" s="1"/>
      <c r="F2590" s="1"/>
      <c r="G2590" s="1"/>
      <c r="H2590" s="1" t="str">
        <f>"7805070002779"</f>
        <v>7805070002779</v>
      </c>
      <c r="I2590" s="3">
        <v>0</v>
      </c>
      <c r="J2590" s="3">
        <v>0</v>
      </c>
      <c r="K2590" s="3">
        <v>1900</v>
      </c>
    </row>
    <row r="2591" spans="1:11" x14ac:dyDescent="0.2">
      <c r="A2591" s="1" t="s">
        <v>4994</v>
      </c>
      <c r="B2591" s="1" t="s">
        <v>3257</v>
      </c>
      <c r="C2591" s="1"/>
      <c r="D2591" s="1"/>
      <c r="E2591" s="1"/>
      <c r="F2591" s="1"/>
      <c r="G2591" s="1"/>
      <c r="H2591" s="1" t="str">
        <f>"7805070002786"</f>
        <v>7805070002786</v>
      </c>
      <c r="I2591" s="3">
        <v>0</v>
      </c>
      <c r="J2591" s="3">
        <v>0</v>
      </c>
      <c r="K2591" s="3">
        <v>2500</v>
      </c>
    </row>
    <row r="2592" spans="1:11" x14ac:dyDescent="0.2">
      <c r="A2592" s="1" t="s">
        <v>4994</v>
      </c>
      <c r="B2592" s="1" t="s">
        <v>3258</v>
      </c>
      <c r="C2592" s="1"/>
      <c r="D2592" s="1"/>
      <c r="E2592" s="1"/>
      <c r="F2592" s="1"/>
      <c r="G2592" s="1"/>
      <c r="H2592" s="1" t="str">
        <f>"7805070008207"</f>
        <v>7805070008207</v>
      </c>
      <c r="I2592" s="3">
        <v>1</v>
      </c>
      <c r="J2592" s="3">
        <v>0</v>
      </c>
      <c r="K2592" s="3">
        <v>3500</v>
      </c>
    </row>
    <row r="2593" spans="1:11" x14ac:dyDescent="0.2">
      <c r="A2593" s="1" t="s">
        <v>4994</v>
      </c>
      <c r="B2593" s="1" t="s">
        <v>3259</v>
      </c>
      <c r="C2593" s="1"/>
      <c r="D2593" s="1"/>
      <c r="E2593" s="1"/>
      <c r="F2593" s="1"/>
      <c r="G2593" s="1"/>
      <c r="H2593" s="1" t="str">
        <f>"7805070024757"</f>
        <v>7805070024757</v>
      </c>
      <c r="I2593" s="3">
        <v>0</v>
      </c>
      <c r="J2593" s="3">
        <v>0</v>
      </c>
      <c r="K2593" s="3">
        <v>3500</v>
      </c>
    </row>
    <row r="2594" spans="1:11" x14ac:dyDescent="0.2">
      <c r="A2594" s="1" t="s">
        <v>4994</v>
      </c>
      <c r="B2594" s="1" t="s">
        <v>3260</v>
      </c>
      <c r="C2594" s="1"/>
      <c r="D2594" s="1"/>
      <c r="E2594" s="1"/>
      <c r="F2594" s="1"/>
      <c r="G2594" s="1"/>
      <c r="H2594" s="1" t="str">
        <f>"7805070024641"</f>
        <v>7805070024641</v>
      </c>
      <c r="I2594" s="3">
        <v>1</v>
      </c>
      <c r="J2594" s="3">
        <v>0</v>
      </c>
      <c r="K2594" s="3">
        <v>9500</v>
      </c>
    </row>
    <row r="2595" spans="1:11" x14ac:dyDescent="0.2">
      <c r="A2595" s="1" t="s">
        <v>4994</v>
      </c>
      <c r="B2595" s="1" t="s">
        <v>3261</v>
      </c>
      <c r="C2595" s="1"/>
      <c r="D2595" s="1"/>
      <c r="E2595" s="1"/>
      <c r="F2595" s="1"/>
      <c r="G2595" s="1"/>
      <c r="H2595" s="1" t="str">
        <f>"7805070024658"</f>
        <v>7805070024658</v>
      </c>
      <c r="I2595" s="3">
        <v>2</v>
      </c>
      <c r="J2595" s="3">
        <v>0</v>
      </c>
      <c r="K2595" s="3">
        <v>10000</v>
      </c>
    </row>
    <row r="2596" spans="1:11" x14ac:dyDescent="0.2">
      <c r="A2596" s="1" t="s">
        <v>4994</v>
      </c>
      <c r="B2596" s="1" t="s">
        <v>3262</v>
      </c>
      <c r="C2596" s="1"/>
      <c r="D2596" s="1"/>
      <c r="E2596" s="1"/>
      <c r="F2596" s="1"/>
      <c r="G2596" s="1"/>
      <c r="H2596" s="1" t="str">
        <f>"7805070023941"</f>
        <v>7805070023941</v>
      </c>
      <c r="I2596" s="3">
        <v>0</v>
      </c>
      <c r="J2596" s="3">
        <v>0</v>
      </c>
      <c r="K2596" s="3">
        <v>4500</v>
      </c>
    </row>
    <row r="2597" spans="1:11" x14ac:dyDescent="0.2">
      <c r="A2597" s="1" t="s">
        <v>4994</v>
      </c>
      <c r="B2597" s="1" t="s">
        <v>3263</v>
      </c>
      <c r="C2597" s="1"/>
      <c r="D2597" s="1"/>
      <c r="E2597" s="1"/>
      <c r="F2597" s="1"/>
      <c r="G2597" s="1"/>
      <c r="H2597" s="1" t="str">
        <f>"7805070024597"</f>
        <v>7805070024597</v>
      </c>
      <c r="I2597" s="3">
        <v>0</v>
      </c>
      <c r="J2597" s="3">
        <v>0</v>
      </c>
      <c r="K2597" s="3">
        <v>9000</v>
      </c>
    </row>
    <row r="2598" spans="1:11" x14ac:dyDescent="0.2">
      <c r="A2598" s="1" t="s">
        <v>4994</v>
      </c>
      <c r="B2598" s="1" t="s">
        <v>3264</v>
      </c>
      <c r="C2598" s="1"/>
      <c r="D2598" s="1"/>
      <c r="E2598" s="1"/>
      <c r="F2598" s="1"/>
      <c r="G2598" s="1"/>
      <c r="H2598" s="1" t="str">
        <f>"NEXTAPO"</f>
        <v>NEXTAPO</v>
      </c>
      <c r="I2598" s="3">
        <v>0</v>
      </c>
      <c r="J2598" s="3">
        <v>0</v>
      </c>
      <c r="K2598" s="3">
        <v>5000</v>
      </c>
    </row>
    <row r="2599" spans="1:11" x14ac:dyDescent="0.2">
      <c r="A2599" s="1" t="s">
        <v>4994</v>
      </c>
      <c r="B2599" s="1" t="s">
        <v>3265</v>
      </c>
      <c r="C2599" s="1"/>
      <c r="D2599" s="1"/>
      <c r="E2599" s="1"/>
      <c r="F2599" s="1"/>
      <c r="G2599" s="1"/>
      <c r="H2599" s="1" t="str">
        <f>"7805070972362"</f>
        <v>7805070972362</v>
      </c>
      <c r="I2599" s="3">
        <v>0</v>
      </c>
      <c r="J2599" s="3">
        <v>0</v>
      </c>
      <c r="K2599" s="3">
        <v>5000</v>
      </c>
    </row>
    <row r="2600" spans="1:11" x14ac:dyDescent="0.2">
      <c r="A2600" s="1" t="s">
        <v>4994</v>
      </c>
      <c r="B2600" s="1" t="s">
        <v>3266</v>
      </c>
      <c r="C2600" s="1"/>
      <c r="D2600" s="1"/>
      <c r="E2600" s="1"/>
      <c r="F2600" s="1"/>
      <c r="G2600" s="1"/>
      <c r="H2600" s="1" t="str">
        <f>"51131224971"</f>
        <v>51131224971</v>
      </c>
      <c r="I2600" s="3">
        <v>0</v>
      </c>
      <c r="J2600" s="3">
        <v>0</v>
      </c>
      <c r="K2600" s="3">
        <v>6000</v>
      </c>
    </row>
    <row r="2601" spans="1:11" x14ac:dyDescent="0.2">
      <c r="A2601" s="1" t="s">
        <v>4994</v>
      </c>
      <c r="B2601" s="1" t="s">
        <v>3267</v>
      </c>
      <c r="C2601" s="1"/>
      <c r="D2601" s="1"/>
      <c r="E2601" s="1"/>
      <c r="F2601" s="1"/>
      <c r="G2601" s="1"/>
      <c r="H2601" s="1" t="str">
        <f>"7805070024566"</f>
        <v>7805070024566</v>
      </c>
      <c r="I2601" s="3">
        <v>0</v>
      </c>
      <c r="J2601" s="3">
        <v>0</v>
      </c>
      <c r="K2601" s="3">
        <v>6500</v>
      </c>
    </row>
    <row r="2602" spans="1:11" x14ac:dyDescent="0.2">
      <c r="A2602" s="1" t="s">
        <v>4994</v>
      </c>
      <c r="B2602" s="1" t="s">
        <v>3268</v>
      </c>
      <c r="C2602" s="1"/>
      <c r="D2602" s="1"/>
      <c r="E2602" s="1"/>
      <c r="F2602" s="1"/>
      <c r="G2602" s="1"/>
      <c r="H2602" s="1" t="str">
        <f>"51131224131"</f>
        <v>51131224131</v>
      </c>
      <c r="I2602" s="3">
        <v>0</v>
      </c>
      <c r="J2602" s="3">
        <v>0</v>
      </c>
      <c r="K2602" s="3">
        <v>3500</v>
      </c>
    </row>
    <row r="2603" spans="1:11" x14ac:dyDescent="0.2">
      <c r="A2603" s="1" t="s">
        <v>4994</v>
      </c>
      <c r="B2603" s="1" t="s">
        <v>3269</v>
      </c>
      <c r="C2603" s="1"/>
      <c r="D2603" s="1"/>
      <c r="E2603" s="1"/>
      <c r="F2603" s="1"/>
      <c r="G2603" s="1"/>
      <c r="H2603" s="1" t="str">
        <f>"7809599501515"</f>
        <v>7809599501515</v>
      </c>
      <c r="I2603" s="3">
        <v>0</v>
      </c>
      <c r="J2603" s="3">
        <v>0</v>
      </c>
      <c r="K2603" s="3">
        <v>6000</v>
      </c>
    </row>
    <row r="2604" spans="1:11" x14ac:dyDescent="0.2">
      <c r="A2604" s="1" t="s">
        <v>4994</v>
      </c>
      <c r="B2604" s="1" t="s">
        <v>3275</v>
      </c>
      <c r="C2604" s="1"/>
      <c r="D2604" s="1"/>
      <c r="E2604" s="1"/>
      <c r="F2604" s="1"/>
      <c r="G2604" s="1"/>
      <c r="H2604" s="1" t="str">
        <f>"24242117"</f>
        <v>24242117</v>
      </c>
      <c r="I2604" s="3">
        <v>0</v>
      </c>
      <c r="J2604" s="3">
        <v>0</v>
      </c>
      <c r="K2604" s="3">
        <v>4000</v>
      </c>
    </row>
    <row r="2605" spans="1:11" x14ac:dyDescent="0.2">
      <c r="A2605" s="1" t="s">
        <v>4994</v>
      </c>
      <c r="B2605" s="1" t="s">
        <v>3276</v>
      </c>
      <c r="C2605" s="1"/>
      <c r="D2605" s="1"/>
      <c r="E2605" s="1"/>
      <c r="F2605" s="1"/>
      <c r="G2605" s="1"/>
      <c r="H2605" s="1" t="str">
        <f>"24242116"</f>
        <v>24242116</v>
      </c>
      <c r="I2605" s="3">
        <v>0</v>
      </c>
      <c r="J2605" s="3">
        <v>0</v>
      </c>
      <c r="K2605" s="3">
        <v>6000</v>
      </c>
    </row>
    <row r="2606" spans="1:11" x14ac:dyDescent="0.2">
      <c r="A2606" s="1" t="s">
        <v>4994</v>
      </c>
      <c r="B2606" s="1" t="s">
        <v>3279</v>
      </c>
      <c r="C2606" s="1"/>
      <c r="D2606" s="1"/>
      <c r="E2606" s="1"/>
      <c r="F2606" s="1"/>
      <c r="G2606" s="1"/>
      <c r="H2606" s="1" t="str">
        <f>"7809590501904"</f>
        <v>7809590501904</v>
      </c>
      <c r="I2606" s="3">
        <v>0</v>
      </c>
      <c r="J2606" s="3">
        <v>0</v>
      </c>
      <c r="K2606" s="3">
        <v>12000</v>
      </c>
    </row>
    <row r="2607" spans="1:11" x14ac:dyDescent="0.2">
      <c r="A2607" s="1" t="s">
        <v>4994</v>
      </c>
      <c r="B2607" s="1" t="s">
        <v>3284</v>
      </c>
      <c r="C2607" s="1"/>
      <c r="D2607" s="1"/>
      <c r="E2607" s="1"/>
      <c r="F2607" s="1"/>
      <c r="G2607" s="1"/>
      <c r="H2607" s="1" t="str">
        <f>"24242112"</f>
        <v>24242112</v>
      </c>
      <c r="I2607" s="3">
        <v>0</v>
      </c>
      <c r="J2607" s="3">
        <v>0</v>
      </c>
      <c r="K2607" s="3">
        <v>14000</v>
      </c>
    </row>
    <row r="2608" spans="1:11" x14ac:dyDescent="0.2">
      <c r="A2608" s="1" t="s">
        <v>4994</v>
      </c>
      <c r="B2608" s="1" t="s">
        <v>3285</v>
      </c>
      <c r="C2608" s="1"/>
      <c r="D2608" s="1"/>
      <c r="E2608" s="1"/>
      <c r="F2608" s="1"/>
      <c r="G2608" s="1"/>
      <c r="H2608" s="1" t="str">
        <f>"24242115"</f>
        <v>24242115</v>
      </c>
      <c r="I2608" s="3">
        <v>0</v>
      </c>
      <c r="J2608" s="3">
        <v>0</v>
      </c>
      <c r="K2608" s="3">
        <v>7500</v>
      </c>
    </row>
    <row r="2609" spans="1:11" x14ac:dyDescent="0.2">
      <c r="A2609" s="1" t="s">
        <v>4994</v>
      </c>
      <c r="B2609" s="1" t="s">
        <v>3286</v>
      </c>
      <c r="C2609" s="1"/>
      <c r="D2609" s="1"/>
      <c r="E2609" s="1"/>
      <c r="F2609" s="1"/>
      <c r="G2609" s="1"/>
      <c r="H2609" s="1" t="str">
        <f>"24242114"</f>
        <v>24242114</v>
      </c>
      <c r="I2609" s="3">
        <v>0</v>
      </c>
      <c r="J2609" s="3">
        <v>0</v>
      </c>
      <c r="K2609" s="3">
        <v>10000</v>
      </c>
    </row>
    <row r="2610" spans="1:11" x14ac:dyDescent="0.2">
      <c r="A2610" s="1" t="s">
        <v>4994</v>
      </c>
      <c r="B2610" s="1" t="s">
        <v>3287</v>
      </c>
      <c r="C2610" s="1"/>
      <c r="D2610" s="1"/>
      <c r="E2610" s="1"/>
      <c r="F2610" s="1"/>
      <c r="G2610" s="1"/>
      <c r="H2610" s="1" t="str">
        <f>"24242111"</f>
        <v>24242111</v>
      </c>
      <c r="I2610" s="3">
        <v>0</v>
      </c>
      <c r="J2610" s="3">
        <v>0</v>
      </c>
      <c r="K2610" s="3">
        <v>16000</v>
      </c>
    </row>
    <row r="2611" spans="1:11" x14ac:dyDescent="0.2">
      <c r="A2611" s="1" t="s">
        <v>4994</v>
      </c>
      <c r="B2611" s="1" t="s">
        <v>3288</v>
      </c>
      <c r="C2611" s="1"/>
      <c r="D2611" s="1"/>
      <c r="E2611" s="1"/>
      <c r="F2611" s="1"/>
      <c r="G2611" s="1"/>
      <c r="H2611" s="1" t="str">
        <f>"24242113"</f>
        <v>24242113</v>
      </c>
      <c r="I2611" s="3">
        <v>0</v>
      </c>
      <c r="J2611" s="3">
        <v>0</v>
      </c>
      <c r="K2611" s="3">
        <v>12000</v>
      </c>
    </row>
    <row r="2612" spans="1:11" x14ac:dyDescent="0.2">
      <c r="A2612" s="1" t="s">
        <v>4994</v>
      </c>
      <c r="B2612" s="1" t="s">
        <v>3289</v>
      </c>
      <c r="C2612" s="1"/>
      <c r="D2612" s="1"/>
      <c r="E2612" s="1"/>
      <c r="F2612" s="1"/>
      <c r="G2612" s="1"/>
      <c r="H2612" s="1" t="str">
        <f>"7501098609814"</f>
        <v>7501098609814</v>
      </c>
      <c r="I2612" s="3">
        <v>0</v>
      </c>
      <c r="J2612" s="3">
        <v>0</v>
      </c>
      <c r="K2612" s="3">
        <v>45000</v>
      </c>
    </row>
    <row r="2613" spans="1:11" x14ac:dyDescent="0.2">
      <c r="A2613" s="1" t="s">
        <v>4994</v>
      </c>
      <c r="B2613" s="1" t="s">
        <v>3290</v>
      </c>
      <c r="C2613" s="1"/>
      <c r="D2613" s="1"/>
      <c r="E2613" s="1"/>
      <c r="F2613" s="1"/>
      <c r="G2613" s="1"/>
      <c r="H2613" s="1" t="str">
        <f>"7896206405533"</f>
        <v>7896206405533</v>
      </c>
      <c r="I2613" s="3">
        <v>0</v>
      </c>
      <c r="J2613" s="3">
        <v>0</v>
      </c>
      <c r="K2613" s="3">
        <v>30000</v>
      </c>
    </row>
    <row r="2614" spans="1:11" x14ac:dyDescent="0.2">
      <c r="A2614" s="1" t="s">
        <v>4994</v>
      </c>
      <c r="B2614" s="1" t="s">
        <v>3291</v>
      </c>
      <c r="C2614" s="1"/>
      <c r="D2614" s="1"/>
      <c r="E2614" s="1"/>
      <c r="F2614" s="1"/>
      <c r="G2614" s="1"/>
      <c r="H2614" s="1" t="str">
        <f>"7896206405557"</f>
        <v>7896206405557</v>
      </c>
      <c r="I2614" s="3">
        <v>0</v>
      </c>
      <c r="J2614" s="3">
        <v>0</v>
      </c>
      <c r="K2614" s="3">
        <v>53000</v>
      </c>
    </row>
    <row r="2615" spans="1:11" x14ac:dyDescent="0.2">
      <c r="A2615" s="1" t="s">
        <v>4994</v>
      </c>
      <c r="B2615" s="1" t="s">
        <v>3292</v>
      </c>
      <c r="C2615" s="1"/>
      <c r="D2615" s="1"/>
      <c r="E2615" s="1"/>
      <c r="F2615" s="1"/>
      <c r="G2615" s="1"/>
      <c r="H2615" s="1" t="str">
        <f>"7800063312262"</f>
        <v>7800063312262</v>
      </c>
      <c r="I2615" s="3">
        <v>0</v>
      </c>
      <c r="J2615" s="3">
        <v>0</v>
      </c>
      <c r="K2615" s="3">
        <v>23000</v>
      </c>
    </row>
    <row r="2616" spans="1:11" x14ac:dyDescent="0.2">
      <c r="A2616" s="1" t="s">
        <v>4994</v>
      </c>
      <c r="B2616" s="1" t="s">
        <v>3293</v>
      </c>
      <c r="C2616" s="1"/>
      <c r="D2616" s="1"/>
      <c r="E2616" s="1"/>
      <c r="F2616" s="1"/>
      <c r="G2616" s="1"/>
      <c r="H2616" s="1" t="str">
        <f>"7800060035652"</f>
        <v>7800060035652</v>
      </c>
      <c r="I2616" s="3">
        <v>1</v>
      </c>
      <c r="J2616" s="3">
        <v>0</v>
      </c>
      <c r="K2616" s="3">
        <v>20000</v>
      </c>
    </row>
    <row r="2617" spans="1:11" x14ac:dyDescent="0.2">
      <c r="A2617" s="1" t="s">
        <v>4994</v>
      </c>
      <c r="B2617" s="1" t="s">
        <v>3294</v>
      </c>
      <c r="C2617" s="1"/>
      <c r="D2617" s="1"/>
      <c r="E2617" s="1"/>
      <c r="F2617" s="1"/>
      <c r="G2617" s="1"/>
      <c r="H2617" s="1" t="str">
        <f>"7800060003408"</f>
        <v>7800060003408</v>
      </c>
      <c r="I2617" s="3">
        <v>0</v>
      </c>
      <c r="J2617" s="3">
        <v>0</v>
      </c>
      <c r="K2617" s="3">
        <v>13000</v>
      </c>
    </row>
    <row r="2618" spans="1:11" x14ac:dyDescent="0.2">
      <c r="A2618" s="1" t="s">
        <v>4994</v>
      </c>
      <c r="B2618" s="1" t="s">
        <v>3295</v>
      </c>
      <c r="C2618" s="1"/>
      <c r="D2618" s="1"/>
      <c r="E2618" s="1"/>
      <c r="F2618" s="1"/>
      <c r="G2618" s="1"/>
      <c r="H2618" s="1" t="str">
        <f>"7501058629760"</f>
        <v>7501058629760</v>
      </c>
      <c r="I2618" s="3">
        <v>0</v>
      </c>
      <c r="J2618" s="3">
        <v>0</v>
      </c>
      <c r="K2618" s="3">
        <v>14000</v>
      </c>
    </row>
    <row r="2619" spans="1:11" x14ac:dyDescent="0.2">
      <c r="A2619" s="1" t="s">
        <v>4994</v>
      </c>
      <c r="B2619" s="1" t="s">
        <v>3296</v>
      </c>
      <c r="C2619" s="1"/>
      <c r="D2619" s="1"/>
      <c r="E2619" s="1"/>
      <c r="F2619" s="1"/>
      <c r="G2619" s="1"/>
      <c r="H2619" s="1" t="str">
        <f>"8445291236448"</f>
        <v>8445291236448</v>
      </c>
      <c r="I2619" s="3">
        <v>10</v>
      </c>
      <c r="J2619" s="3">
        <v>0</v>
      </c>
      <c r="K2619" s="3">
        <v>18000</v>
      </c>
    </row>
    <row r="2620" spans="1:11" x14ac:dyDescent="0.2">
      <c r="A2620" s="1" t="s">
        <v>4994</v>
      </c>
      <c r="B2620" s="1" t="s">
        <v>3297</v>
      </c>
      <c r="C2620" s="1"/>
      <c r="D2620" s="1"/>
      <c r="E2620" s="1"/>
      <c r="F2620" s="1"/>
      <c r="G2620" s="1"/>
      <c r="H2620" s="1" t="str">
        <f>"8445291290877"</f>
        <v>8445291290877</v>
      </c>
      <c r="I2620" s="3">
        <v>0</v>
      </c>
      <c r="J2620" s="3">
        <v>0</v>
      </c>
      <c r="K2620" s="3">
        <v>9000</v>
      </c>
    </row>
    <row r="2621" spans="1:11" x14ac:dyDescent="0.2">
      <c r="A2621" s="1" t="s">
        <v>4994</v>
      </c>
      <c r="B2621" s="1" t="s">
        <v>3298</v>
      </c>
      <c r="C2621" s="1"/>
      <c r="D2621" s="1"/>
      <c r="E2621" s="1"/>
      <c r="F2621" s="1"/>
      <c r="G2621" s="1"/>
      <c r="H2621" s="1" t="str">
        <f>"8445290732514"</f>
        <v>8445290732514</v>
      </c>
      <c r="I2621" s="3">
        <v>0</v>
      </c>
      <c r="J2621" s="3">
        <v>0</v>
      </c>
      <c r="K2621" s="3">
        <v>8500</v>
      </c>
    </row>
    <row r="2622" spans="1:11" x14ac:dyDescent="0.2">
      <c r="A2622" s="1" t="s">
        <v>4994</v>
      </c>
      <c r="B2622" s="1" t="s">
        <v>3299</v>
      </c>
      <c r="C2622" s="1"/>
      <c r="D2622" s="1"/>
      <c r="E2622" s="1"/>
      <c r="F2622" s="1"/>
      <c r="G2622" s="1"/>
      <c r="H2622" s="1" t="str">
        <f>"8445290510860"</f>
        <v>8445290510860</v>
      </c>
      <c r="I2622" s="3">
        <v>0</v>
      </c>
      <c r="J2622" s="3">
        <v>0</v>
      </c>
      <c r="K2622" s="3">
        <v>19000</v>
      </c>
    </row>
    <row r="2623" spans="1:11" x14ac:dyDescent="0.2">
      <c r="A2623" s="1" t="s">
        <v>4994</v>
      </c>
      <c r="B2623" s="1" t="s">
        <v>3300</v>
      </c>
      <c r="C2623" s="1"/>
      <c r="D2623" s="1"/>
      <c r="E2623" s="1"/>
      <c r="F2623" s="1"/>
      <c r="G2623" s="1"/>
      <c r="H2623" s="1" t="str">
        <f>"8445290732545"</f>
        <v>8445290732545</v>
      </c>
      <c r="I2623" s="3">
        <v>0</v>
      </c>
      <c r="J2623" s="3">
        <v>0</v>
      </c>
      <c r="K2623" s="3">
        <v>8500</v>
      </c>
    </row>
    <row r="2624" spans="1:11" x14ac:dyDescent="0.2">
      <c r="A2624" s="1" t="s">
        <v>4994</v>
      </c>
      <c r="B2624" s="1" t="s">
        <v>3301</v>
      </c>
      <c r="C2624" s="1"/>
      <c r="D2624" s="1"/>
      <c r="E2624" s="1"/>
      <c r="F2624" s="1"/>
      <c r="G2624" s="1"/>
      <c r="H2624" s="1" t="str">
        <f>"8445290510891"</f>
        <v>8445290510891</v>
      </c>
      <c r="I2624" s="3">
        <v>0</v>
      </c>
      <c r="J2624" s="3">
        <v>0</v>
      </c>
      <c r="K2624" s="3">
        <v>17000</v>
      </c>
    </row>
    <row r="2625" spans="1:11" x14ac:dyDescent="0.2">
      <c r="A2625" s="1" t="s">
        <v>4994</v>
      </c>
      <c r="B2625" s="1" t="s">
        <v>3302</v>
      </c>
      <c r="C2625" s="1"/>
      <c r="D2625" s="1"/>
      <c r="E2625" s="1"/>
      <c r="F2625" s="1"/>
      <c r="G2625" s="1"/>
      <c r="H2625" s="1" t="str">
        <f>"8445290511027"</f>
        <v>8445290511027</v>
      </c>
      <c r="I2625" s="3">
        <v>0</v>
      </c>
      <c r="J2625" s="3">
        <v>0</v>
      </c>
      <c r="K2625" s="3">
        <v>20000</v>
      </c>
    </row>
    <row r="2626" spans="1:11" x14ac:dyDescent="0.2">
      <c r="A2626" s="1" t="s">
        <v>4994</v>
      </c>
      <c r="B2626" s="1" t="s">
        <v>3303</v>
      </c>
      <c r="C2626" s="1"/>
      <c r="D2626" s="1"/>
      <c r="E2626" s="1"/>
      <c r="F2626" s="1"/>
      <c r="G2626" s="1"/>
      <c r="H2626" s="1" t="str">
        <f>"8445290731432"</f>
        <v>8445290731432</v>
      </c>
      <c r="I2626" s="3">
        <v>0</v>
      </c>
      <c r="J2626" s="3">
        <v>0</v>
      </c>
      <c r="K2626" s="3">
        <v>8500</v>
      </c>
    </row>
    <row r="2627" spans="1:11" x14ac:dyDescent="0.2">
      <c r="A2627" s="1" t="s">
        <v>4994</v>
      </c>
      <c r="B2627" s="1" t="s">
        <v>3304</v>
      </c>
      <c r="C2627" s="1"/>
      <c r="D2627" s="1"/>
      <c r="E2627" s="1"/>
      <c r="F2627" s="1"/>
      <c r="G2627" s="1"/>
      <c r="H2627" s="1" t="str">
        <f>"4006000067926"</f>
        <v>4006000067926</v>
      </c>
      <c r="I2627" s="3">
        <v>0</v>
      </c>
      <c r="J2627" s="3">
        <v>0</v>
      </c>
      <c r="K2627" s="3">
        <v>6500</v>
      </c>
    </row>
    <row r="2628" spans="1:11" x14ac:dyDescent="0.2">
      <c r="A2628" s="1" t="s">
        <v>4994</v>
      </c>
      <c r="B2628" s="1" t="s">
        <v>3305</v>
      </c>
      <c r="C2628" s="1"/>
      <c r="D2628" s="1"/>
      <c r="E2628" s="1"/>
      <c r="F2628" s="1"/>
      <c r="G2628" s="1"/>
      <c r="H2628" s="1" t="str">
        <f>"4006000086132"</f>
        <v>4006000086132</v>
      </c>
      <c r="I2628" s="3">
        <v>0</v>
      </c>
      <c r="J2628" s="3">
        <v>0</v>
      </c>
      <c r="K2628" s="3">
        <v>6500</v>
      </c>
    </row>
    <row r="2629" spans="1:11" x14ac:dyDescent="0.2">
      <c r="A2629" s="1" t="s">
        <v>4994</v>
      </c>
      <c r="B2629" s="1" t="s">
        <v>3306</v>
      </c>
      <c r="C2629" s="1"/>
      <c r="D2629" s="1"/>
      <c r="E2629" s="1"/>
      <c r="F2629" s="1"/>
      <c r="G2629" s="1"/>
      <c r="H2629" s="1" t="str">
        <f>"7800070001302"</f>
        <v>7800070001302</v>
      </c>
      <c r="I2629" s="3">
        <v>0</v>
      </c>
      <c r="J2629" s="3">
        <v>0</v>
      </c>
      <c r="K2629" s="3">
        <v>35000</v>
      </c>
    </row>
    <row r="2630" spans="1:11" x14ac:dyDescent="0.2">
      <c r="A2630" s="1" t="s">
        <v>4994</v>
      </c>
      <c r="B2630" s="1" t="s">
        <v>3307</v>
      </c>
      <c r="C2630" s="1"/>
      <c r="D2630" s="1"/>
      <c r="E2630" s="1"/>
      <c r="F2630" s="1"/>
      <c r="G2630" s="1"/>
      <c r="H2630" s="1" t="str">
        <f>"7861073970699"</f>
        <v>7861073970699</v>
      </c>
      <c r="I2630" s="3">
        <v>0</v>
      </c>
      <c r="J2630" s="3">
        <v>0</v>
      </c>
      <c r="K2630" s="3">
        <v>17000</v>
      </c>
    </row>
    <row r="2631" spans="1:11" x14ac:dyDescent="0.2">
      <c r="A2631" s="1" t="s">
        <v>4994</v>
      </c>
      <c r="B2631" s="1" t="s">
        <v>3308</v>
      </c>
      <c r="C2631" s="1"/>
      <c r="D2631" s="1"/>
      <c r="E2631" s="1"/>
      <c r="F2631" s="1"/>
      <c r="G2631" s="1"/>
      <c r="H2631" s="1" t="str">
        <f>"7804640560572"</f>
        <v>7804640560572</v>
      </c>
      <c r="I2631" s="3">
        <v>21</v>
      </c>
      <c r="J2631" s="3">
        <v>0</v>
      </c>
      <c r="K2631" s="3">
        <v>1500</v>
      </c>
    </row>
    <row r="2632" spans="1:11" x14ac:dyDescent="0.2">
      <c r="A2632" s="1" t="s">
        <v>4994</v>
      </c>
      <c r="B2632" s="1" t="s">
        <v>3309</v>
      </c>
      <c r="C2632" s="1"/>
      <c r="D2632" s="1"/>
      <c r="E2632" s="1"/>
      <c r="F2632" s="1"/>
      <c r="G2632" s="1"/>
      <c r="H2632" s="1" t="str">
        <f>"7800007144515"</f>
        <v>7800007144515</v>
      </c>
      <c r="I2632" s="3">
        <v>15</v>
      </c>
      <c r="J2632" s="3">
        <v>0</v>
      </c>
      <c r="K2632" s="3">
        <v>1500</v>
      </c>
    </row>
    <row r="2633" spans="1:11" x14ac:dyDescent="0.2">
      <c r="A2633" s="1" t="s">
        <v>4994</v>
      </c>
      <c r="B2633" s="1" t="s">
        <v>3310</v>
      </c>
      <c r="C2633" s="1"/>
      <c r="D2633" s="1"/>
      <c r="E2633" s="1"/>
      <c r="F2633" s="1"/>
      <c r="G2633" s="1"/>
      <c r="H2633" s="1" t="str">
        <f>"7800007142573"</f>
        <v>7800007142573</v>
      </c>
      <c r="I2633" s="3">
        <v>0</v>
      </c>
      <c r="J2633" s="3">
        <v>0</v>
      </c>
      <c r="K2633" s="3">
        <v>3000</v>
      </c>
    </row>
    <row r="2634" spans="1:11" x14ac:dyDescent="0.2">
      <c r="A2634" s="1" t="s">
        <v>4994</v>
      </c>
      <c r="B2634" s="1" t="s">
        <v>3311</v>
      </c>
      <c r="C2634" s="1"/>
      <c r="D2634" s="1"/>
      <c r="E2634" s="1"/>
      <c r="F2634" s="1"/>
      <c r="G2634" s="1"/>
      <c r="H2634" s="1" t="str">
        <f>"7800007142498"</f>
        <v>7800007142498</v>
      </c>
      <c r="I2634" s="3">
        <v>0</v>
      </c>
      <c r="J2634" s="3">
        <v>0</v>
      </c>
      <c r="K2634" s="3">
        <v>10000</v>
      </c>
    </row>
    <row r="2635" spans="1:11" x14ac:dyDescent="0.2">
      <c r="A2635" s="1" t="s">
        <v>4994</v>
      </c>
      <c r="B2635" s="1" t="s">
        <v>3312</v>
      </c>
      <c r="C2635" s="1"/>
      <c r="D2635" s="1"/>
      <c r="E2635" s="1"/>
      <c r="F2635" s="1"/>
      <c r="G2635" s="1"/>
      <c r="H2635" s="1" t="str">
        <f>"7800086789409"</f>
        <v>7800086789409</v>
      </c>
      <c r="I2635" s="3">
        <v>0</v>
      </c>
      <c r="J2635" s="3">
        <v>0</v>
      </c>
      <c r="K2635" s="3">
        <v>15000</v>
      </c>
    </row>
    <row r="2636" spans="1:11" x14ac:dyDescent="0.2">
      <c r="A2636" s="1" t="s">
        <v>4994</v>
      </c>
      <c r="B2636" s="1" t="s">
        <v>3314</v>
      </c>
      <c r="C2636" s="1"/>
      <c r="D2636" s="1"/>
      <c r="E2636" s="1"/>
      <c r="F2636" s="1"/>
      <c r="G2636" s="1"/>
      <c r="H2636" s="1" t="str">
        <f>"4006000179278"</f>
        <v>4006000179278</v>
      </c>
      <c r="I2636" s="3">
        <v>1</v>
      </c>
      <c r="J2636" s="3">
        <v>0</v>
      </c>
      <c r="K2636" s="3">
        <v>9000</v>
      </c>
    </row>
    <row r="2637" spans="1:11" x14ac:dyDescent="0.2">
      <c r="A2637" s="1" t="s">
        <v>4994</v>
      </c>
      <c r="B2637" s="1" t="s">
        <v>3315</v>
      </c>
      <c r="C2637" s="1"/>
      <c r="D2637" s="1"/>
      <c r="E2637" s="1"/>
      <c r="F2637" s="1"/>
      <c r="G2637" s="1"/>
      <c r="H2637" s="1" t="str">
        <f>"4005900353054"</f>
        <v>4005900353054</v>
      </c>
      <c r="I2637" s="3">
        <v>7</v>
      </c>
      <c r="J2637" s="3">
        <v>0</v>
      </c>
      <c r="K2637" s="3">
        <v>2500</v>
      </c>
    </row>
    <row r="2638" spans="1:11" x14ac:dyDescent="0.2">
      <c r="A2638" s="1" t="s">
        <v>4994</v>
      </c>
      <c r="B2638" s="1" t="s">
        <v>3316</v>
      </c>
      <c r="C2638" s="1"/>
      <c r="D2638" s="1"/>
      <c r="E2638" s="1"/>
      <c r="F2638" s="1"/>
      <c r="G2638" s="1"/>
      <c r="H2638" s="1" t="str">
        <f>"4006000020839"</f>
        <v>4006000020839</v>
      </c>
      <c r="I2638" s="3">
        <v>3</v>
      </c>
      <c r="J2638" s="3">
        <v>0</v>
      </c>
      <c r="K2638" s="3">
        <v>6500</v>
      </c>
    </row>
    <row r="2639" spans="1:11" x14ac:dyDescent="0.2">
      <c r="A2639" s="1" t="s">
        <v>4994</v>
      </c>
      <c r="B2639" s="1" t="s">
        <v>3317</v>
      </c>
      <c r="C2639" s="1"/>
      <c r="D2639" s="1"/>
      <c r="E2639" s="1"/>
      <c r="F2639" s="1"/>
      <c r="G2639" s="1"/>
      <c r="H2639" s="1" t="str">
        <f>"4006000100791"</f>
        <v>4006000100791</v>
      </c>
      <c r="I2639" s="3">
        <v>3</v>
      </c>
      <c r="J2639" s="3">
        <v>0</v>
      </c>
      <c r="K2639" s="3">
        <v>4000</v>
      </c>
    </row>
    <row r="2640" spans="1:11" x14ac:dyDescent="0.2">
      <c r="A2640" s="1" t="s">
        <v>4994</v>
      </c>
      <c r="B2640" s="1" t="s">
        <v>3318</v>
      </c>
      <c r="C2640" s="1"/>
      <c r="D2640" s="1"/>
      <c r="E2640" s="1"/>
      <c r="F2640" s="1"/>
      <c r="G2640" s="1"/>
      <c r="H2640" s="1" t="str">
        <f>"4005900499257"</f>
        <v>4005900499257</v>
      </c>
      <c r="I2640" s="3">
        <v>0</v>
      </c>
      <c r="J2640" s="3">
        <v>0</v>
      </c>
      <c r="K2640" s="3">
        <v>6500</v>
      </c>
    </row>
    <row r="2641" spans="1:11" x14ac:dyDescent="0.2">
      <c r="A2641" s="1" t="s">
        <v>4994</v>
      </c>
      <c r="B2641" s="1" t="s">
        <v>3319</v>
      </c>
      <c r="C2641" s="1"/>
      <c r="D2641" s="1"/>
      <c r="E2641" s="1"/>
      <c r="F2641" s="1"/>
      <c r="G2641" s="1"/>
      <c r="H2641" s="1" t="str">
        <f>"4006000067919"</f>
        <v>4006000067919</v>
      </c>
      <c r="I2641" s="3">
        <v>0</v>
      </c>
      <c r="J2641" s="3">
        <v>0</v>
      </c>
      <c r="K2641" s="3">
        <v>6500</v>
      </c>
    </row>
    <row r="2642" spans="1:11" x14ac:dyDescent="0.2">
      <c r="A2642" s="1" t="s">
        <v>4994</v>
      </c>
      <c r="B2642" s="1" t="s">
        <v>3320</v>
      </c>
      <c r="C2642" s="1"/>
      <c r="D2642" s="1"/>
      <c r="E2642" s="1"/>
      <c r="F2642" s="1"/>
      <c r="G2642" s="1"/>
      <c r="H2642" s="1" t="str">
        <f>"4005900773821"</f>
        <v>4005900773821</v>
      </c>
      <c r="I2642" s="3">
        <v>0</v>
      </c>
      <c r="J2642" s="3">
        <v>0</v>
      </c>
      <c r="K2642" s="3">
        <v>6500</v>
      </c>
    </row>
    <row r="2643" spans="1:11" x14ac:dyDescent="0.2">
      <c r="A2643" s="1" t="s">
        <v>4994</v>
      </c>
      <c r="B2643" s="1" t="s">
        <v>3321</v>
      </c>
      <c r="C2643" s="1"/>
      <c r="D2643" s="1"/>
      <c r="E2643" s="1"/>
      <c r="F2643" s="1"/>
      <c r="G2643" s="1"/>
      <c r="H2643" s="1" t="str">
        <f>"7702003006265"</f>
        <v>7702003006265</v>
      </c>
      <c r="I2643" s="3">
        <v>0</v>
      </c>
      <c r="J2643" s="3">
        <v>0</v>
      </c>
      <c r="K2643" s="3">
        <v>6500</v>
      </c>
    </row>
    <row r="2644" spans="1:11" x14ac:dyDescent="0.2">
      <c r="A2644" s="1" t="s">
        <v>4994</v>
      </c>
      <c r="B2644" s="1" t="s">
        <v>3322</v>
      </c>
      <c r="C2644" s="1"/>
      <c r="D2644" s="1"/>
      <c r="E2644" s="1"/>
      <c r="F2644" s="1"/>
      <c r="G2644" s="1"/>
      <c r="H2644" s="1" t="str">
        <f>"4005808837311"</f>
        <v>4005808837311</v>
      </c>
      <c r="I2644" s="3">
        <v>6</v>
      </c>
      <c r="J2644" s="3">
        <v>0</v>
      </c>
      <c r="K2644" s="3">
        <v>2500</v>
      </c>
    </row>
    <row r="2645" spans="1:11" x14ac:dyDescent="0.2">
      <c r="A2645" s="1" t="s">
        <v>4994</v>
      </c>
      <c r="B2645" s="1" t="s">
        <v>3323</v>
      </c>
      <c r="C2645" s="1"/>
      <c r="D2645" s="1"/>
      <c r="E2645" s="1"/>
      <c r="F2645" s="1"/>
      <c r="G2645" s="1"/>
      <c r="H2645" s="1" t="str">
        <f>"4006000157290"</f>
        <v>4006000157290</v>
      </c>
      <c r="I2645" s="3">
        <v>3</v>
      </c>
      <c r="J2645" s="3">
        <v>0</v>
      </c>
      <c r="K2645" s="3">
        <v>5500</v>
      </c>
    </row>
    <row r="2646" spans="1:11" x14ac:dyDescent="0.2">
      <c r="A2646" s="1" t="s">
        <v>4994</v>
      </c>
      <c r="B2646" s="1" t="s">
        <v>3324</v>
      </c>
      <c r="C2646" s="1"/>
      <c r="D2646" s="1"/>
      <c r="E2646" s="1"/>
      <c r="F2646" s="1"/>
      <c r="G2646" s="1"/>
      <c r="H2646" s="1" t="str">
        <f>"4006000157276"</f>
        <v>4006000157276</v>
      </c>
      <c r="I2646" s="3">
        <v>2</v>
      </c>
      <c r="J2646" s="3">
        <v>0</v>
      </c>
      <c r="K2646" s="3">
        <v>5000</v>
      </c>
    </row>
    <row r="2647" spans="1:11" x14ac:dyDescent="0.2">
      <c r="A2647" s="1" t="s">
        <v>4994</v>
      </c>
      <c r="B2647" s="1" t="s">
        <v>3325</v>
      </c>
      <c r="C2647" s="1"/>
      <c r="D2647" s="1"/>
      <c r="E2647" s="1"/>
      <c r="F2647" s="1"/>
      <c r="G2647" s="1"/>
      <c r="H2647" s="1" t="str">
        <f>"4005900436948"</f>
        <v>4005900436948</v>
      </c>
      <c r="I2647" s="3">
        <v>0</v>
      </c>
      <c r="J2647" s="3">
        <v>0</v>
      </c>
      <c r="K2647" s="3">
        <v>5000</v>
      </c>
    </row>
    <row r="2648" spans="1:11" x14ac:dyDescent="0.2">
      <c r="A2648" s="1" t="s">
        <v>4994</v>
      </c>
      <c r="B2648" s="1" t="s">
        <v>3326</v>
      </c>
      <c r="C2648" s="1"/>
      <c r="D2648" s="1"/>
      <c r="E2648" s="1"/>
      <c r="F2648" s="1"/>
      <c r="G2648" s="1"/>
      <c r="H2648" s="1" t="str">
        <f>"4006000157283"</f>
        <v>4006000157283</v>
      </c>
      <c r="I2648" s="3">
        <v>4</v>
      </c>
      <c r="J2648" s="3">
        <v>0</v>
      </c>
      <c r="K2648" s="3">
        <v>5500</v>
      </c>
    </row>
    <row r="2649" spans="1:11" x14ac:dyDescent="0.2">
      <c r="A2649" s="1" t="s">
        <v>4994</v>
      </c>
      <c r="B2649" s="1" t="s">
        <v>3327</v>
      </c>
      <c r="C2649" s="1"/>
      <c r="D2649" s="1"/>
      <c r="E2649" s="1"/>
      <c r="F2649" s="1"/>
      <c r="G2649" s="1"/>
      <c r="H2649" s="1" t="str">
        <f>"4005900764553"</f>
        <v>4005900764553</v>
      </c>
      <c r="I2649" s="3">
        <v>0</v>
      </c>
      <c r="J2649" s="3">
        <v>0</v>
      </c>
      <c r="K2649" s="3">
        <v>5000</v>
      </c>
    </row>
    <row r="2650" spans="1:11" x14ac:dyDescent="0.2">
      <c r="A2650" s="1" t="s">
        <v>4994</v>
      </c>
      <c r="B2650" s="1" t="s">
        <v>3328</v>
      </c>
      <c r="C2650" s="1"/>
      <c r="D2650" s="1"/>
      <c r="E2650" s="1"/>
      <c r="F2650" s="1"/>
      <c r="G2650" s="1"/>
      <c r="H2650" s="1" t="str">
        <f>"4005900542557"</f>
        <v>4005900542557</v>
      </c>
      <c r="I2650" s="3">
        <v>0</v>
      </c>
      <c r="J2650" s="3">
        <v>0</v>
      </c>
      <c r="K2650" s="3">
        <v>2500</v>
      </c>
    </row>
    <row r="2651" spans="1:11" x14ac:dyDescent="0.2">
      <c r="A2651" s="1" t="s">
        <v>4994</v>
      </c>
      <c r="B2651" s="1" t="s">
        <v>3329</v>
      </c>
      <c r="C2651" s="1"/>
      <c r="D2651" s="1"/>
      <c r="E2651" s="1"/>
      <c r="F2651" s="1"/>
      <c r="G2651" s="1"/>
      <c r="H2651" s="1" t="str">
        <f>"4005900036704"</f>
        <v>4005900036704</v>
      </c>
      <c r="I2651" s="3">
        <v>0</v>
      </c>
      <c r="J2651" s="3">
        <v>0</v>
      </c>
      <c r="K2651" s="3">
        <v>2500</v>
      </c>
    </row>
    <row r="2652" spans="1:11" x14ac:dyDescent="0.2">
      <c r="A2652" s="1" t="s">
        <v>4994</v>
      </c>
      <c r="B2652" s="1" t="s">
        <v>3330</v>
      </c>
      <c r="C2652" s="1"/>
      <c r="D2652" s="1"/>
      <c r="E2652" s="1"/>
      <c r="F2652" s="1"/>
      <c r="G2652" s="1"/>
      <c r="H2652" s="1" t="str">
        <f>"4005900036605"</f>
        <v>4005900036605</v>
      </c>
      <c r="I2652" s="3">
        <v>5</v>
      </c>
      <c r="J2652" s="3">
        <v>0</v>
      </c>
      <c r="K2652" s="3">
        <v>2500</v>
      </c>
    </row>
    <row r="2653" spans="1:11" x14ac:dyDescent="0.2">
      <c r="A2653" s="1" t="s">
        <v>4994</v>
      </c>
      <c r="B2653" s="1" t="s">
        <v>3331</v>
      </c>
      <c r="C2653" s="1"/>
      <c r="D2653" s="1"/>
      <c r="E2653" s="1"/>
      <c r="F2653" s="1"/>
      <c r="G2653" s="1"/>
      <c r="H2653" s="1" t="str">
        <f>"4005900957061"</f>
        <v>4005900957061</v>
      </c>
      <c r="I2653" s="3">
        <v>1</v>
      </c>
      <c r="J2653" s="3">
        <v>0</v>
      </c>
      <c r="K2653" s="3">
        <v>14500</v>
      </c>
    </row>
    <row r="2654" spans="1:11" x14ac:dyDescent="0.2">
      <c r="A2654" s="1" t="s">
        <v>4994</v>
      </c>
      <c r="B2654" s="1" t="s">
        <v>3332</v>
      </c>
      <c r="C2654" s="1"/>
      <c r="D2654" s="1"/>
      <c r="E2654" s="1"/>
      <c r="F2654" s="1"/>
      <c r="G2654" s="1"/>
      <c r="H2654" s="1" t="str">
        <f>"4005900491060"</f>
        <v>4005900491060</v>
      </c>
      <c r="I2654" s="3">
        <v>0</v>
      </c>
      <c r="J2654" s="3">
        <v>0</v>
      </c>
      <c r="K2654" s="3">
        <v>9000</v>
      </c>
    </row>
    <row r="2655" spans="1:11" x14ac:dyDescent="0.2">
      <c r="A2655" s="1" t="s">
        <v>4994</v>
      </c>
      <c r="B2655" s="1" t="s">
        <v>3333</v>
      </c>
      <c r="C2655" s="1"/>
      <c r="D2655" s="1"/>
      <c r="E2655" s="1"/>
      <c r="F2655" s="1"/>
      <c r="G2655" s="1"/>
      <c r="H2655" s="1" t="str">
        <f>"4005800137662"</f>
        <v>4005800137662</v>
      </c>
      <c r="I2655" s="3">
        <v>0</v>
      </c>
      <c r="J2655" s="3">
        <v>0</v>
      </c>
      <c r="K2655" s="3">
        <v>8000</v>
      </c>
    </row>
    <row r="2656" spans="1:11" x14ac:dyDescent="0.2">
      <c r="A2656" s="1" t="s">
        <v>4994</v>
      </c>
      <c r="B2656" s="1" t="s">
        <v>3334</v>
      </c>
      <c r="C2656" s="1"/>
      <c r="D2656" s="1"/>
      <c r="E2656" s="1"/>
      <c r="F2656" s="1"/>
      <c r="G2656" s="1"/>
      <c r="H2656" s="1" t="str">
        <f>"4006000069784"</f>
        <v>4006000069784</v>
      </c>
      <c r="I2656" s="3">
        <v>6</v>
      </c>
      <c r="J2656" s="3">
        <v>0</v>
      </c>
      <c r="K2656" s="3">
        <v>2000</v>
      </c>
    </row>
    <row r="2657" spans="1:11" x14ac:dyDescent="0.2">
      <c r="A2657" s="1" t="s">
        <v>4994</v>
      </c>
      <c r="B2657" s="1" t="s">
        <v>3335</v>
      </c>
      <c r="C2657" s="1"/>
      <c r="D2657" s="1"/>
      <c r="E2657" s="1"/>
      <c r="F2657" s="1"/>
      <c r="G2657" s="1"/>
      <c r="H2657" s="1" t="str">
        <f>"42429142"</f>
        <v>42429142</v>
      </c>
      <c r="I2657" s="3">
        <v>2</v>
      </c>
      <c r="J2657" s="3">
        <v>0</v>
      </c>
      <c r="K2657" s="3">
        <v>3000</v>
      </c>
    </row>
    <row r="2658" spans="1:11" x14ac:dyDescent="0.2">
      <c r="A2658" s="1" t="s">
        <v>4994</v>
      </c>
      <c r="B2658" s="1" t="s">
        <v>3336</v>
      </c>
      <c r="C2658" s="1"/>
      <c r="D2658" s="1"/>
      <c r="E2658" s="1"/>
      <c r="F2658" s="1"/>
      <c r="G2658" s="1"/>
      <c r="H2658" s="1" t="str">
        <f>"4005900528230"</f>
        <v>4005900528230</v>
      </c>
      <c r="I2658" s="3">
        <v>6</v>
      </c>
      <c r="J2658" s="3">
        <v>0</v>
      </c>
      <c r="K2658" s="3">
        <v>6000</v>
      </c>
    </row>
    <row r="2659" spans="1:11" x14ac:dyDescent="0.2">
      <c r="A2659" s="1" t="s">
        <v>4994</v>
      </c>
      <c r="B2659" s="1" t="s">
        <v>3337</v>
      </c>
      <c r="C2659" s="1"/>
      <c r="D2659" s="1"/>
      <c r="E2659" s="1"/>
      <c r="F2659" s="1"/>
      <c r="G2659" s="1"/>
      <c r="H2659" s="1" t="str">
        <f>"4005800137556"</f>
        <v>4005800137556</v>
      </c>
      <c r="I2659" s="3">
        <v>2</v>
      </c>
      <c r="J2659" s="3">
        <v>0</v>
      </c>
      <c r="K2659" s="3">
        <v>4000</v>
      </c>
    </row>
    <row r="2660" spans="1:11" x14ac:dyDescent="0.2">
      <c r="A2660" s="1" t="s">
        <v>4994</v>
      </c>
      <c r="B2660" s="1" t="s">
        <v>3338</v>
      </c>
      <c r="C2660" s="1"/>
      <c r="D2660" s="1"/>
      <c r="E2660" s="1"/>
      <c r="F2660" s="1"/>
      <c r="G2660" s="1"/>
      <c r="H2660" s="1" t="str">
        <f>"4005800137655"</f>
        <v>4005800137655</v>
      </c>
      <c r="I2660" s="3">
        <v>17</v>
      </c>
      <c r="J2660" s="3">
        <v>0</v>
      </c>
      <c r="K2660" s="3">
        <v>2500</v>
      </c>
    </row>
    <row r="2661" spans="1:11" x14ac:dyDescent="0.2">
      <c r="A2661" s="1" t="s">
        <v>4994</v>
      </c>
      <c r="B2661" s="1" t="s">
        <v>3339</v>
      </c>
      <c r="C2661" s="1"/>
      <c r="D2661" s="1"/>
      <c r="E2661" s="1"/>
      <c r="F2661" s="1"/>
      <c r="G2661" s="1"/>
      <c r="H2661" s="1" t="str">
        <f>"4005900950925"</f>
        <v>4005900950925</v>
      </c>
      <c r="I2661" s="3">
        <v>0</v>
      </c>
      <c r="J2661" s="3">
        <v>0</v>
      </c>
      <c r="K2661" s="3">
        <v>3000</v>
      </c>
    </row>
    <row r="2662" spans="1:11" x14ac:dyDescent="0.2">
      <c r="A2662" s="1" t="s">
        <v>4994</v>
      </c>
      <c r="B2662" s="1" t="s">
        <v>3340</v>
      </c>
      <c r="C2662" s="1"/>
      <c r="D2662" s="1"/>
      <c r="E2662" s="1"/>
      <c r="F2662" s="1"/>
      <c r="G2662" s="1"/>
      <c r="H2662" s="1" t="str">
        <f>"4005808257720"</f>
        <v>4005808257720</v>
      </c>
      <c r="I2662" s="3">
        <v>0</v>
      </c>
      <c r="J2662" s="3">
        <v>0</v>
      </c>
      <c r="K2662" s="3">
        <v>2500</v>
      </c>
    </row>
    <row r="2663" spans="1:11" x14ac:dyDescent="0.2">
      <c r="A2663" s="1" t="s">
        <v>4994</v>
      </c>
      <c r="B2663" s="1" t="s">
        <v>3341</v>
      </c>
      <c r="C2663" s="1"/>
      <c r="D2663" s="1"/>
      <c r="E2663" s="1"/>
      <c r="F2663" s="1"/>
      <c r="G2663" s="1"/>
      <c r="H2663" s="1" t="str">
        <f>"76047505835259"</f>
        <v>76047505835259</v>
      </c>
      <c r="I2663" s="3">
        <v>12</v>
      </c>
      <c r="J2663" s="3">
        <v>0</v>
      </c>
      <c r="K2663" s="3">
        <v>2500</v>
      </c>
    </row>
    <row r="2664" spans="1:11" x14ac:dyDescent="0.2">
      <c r="A2664" s="1" t="s">
        <v>4994</v>
      </c>
      <c r="B2664" s="1" t="s">
        <v>3342</v>
      </c>
      <c r="C2664" s="1"/>
      <c r="D2664" s="1"/>
      <c r="E2664" s="1"/>
      <c r="F2664" s="1"/>
      <c r="G2664" s="1"/>
      <c r="H2664" s="1" t="str">
        <f>"4005900954541"</f>
        <v>4005900954541</v>
      </c>
      <c r="I2664" s="3">
        <v>0</v>
      </c>
      <c r="J2664" s="3">
        <v>0</v>
      </c>
      <c r="K2664" s="3">
        <v>6500</v>
      </c>
    </row>
    <row r="2665" spans="1:11" x14ac:dyDescent="0.2">
      <c r="A2665" s="1" t="s">
        <v>4994</v>
      </c>
      <c r="B2665" s="1" t="s">
        <v>3343</v>
      </c>
      <c r="C2665" s="1"/>
      <c r="D2665" s="1"/>
      <c r="E2665" s="1"/>
      <c r="F2665" s="1"/>
      <c r="G2665" s="1"/>
      <c r="H2665" s="1" t="str">
        <f>"4005900622600"</f>
        <v>4005900622600</v>
      </c>
      <c r="I2665" s="3">
        <v>6</v>
      </c>
      <c r="J2665" s="3">
        <v>0</v>
      </c>
      <c r="K2665" s="3">
        <v>4000</v>
      </c>
    </row>
    <row r="2666" spans="1:11" x14ac:dyDescent="0.2">
      <c r="A2666" s="1" t="s">
        <v>4994</v>
      </c>
      <c r="B2666" s="1" t="s">
        <v>3344</v>
      </c>
      <c r="C2666" s="1"/>
      <c r="D2666" s="1"/>
      <c r="E2666" s="1"/>
      <c r="F2666" s="1"/>
      <c r="G2666" s="1"/>
      <c r="H2666" s="1" t="str">
        <f>"4005900950918"</f>
        <v>4005900950918</v>
      </c>
      <c r="I2666" s="3">
        <v>0</v>
      </c>
      <c r="J2666" s="3">
        <v>0</v>
      </c>
      <c r="K2666" s="3">
        <v>3570</v>
      </c>
    </row>
    <row r="2667" spans="1:11" x14ac:dyDescent="0.2">
      <c r="A2667" s="1" t="s">
        <v>4994</v>
      </c>
      <c r="B2667" s="1" t="s">
        <v>3345</v>
      </c>
      <c r="C2667" s="1"/>
      <c r="D2667" s="1"/>
      <c r="E2667" s="1"/>
      <c r="F2667" s="1"/>
      <c r="G2667" s="1"/>
      <c r="H2667" s="1" t="str">
        <f>"4005900036711"</f>
        <v>4005900036711</v>
      </c>
      <c r="I2667" s="3">
        <v>21</v>
      </c>
      <c r="J2667" s="3">
        <v>0</v>
      </c>
      <c r="K2667" s="3">
        <v>2500</v>
      </c>
    </row>
    <row r="2668" spans="1:11" x14ac:dyDescent="0.2">
      <c r="A2668" s="1" t="s">
        <v>4994</v>
      </c>
      <c r="B2668" s="1" t="s">
        <v>3346</v>
      </c>
      <c r="C2668" s="1"/>
      <c r="D2668" s="1"/>
      <c r="E2668" s="1"/>
      <c r="F2668" s="1"/>
      <c r="G2668" s="1"/>
      <c r="H2668" s="1" t="str">
        <f>"4005900919557"</f>
        <v>4005900919557</v>
      </c>
      <c r="I2668" s="3">
        <v>1</v>
      </c>
      <c r="J2668" s="3">
        <v>0</v>
      </c>
      <c r="K2668" s="3">
        <v>3500</v>
      </c>
    </row>
    <row r="2669" spans="1:11" x14ac:dyDescent="0.2">
      <c r="A2669" s="1" t="s">
        <v>4994</v>
      </c>
      <c r="B2669" s="1" t="s">
        <v>3347</v>
      </c>
      <c r="C2669" s="1"/>
      <c r="D2669" s="1"/>
      <c r="E2669" s="1"/>
      <c r="F2669" s="1"/>
      <c r="G2669" s="1"/>
      <c r="H2669" s="1" t="str">
        <f>"4005900036759"</f>
        <v>4005900036759</v>
      </c>
      <c r="I2669" s="3">
        <v>0</v>
      </c>
      <c r="J2669" s="3">
        <v>0</v>
      </c>
      <c r="K2669" s="3">
        <v>2500</v>
      </c>
    </row>
    <row r="2670" spans="1:11" x14ac:dyDescent="0.2">
      <c r="A2670" s="1" t="s">
        <v>4994</v>
      </c>
      <c r="B2670" s="1" t="s">
        <v>3348</v>
      </c>
      <c r="C2670" s="1"/>
      <c r="D2670" s="1"/>
      <c r="E2670" s="1"/>
      <c r="F2670" s="1"/>
      <c r="G2670" s="1"/>
      <c r="H2670" s="1" t="str">
        <f>"4005900728173"</f>
        <v>4005900728173</v>
      </c>
      <c r="I2670" s="3">
        <v>4</v>
      </c>
      <c r="J2670" s="3">
        <v>0</v>
      </c>
      <c r="K2670" s="3">
        <v>2500</v>
      </c>
    </row>
    <row r="2671" spans="1:11" x14ac:dyDescent="0.2">
      <c r="A2671" s="1" t="s">
        <v>4994</v>
      </c>
      <c r="B2671" s="1" t="s">
        <v>3349</v>
      </c>
      <c r="C2671" s="1"/>
      <c r="D2671" s="1"/>
      <c r="E2671" s="1"/>
      <c r="F2671" s="1"/>
      <c r="G2671" s="1"/>
      <c r="H2671" s="1" t="str">
        <f>"4006000087221"</f>
        <v>4006000087221</v>
      </c>
      <c r="I2671" s="3">
        <v>5</v>
      </c>
      <c r="J2671" s="3">
        <v>0</v>
      </c>
      <c r="K2671" s="3">
        <v>5000</v>
      </c>
    </row>
    <row r="2672" spans="1:11" x14ac:dyDescent="0.2">
      <c r="A2672" s="1" t="s">
        <v>4994</v>
      </c>
      <c r="B2672" s="1" t="s">
        <v>3350</v>
      </c>
      <c r="C2672" s="1"/>
      <c r="D2672" s="1"/>
      <c r="E2672" s="1"/>
      <c r="F2672" s="1"/>
      <c r="G2672" s="1"/>
      <c r="H2672" s="1" t="str">
        <f>"4005900528223"</f>
        <v>4005900528223</v>
      </c>
      <c r="I2672" s="3">
        <v>5</v>
      </c>
      <c r="J2672" s="3">
        <v>0</v>
      </c>
      <c r="K2672" s="3">
        <v>7000</v>
      </c>
    </row>
    <row r="2673" spans="1:11" x14ac:dyDescent="0.2">
      <c r="A2673" s="1" t="s">
        <v>4994</v>
      </c>
      <c r="B2673" s="1" t="s">
        <v>3351</v>
      </c>
      <c r="C2673" s="1"/>
      <c r="D2673" s="1"/>
      <c r="E2673" s="1"/>
      <c r="F2673" s="1"/>
      <c r="G2673" s="1"/>
      <c r="H2673" s="1" t="str">
        <f>"4006000090849"</f>
        <v>4006000090849</v>
      </c>
      <c r="I2673" s="3">
        <v>9</v>
      </c>
      <c r="J2673" s="3">
        <v>0</v>
      </c>
      <c r="K2673" s="3">
        <v>2500</v>
      </c>
    </row>
    <row r="2674" spans="1:11" x14ac:dyDescent="0.2">
      <c r="A2674" s="1" t="s">
        <v>4994</v>
      </c>
      <c r="B2674" s="1" t="s">
        <v>3352</v>
      </c>
      <c r="C2674" s="1"/>
      <c r="D2674" s="1"/>
      <c r="E2674" s="1"/>
      <c r="F2674" s="1"/>
      <c r="G2674" s="1"/>
      <c r="H2674" s="1" t="str">
        <f>"4005900515933"</f>
        <v>4005900515933</v>
      </c>
      <c r="I2674" s="3">
        <v>11</v>
      </c>
      <c r="J2674" s="3">
        <v>0</v>
      </c>
      <c r="K2674" s="3">
        <v>2500</v>
      </c>
    </row>
    <row r="2675" spans="1:11" x14ac:dyDescent="0.2">
      <c r="A2675" s="1" t="s">
        <v>4994</v>
      </c>
      <c r="B2675" s="1" t="s">
        <v>3353</v>
      </c>
      <c r="C2675" s="1"/>
      <c r="D2675" s="1"/>
      <c r="E2675" s="1"/>
      <c r="F2675" s="1"/>
      <c r="G2675" s="1"/>
      <c r="H2675" s="1" t="str">
        <f>"4005900354945"</f>
        <v>4005900354945</v>
      </c>
      <c r="I2675" s="3">
        <v>0</v>
      </c>
      <c r="J2675" s="3">
        <v>0</v>
      </c>
      <c r="K2675" s="3">
        <v>2500</v>
      </c>
    </row>
    <row r="2676" spans="1:11" x14ac:dyDescent="0.2">
      <c r="A2676" s="1" t="s">
        <v>4994</v>
      </c>
      <c r="B2676" s="1" t="s">
        <v>3354</v>
      </c>
      <c r="C2676" s="1"/>
      <c r="D2676" s="1"/>
      <c r="E2676" s="1"/>
      <c r="F2676" s="1"/>
      <c r="G2676" s="1"/>
      <c r="H2676" s="1" t="str">
        <f>"4005808663798"</f>
        <v>4005808663798</v>
      </c>
      <c r="I2676" s="3">
        <v>2</v>
      </c>
      <c r="J2676" s="3">
        <v>0</v>
      </c>
      <c r="K2676" s="3">
        <v>2500</v>
      </c>
    </row>
    <row r="2677" spans="1:11" x14ac:dyDescent="0.2">
      <c r="A2677" s="1" t="s">
        <v>4994</v>
      </c>
      <c r="B2677" s="1" t="s">
        <v>3355</v>
      </c>
      <c r="C2677" s="1"/>
      <c r="D2677" s="1"/>
      <c r="E2677" s="1"/>
      <c r="F2677" s="1"/>
      <c r="G2677" s="1"/>
      <c r="H2677" s="1" t="str">
        <f>"4005808257669"</f>
        <v>4005808257669</v>
      </c>
      <c r="I2677" s="3">
        <v>0</v>
      </c>
      <c r="J2677" s="3">
        <v>0</v>
      </c>
      <c r="K2677" s="3">
        <v>2000</v>
      </c>
    </row>
    <row r="2678" spans="1:11" x14ac:dyDescent="0.2">
      <c r="A2678" s="1" t="s">
        <v>4994</v>
      </c>
      <c r="B2678" s="1" t="s">
        <v>3356</v>
      </c>
      <c r="C2678" s="1"/>
      <c r="D2678" s="1"/>
      <c r="E2678" s="1"/>
      <c r="F2678" s="1"/>
      <c r="G2678" s="1"/>
      <c r="H2678" s="1" t="str">
        <f>"4005808179732"</f>
        <v>4005808179732</v>
      </c>
      <c r="I2678" s="3">
        <v>0</v>
      </c>
      <c r="J2678" s="3">
        <v>0</v>
      </c>
      <c r="K2678" s="3">
        <v>14000</v>
      </c>
    </row>
    <row r="2679" spans="1:11" x14ac:dyDescent="0.2">
      <c r="A2679" s="1" t="s">
        <v>4994</v>
      </c>
      <c r="B2679" s="1" t="s">
        <v>3357</v>
      </c>
      <c r="C2679" s="1"/>
      <c r="D2679" s="1"/>
      <c r="E2679" s="1"/>
      <c r="F2679" s="1"/>
      <c r="G2679" s="1"/>
      <c r="H2679" s="1" t="str">
        <f>"4005900624116"</f>
        <v>4005900624116</v>
      </c>
      <c r="I2679" s="3">
        <v>0</v>
      </c>
      <c r="J2679" s="3">
        <v>0</v>
      </c>
      <c r="K2679" s="3">
        <v>2500</v>
      </c>
    </row>
    <row r="2680" spans="1:11" x14ac:dyDescent="0.2">
      <c r="A2680" s="1" t="s">
        <v>4994</v>
      </c>
      <c r="B2680" s="1" t="s">
        <v>3358</v>
      </c>
      <c r="C2680" s="1"/>
      <c r="D2680" s="1"/>
      <c r="E2680" s="1"/>
      <c r="F2680" s="1"/>
      <c r="G2680" s="1"/>
      <c r="H2680" s="1" t="str">
        <f>"4005808663927"</f>
        <v>4005808663927</v>
      </c>
      <c r="I2680" s="3">
        <v>0</v>
      </c>
      <c r="J2680" s="3">
        <v>0</v>
      </c>
      <c r="K2680" s="3">
        <v>3200</v>
      </c>
    </row>
    <row r="2681" spans="1:11" x14ac:dyDescent="0.2">
      <c r="A2681" s="1" t="s">
        <v>4994</v>
      </c>
      <c r="B2681" s="1" t="s">
        <v>3359</v>
      </c>
      <c r="C2681" s="1"/>
      <c r="D2681" s="1"/>
      <c r="E2681" s="1"/>
      <c r="F2681" s="1"/>
      <c r="G2681" s="1"/>
      <c r="H2681" s="1" t="str">
        <f>"4005808829675"</f>
        <v>4005808829675</v>
      </c>
      <c r="I2681" s="3">
        <v>4</v>
      </c>
      <c r="J2681" s="3">
        <v>0</v>
      </c>
      <c r="K2681" s="3">
        <v>2500</v>
      </c>
    </row>
    <row r="2682" spans="1:11" x14ac:dyDescent="0.2">
      <c r="A2682" s="1" t="s">
        <v>4994</v>
      </c>
      <c r="B2682" s="1" t="s">
        <v>3360</v>
      </c>
      <c r="C2682" s="1"/>
      <c r="D2682" s="1"/>
      <c r="E2682" s="1"/>
      <c r="F2682" s="1"/>
      <c r="G2682" s="1"/>
      <c r="H2682" s="1" t="str">
        <f>"662858121315"</f>
        <v>662858121315</v>
      </c>
      <c r="I2682" s="3">
        <v>0</v>
      </c>
      <c r="J2682" s="3">
        <v>0</v>
      </c>
      <c r="K2682" s="3">
        <v>4500</v>
      </c>
    </row>
    <row r="2683" spans="1:11" x14ac:dyDescent="0.2">
      <c r="A2683" s="1" t="s">
        <v>4994</v>
      </c>
      <c r="B2683" s="1" t="s">
        <v>3361</v>
      </c>
      <c r="C2683" s="1"/>
      <c r="D2683" s="1"/>
      <c r="E2683" s="1"/>
      <c r="F2683" s="1"/>
      <c r="G2683" s="1"/>
      <c r="H2683" s="1" t="str">
        <f>"7800007713667"</f>
        <v>7800007713667</v>
      </c>
      <c r="I2683" s="3">
        <v>8</v>
      </c>
      <c r="J2683" s="3">
        <v>0</v>
      </c>
      <c r="K2683" s="3">
        <v>12000</v>
      </c>
    </row>
    <row r="2684" spans="1:11" x14ac:dyDescent="0.2">
      <c r="A2684" s="1" t="s">
        <v>4994</v>
      </c>
      <c r="B2684" s="1" t="s">
        <v>3363</v>
      </c>
      <c r="C2684" s="1"/>
      <c r="D2684" s="1"/>
      <c r="E2684" s="1"/>
      <c r="F2684" s="1"/>
      <c r="G2684" s="1"/>
      <c r="H2684" s="1" t="str">
        <f>"7800018162584"</f>
        <v>7800018162584</v>
      </c>
      <c r="I2684" s="3">
        <v>0</v>
      </c>
      <c r="J2684" s="3">
        <v>0</v>
      </c>
      <c r="K2684" s="3">
        <v>10000</v>
      </c>
    </row>
    <row r="2685" spans="1:11" x14ac:dyDescent="0.2">
      <c r="A2685" s="1" t="s">
        <v>4994</v>
      </c>
      <c r="B2685" s="1" t="s">
        <v>3364</v>
      </c>
      <c r="C2685" s="1"/>
      <c r="D2685" s="1"/>
      <c r="E2685" s="1"/>
      <c r="F2685" s="1"/>
      <c r="G2685" s="1"/>
      <c r="H2685" s="1" t="str">
        <f>"7800070004570"</f>
        <v>7800070004570</v>
      </c>
      <c r="I2685" s="3">
        <v>5</v>
      </c>
      <c r="J2685" s="3">
        <v>0</v>
      </c>
      <c r="K2685" s="3">
        <v>17500</v>
      </c>
    </row>
    <row r="2686" spans="1:11" x14ac:dyDescent="0.2">
      <c r="A2686" s="1" t="s">
        <v>4994</v>
      </c>
      <c r="B2686" s="1" t="s">
        <v>3365</v>
      </c>
      <c r="C2686" s="1"/>
      <c r="D2686" s="1"/>
      <c r="E2686" s="1"/>
      <c r="F2686" s="1"/>
      <c r="G2686" s="1"/>
      <c r="H2686" s="1" t="str">
        <f>"8436024616644"</f>
        <v>8436024616644</v>
      </c>
      <c r="I2686" s="3">
        <v>1</v>
      </c>
      <c r="J2686" s="3">
        <v>0</v>
      </c>
      <c r="K2686" s="3">
        <v>11000</v>
      </c>
    </row>
    <row r="2687" spans="1:11" x14ac:dyDescent="0.2">
      <c r="A2687" s="1" t="s">
        <v>4994</v>
      </c>
      <c r="B2687" s="1" t="s">
        <v>3367</v>
      </c>
      <c r="C2687" s="1"/>
      <c r="D2687" s="1"/>
      <c r="E2687" s="1"/>
      <c r="F2687" s="1"/>
      <c r="G2687" s="1"/>
      <c r="H2687" s="1" t="str">
        <f>"7804677770517"</f>
        <v>7804677770517</v>
      </c>
      <c r="I2687" s="3">
        <v>0</v>
      </c>
      <c r="J2687" s="3">
        <v>0</v>
      </c>
      <c r="K2687" s="3">
        <v>3000</v>
      </c>
    </row>
    <row r="2688" spans="1:11" x14ac:dyDescent="0.2">
      <c r="A2688" s="1" t="s">
        <v>4994</v>
      </c>
      <c r="B2688" s="1" t="s">
        <v>3368</v>
      </c>
      <c r="C2688" s="1"/>
      <c r="D2688" s="1"/>
      <c r="E2688" s="1"/>
      <c r="F2688" s="1"/>
      <c r="G2688" s="1"/>
      <c r="H2688" s="1" t="str">
        <f>"7804650885375"</f>
        <v>7804650885375</v>
      </c>
      <c r="I2688" s="3">
        <v>0</v>
      </c>
      <c r="J2688" s="3">
        <v>0</v>
      </c>
      <c r="K2688" s="3">
        <v>3000</v>
      </c>
    </row>
    <row r="2689" spans="1:11" x14ac:dyDescent="0.2">
      <c r="A2689" s="1" t="s">
        <v>4994</v>
      </c>
      <c r="B2689" s="1" t="s">
        <v>3369</v>
      </c>
      <c r="C2689" s="1"/>
      <c r="D2689" s="1"/>
      <c r="E2689" s="1"/>
      <c r="F2689" s="1"/>
      <c r="G2689" s="1"/>
      <c r="H2689" s="1" t="str">
        <f>"7800063110387"</f>
        <v>7800063110387</v>
      </c>
      <c r="I2689" s="3">
        <v>0</v>
      </c>
      <c r="J2689" s="3">
        <v>0</v>
      </c>
      <c r="K2689" s="3">
        <v>2000</v>
      </c>
    </row>
    <row r="2690" spans="1:11" x14ac:dyDescent="0.2">
      <c r="A2690" s="1" t="s">
        <v>4994</v>
      </c>
      <c r="B2690" s="1" t="s">
        <v>3371</v>
      </c>
      <c r="C2690" s="1"/>
      <c r="D2690" s="1"/>
      <c r="E2690" s="1"/>
      <c r="F2690" s="1"/>
      <c r="G2690" s="1"/>
      <c r="H2690" s="1" t="str">
        <f>"7702026177140"</f>
        <v>7702026177140</v>
      </c>
      <c r="I2690" s="3">
        <v>0</v>
      </c>
      <c r="J2690" s="3">
        <v>0</v>
      </c>
      <c r="K2690" s="3">
        <v>18000</v>
      </c>
    </row>
    <row r="2691" spans="1:11" x14ac:dyDescent="0.2">
      <c r="A2691" s="1" t="s">
        <v>4994</v>
      </c>
      <c r="B2691" s="1" t="s">
        <v>3372</v>
      </c>
      <c r="C2691" s="1"/>
      <c r="D2691" s="1"/>
      <c r="E2691" s="1"/>
      <c r="F2691" s="1"/>
      <c r="G2691" s="1"/>
      <c r="H2691" s="1" t="str">
        <f>"7702026147082"</f>
        <v>7702026147082</v>
      </c>
      <c r="I2691" s="3">
        <v>0</v>
      </c>
      <c r="J2691" s="3">
        <v>0</v>
      </c>
      <c r="K2691" s="3">
        <v>5500</v>
      </c>
    </row>
    <row r="2692" spans="1:11" x14ac:dyDescent="0.2">
      <c r="A2692" s="1" t="s">
        <v>4994</v>
      </c>
      <c r="B2692" s="1" t="s">
        <v>3373</v>
      </c>
      <c r="C2692" s="1"/>
      <c r="D2692" s="1"/>
      <c r="E2692" s="1"/>
      <c r="F2692" s="1"/>
      <c r="G2692" s="1"/>
      <c r="H2692" s="1" t="str">
        <f>"7702026177546"</f>
        <v>7702026177546</v>
      </c>
      <c r="I2692" s="3">
        <v>0</v>
      </c>
      <c r="J2692" s="3">
        <v>0</v>
      </c>
      <c r="K2692" s="3">
        <v>5500</v>
      </c>
    </row>
    <row r="2693" spans="1:11" x14ac:dyDescent="0.2">
      <c r="A2693" s="1" t="s">
        <v>4994</v>
      </c>
      <c r="B2693" s="1" t="s">
        <v>3374</v>
      </c>
      <c r="C2693" s="1"/>
      <c r="D2693" s="1"/>
      <c r="E2693" s="1"/>
      <c r="F2693" s="1"/>
      <c r="G2693" s="1"/>
      <c r="H2693" s="1" t="str">
        <f>"7702026178901"</f>
        <v>7702026178901</v>
      </c>
      <c r="I2693" s="3">
        <v>0</v>
      </c>
      <c r="J2693" s="3">
        <v>0</v>
      </c>
      <c r="K2693" s="3">
        <v>5500</v>
      </c>
    </row>
    <row r="2694" spans="1:11" x14ac:dyDescent="0.2">
      <c r="A2694" s="1" t="s">
        <v>4994</v>
      </c>
      <c r="B2694" s="1" t="s">
        <v>3375</v>
      </c>
      <c r="C2694" s="1"/>
      <c r="D2694" s="1"/>
      <c r="E2694" s="1"/>
      <c r="F2694" s="1"/>
      <c r="G2694" s="1"/>
      <c r="H2694" s="1" t="str">
        <f>"7702026196271"</f>
        <v>7702026196271</v>
      </c>
      <c r="I2694" s="3">
        <v>1</v>
      </c>
      <c r="J2694" s="3">
        <v>0</v>
      </c>
      <c r="K2694" s="3">
        <v>5500</v>
      </c>
    </row>
    <row r="2695" spans="1:11" x14ac:dyDescent="0.2">
      <c r="A2695" s="1" t="s">
        <v>4994</v>
      </c>
      <c r="B2695" s="1" t="s">
        <v>3376</v>
      </c>
      <c r="C2695" s="1"/>
      <c r="D2695" s="1"/>
      <c r="E2695" s="1"/>
      <c r="F2695" s="1"/>
      <c r="G2695" s="1"/>
      <c r="H2695" s="1" t="str">
        <f>"7702027042010"</f>
        <v>7702027042010</v>
      </c>
      <c r="I2695" s="3">
        <v>0</v>
      </c>
      <c r="J2695" s="3">
        <v>0</v>
      </c>
      <c r="K2695" s="3">
        <v>4500</v>
      </c>
    </row>
    <row r="2696" spans="1:11" x14ac:dyDescent="0.2">
      <c r="A2696" s="1" t="s">
        <v>4994</v>
      </c>
      <c r="B2696" s="1" t="s">
        <v>3377</v>
      </c>
      <c r="C2696" s="1"/>
      <c r="D2696" s="1"/>
      <c r="E2696" s="1"/>
      <c r="F2696" s="1"/>
      <c r="G2696" s="1"/>
      <c r="H2696" s="1" t="str">
        <f>"7702026173623"</f>
        <v>7702026173623</v>
      </c>
      <c r="I2696" s="3">
        <v>10</v>
      </c>
      <c r="J2696" s="3">
        <v>0</v>
      </c>
      <c r="K2696" s="3">
        <v>1500</v>
      </c>
    </row>
    <row r="2697" spans="1:11" x14ac:dyDescent="0.2">
      <c r="A2697" s="1" t="s">
        <v>4994</v>
      </c>
      <c r="B2697" s="1" t="s">
        <v>3378</v>
      </c>
      <c r="C2697" s="1"/>
      <c r="D2697" s="1"/>
      <c r="E2697" s="1"/>
      <c r="F2697" s="1"/>
      <c r="G2697" s="1"/>
      <c r="H2697" s="1" t="str">
        <f>"7702026179670"</f>
        <v>7702026179670</v>
      </c>
      <c r="I2697" s="3">
        <v>0</v>
      </c>
      <c r="J2697" s="3">
        <v>0</v>
      </c>
      <c r="K2697" s="3">
        <v>1500</v>
      </c>
    </row>
    <row r="2698" spans="1:11" x14ac:dyDescent="0.2">
      <c r="A2698" s="1" t="s">
        <v>4994</v>
      </c>
      <c r="B2698" s="1" t="s">
        <v>3379</v>
      </c>
      <c r="C2698" s="1"/>
      <c r="D2698" s="1"/>
      <c r="E2698" s="1"/>
      <c r="F2698" s="1"/>
      <c r="G2698" s="1"/>
      <c r="H2698" s="1" t="str">
        <f>"7702027435607"</f>
        <v>7702027435607</v>
      </c>
      <c r="I2698" s="3">
        <v>10</v>
      </c>
      <c r="J2698" s="3">
        <v>0</v>
      </c>
      <c r="K2698" s="3">
        <v>3500</v>
      </c>
    </row>
    <row r="2699" spans="1:11" x14ac:dyDescent="0.2">
      <c r="A2699" s="1" t="s">
        <v>4994</v>
      </c>
      <c r="B2699" s="1" t="s">
        <v>3380</v>
      </c>
      <c r="C2699" s="1"/>
      <c r="D2699" s="1"/>
      <c r="E2699" s="1"/>
      <c r="F2699" s="1"/>
      <c r="G2699" s="1"/>
      <c r="H2699" s="1" t="str">
        <f>"659525184414"</f>
        <v>659525184414</v>
      </c>
      <c r="I2699" s="3">
        <v>0</v>
      </c>
      <c r="J2699" s="3">
        <v>0</v>
      </c>
      <c r="K2699" s="3">
        <v>4500</v>
      </c>
    </row>
    <row r="2700" spans="1:11" x14ac:dyDescent="0.2">
      <c r="A2700" s="1" t="s">
        <v>4994</v>
      </c>
      <c r="B2700" s="1" t="s">
        <v>3381</v>
      </c>
      <c r="C2700" s="1"/>
      <c r="D2700" s="1"/>
      <c r="E2700" s="1"/>
      <c r="F2700" s="1"/>
      <c r="G2700" s="1"/>
      <c r="H2700" s="1" t="str">
        <f>"7800020162138"</f>
        <v>7800020162138</v>
      </c>
      <c r="I2700" s="3">
        <v>0</v>
      </c>
      <c r="J2700" s="3">
        <v>0</v>
      </c>
      <c r="K2700" s="3">
        <v>14000</v>
      </c>
    </row>
    <row r="2701" spans="1:11" x14ac:dyDescent="0.2">
      <c r="A2701" s="1" t="s">
        <v>4994</v>
      </c>
      <c r="B2701" s="1" t="s">
        <v>3382</v>
      </c>
      <c r="C2701" s="1"/>
      <c r="D2701" s="1"/>
      <c r="E2701" s="1"/>
      <c r="F2701" s="1"/>
      <c r="G2701" s="1"/>
      <c r="H2701" s="1" t="str">
        <f>"7501124183363"</f>
        <v>7501124183363</v>
      </c>
      <c r="I2701" s="3">
        <v>0</v>
      </c>
      <c r="J2701" s="3">
        <v>0</v>
      </c>
      <c r="K2701" s="3">
        <v>9000</v>
      </c>
    </row>
    <row r="2702" spans="1:11" x14ac:dyDescent="0.2">
      <c r="A2702" s="1" t="s">
        <v>4994</v>
      </c>
      <c r="B2702" s="1" t="s">
        <v>3383</v>
      </c>
      <c r="C2702" s="1"/>
      <c r="D2702" s="1"/>
      <c r="E2702" s="1"/>
      <c r="F2702" s="1"/>
      <c r="G2702" s="1"/>
      <c r="H2702" s="1" t="str">
        <f>"7804656600460"</f>
        <v>7804656600460</v>
      </c>
      <c r="I2702" s="3">
        <v>3</v>
      </c>
      <c r="J2702" s="3">
        <v>0</v>
      </c>
      <c r="K2702" s="3">
        <v>21000</v>
      </c>
    </row>
    <row r="2703" spans="1:11" x14ac:dyDescent="0.2">
      <c r="A2703" s="1" t="s">
        <v>4994</v>
      </c>
      <c r="B2703" s="1" t="s">
        <v>3384</v>
      </c>
      <c r="C2703" s="1"/>
      <c r="D2703" s="1"/>
      <c r="E2703" s="1"/>
      <c r="F2703" s="1"/>
      <c r="G2703" s="1"/>
      <c r="H2703" s="1" t="str">
        <f>"7800060035140"</f>
        <v>7800060035140</v>
      </c>
      <c r="I2703" s="3">
        <v>10</v>
      </c>
      <c r="J2703" s="3">
        <v>0</v>
      </c>
      <c r="K2703" s="3">
        <v>4000</v>
      </c>
    </row>
    <row r="2704" spans="1:11" x14ac:dyDescent="0.2">
      <c r="A2704" s="1" t="s">
        <v>4994</v>
      </c>
      <c r="B2704" s="1" t="s">
        <v>3385</v>
      </c>
      <c r="C2704" s="1"/>
      <c r="D2704" s="1"/>
      <c r="E2704" s="1"/>
      <c r="F2704" s="1"/>
      <c r="G2704" s="1"/>
      <c r="H2704" s="1" t="str">
        <f>"FVATAN"</f>
        <v>FVATAN</v>
      </c>
      <c r="I2704" s="3">
        <v>0</v>
      </c>
      <c r="J2704" s="3">
        <v>0</v>
      </c>
      <c r="K2704" s="3">
        <v>6500</v>
      </c>
    </row>
    <row r="2705" spans="1:11" x14ac:dyDescent="0.2">
      <c r="A2705" s="1" t="s">
        <v>4994</v>
      </c>
      <c r="B2705" s="1" t="s">
        <v>3386</v>
      </c>
      <c r="C2705" s="1"/>
      <c r="D2705" s="1"/>
      <c r="E2705" s="1"/>
      <c r="F2705" s="1"/>
      <c r="G2705" s="1"/>
      <c r="H2705" s="1" t="str">
        <f>"733739076007"</f>
        <v>733739076007</v>
      </c>
      <c r="I2705" s="3">
        <v>0</v>
      </c>
      <c r="J2705" s="3">
        <v>0</v>
      </c>
      <c r="K2705" s="3">
        <v>2500</v>
      </c>
    </row>
    <row r="2706" spans="1:11" x14ac:dyDescent="0.2">
      <c r="A2706" s="1" t="s">
        <v>4994</v>
      </c>
      <c r="B2706" s="1" t="s">
        <v>3387</v>
      </c>
      <c r="C2706" s="1"/>
      <c r="D2706" s="1"/>
      <c r="E2706" s="1"/>
      <c r="F2706" s="1"/>
      <c r="G2706" s="1"/>
      <c r="H2706" s="1" t="str">
        <f>"733739075659"</f>
        <v>733739075659</v>
      </c>
      <c r="I2706" s="3">
        <v>0</v>
      </c>
      <c r="J2706" s="3">
        <v>0</v>
      </c>
      <c r="K2706" s="3">
        <v>12500</v>
      </c>
    </row>
    <row r="2707" spans="1:11" x14ac:dyDescent="0.2">
      <c r="A2707" s="1" t="s">
        <v>4994</v>
      </c>
      <c r="B2707" s="1" t="s">
        <v>3388</v>
      </c>
      <c r="C2707" s="1"/>
      <c r="D2707" s="1"/>
      <c r="E2707" s="1"/>
      <c r="F2707" s="1"/>
      <c r="G2707" s="1"/>
      <c r="H2707" s="1" t="str">
        <f>"7800057001776"</f>
        <v>7800057001776</v>
      </c>
      <c r="I2707" s="3">
        <v>2</v>
      </c>
      <c r="J2707" s="3">
        <v>0</v>
      </c>
      <c r="K2707" s="3">
        <v>6000</v>
      </c>
    </row>
    <row r="2708" spans="1:11" x14ac:dyDescent="0.2">
      <c r="A2708" s="1" t="s">
        <v>4994</v>
      </c>
      <c r="B2708" s="1" t="s">
        <v>3389</v>
      </c>
      <c r="C2708" s="1"/>
      <c r="D2708" s="1"/>
      <c r="E2708" s="1"/>
      <c r="F2708" s="1"/>
      <c r="G2708" s="1"/>
      <c r="H2708" s="1" t="str">
        <f>"7800023000017"</f>
        <v>7800023000017</v>
      </c>
      <c r="I2708" s="3">
        <v>0</v>
      </c>
      <c r="J2708" s="3">
        <v>0</v>
      </c>
      <c r="K2708" s="3">
        <v>8500</v>
      </c>
    </row>
    <row r="2709" spans="1:11" x14ac:dyDescent="0.2">
      <c r="A2709" s="1" t="s">
        <v>4994</v>
      </c>
      <c r="B2709" s="1" t="s">
        <v>3390</v>
      </c>
      <c r="C2709" s="1"/>
      <c r="D2709" s="1"/>
      <c r="E2709" s="1"/>
      <c r="F2709" s="1"/>
      <c r="G2709" s="1"/>
      <c r="H2709" s="1" t="str">
        <f>"7805357001563"</f>
        <v>7805357001563</v>
      </c>
      <c r="I2709" s="3">
        <v>28</v>
      </c>
      <c r="J2709" s="3">
        <v>0</v>
      </c>
      <c r="K2709" s="3">
        <v>1500</v>
      </c>
    </row>
    <row r="2710" spans="1:11" x14ac:dyDescent="0.2">
      <c r="A2710" s="1" t="s">
        <v>4994</v>
      </c>
      <c r="B2710" s="1" t="s">
        <v>3392</v>
      </c>
      <c r="C2710" s="1"/>
      <c r="D2710" s="1"/>
      <c r="E2710" s="1"/>
      <c r="F2710" s="1"/>
      <c r="G2710" s="1"/>
      <c r="H2710" s="1" t="str">
        <f>"2000341103468"</f>
        <v>2000341103468</v>
      </c>
      <c r="I2710" s="3">
        <v>0</v>
      </c>
      <c r="J2710" s="3">
        <v>0</v>
      </c>
      <c r="K2710" s="3">
        <v>6500</v>
      </c>
    </row>
    <row r="2711" spans="1:11" x14ac:dyDescent="0.2">
      <c r="A2711" s="1" t="s">
        <v>4994</v>
      </c>
      <c r="B2711" s="1" t="s">
        <v>3393</v>
      </c>
      <c r="C2711" s="1"/>
      <c r="D2711" s="1"/>
      <c r="E2711" s="1"/>
      <c r="F2711" s="1"/>
      <c r="G2711" s="1"/>
      <c r="H2711" s="1" t="str">
        <f>"2000110421199"</f>
        <v>2000110421199</v>
      </c>
      <c r="I2711" s="3">
        <v>0</v>
      </c>
      <c r="J2711" s="3">
        <v>0</v>
      </c>
      <c r="K2711" s="3">
        <v>3500</v>
      </c>
    </row>
    <row r="2712" spans="1:11" x14ac:dyDescent="0.2">
      <c r="A2712" s="1" t="s">
        <v>4994</v>
      </c>
      <c r="B2712" s="1" t="s">
        <v>3394</v>
      </c>
      <c r="C2712" s="1"/>
      <c r="D2712" s="1"/>
      <c r="E2712" s="1"/>
      <c r="F2712" s="1"/>
      <c r="G2712" s="1"/>
      <c r="H2712" s="1" t="str">
        <f>"7509552876277"</f>
        <v>7509552876277</v>
      </c>
      <c r="I2712" s="3">
        <v>0</v>
      </c>
      <c r="J2712" s="3">
        <v>0</v>
      </c>
      <c r="K2712" s="3">
        <v>3000</v>
      </c>
    </row>
    <row r="2713" spans="1:11" x14ac:dyDescent="0.2">
      <c r="A2713" s="1" t="s">
        <v>4994</v>
      </c>
      <c r="B2713" s="1" t="s">
        <v>3395</v>
      </c>
      <c r="C2713" s="1"/>
      <c r="D2713" s="1"/>
      <c r="E2713" s="1"/>
      <c r="F2713" s="1"/>
      <c r="G2713" s="1"/>
      <c r="H2713" s="1" t="str">
        <f>"7509552876352"</f>
        <v>7509552876352</v>
      </c>
      <c r="I2713" s="3">
        <v>0</v>
      </c>
      <c r="J2713" s="3">
        <v>0</v>
      </c>
      <c r="K2713" s="3">
        <v>3000</v>
      </c>
    </row>
    <row r="2714" spans="1:11" x14ac:dyDescent="0.2">
      <c r="A2714" s="1" t="s">
        <v>4994</v>
      </c>
      <c r="B2714" s="1" t="s">
        <v>3396</v>
      </c>
      <c r="C2714" s="1"/>
      <c r="D2714" s="1"/>
      <c r="E2714" s="1"/>
      <c r="F2714" s="1"/>
      <c r="G2714" s="1"/>
      <c r="H2714" s="1" t="str">
        <f>"7800004500314"</f>
        <v>7800004500314</v>
      </c>
      <c r="I2714" s="3">
        <v>9</v>
      </c>
      <c r="J2714" s="3">
        <v>0</v>
      </c>
      <c r="K2714" s="3">
        <v>1000</v>
      </c>
    </row>
    <row r="2715" spans="1:11" x14ac:dyDescent="0.2">
      <c r="A2715" s="1" t="s">
        <v>4994</v>
      </c>
      <c r="B2715" s="1" t="s">
        <v>3397</v>
      </c>
      <c r="C2715" s="1"/>
      <c r="D2715" s="1"/>
      <c r="E2715" s="1"/>
      <c r="F2715" s="1"/>
      <c r="G2715" s="1"/>
      <c r="H2715" s="1" t="str">
        <f>"7800068011641"</f>
        <v>7800068011641</v>
      </c>
      <c r="I2715" s="3">
        <v>0</v>
      </c>
      <c r="J2715" s="3">
        <v>0</v>
      </c>
      <c r="K2715" s="3">
        <v>16000</v>
      </c>
    </row>
    <row r="2716" spans="1:11" x14ac:dyDescent="0.2">
      <c r="A2716" s="1" t="s">
        <v>4994</v>
      </c>
      <c r="B2716" s="1" t="s">
        <v>3398</v>
      </c>
      <c r="C2716" s="1"/>
      <c r="D2716" s="1"/>
      <c r="E2716" s="1"/>
      <c r="F2716" s="1"/>
      <c r="G2716" s="1"/>
      <c r="H2716" s="1" t="str">
        <f>"7800060003217"</f>
        <v>7800060003217</v>
      </c>
      <c r="I2716" s="3">
        <v>0</v>
      </c>
      <c r="J2716" s="3">
        <v>0</v>
      </c>
      <c r="K2716" s="3">
        <v>7000</v>
      </c>
    </row>
    <row r="2717" spans="1:11" x14ac:dyDescent="0.2">
      <c r="A2717" s="1" t="s">
        <v>4994</v>
      </c>
      <c r="B2717" s="1" t="s">
        <v>3399</v>
      </c>
      <c r="C2717" s="1"/>
      <c r="D2717" s="1"/>
      <c r="E2717" s="1"/>
      <c r="F2717" s="1"/>
      <c r="G2717" s="1"/>
      <c r="H2717" s="1" t="str">
        <f>"7800060003224"</f>
        <v>7800060003224</v>
      </c>
      <c r="I2717" s="3">
        <v>2</v>
      </c>
      <c r="J2717" s="3">
        <v>0</v>
      </c>
      <c r="K2717" s="3">
        <v>8500</v>
      </c>
    </row>
    <row r="2718" spans="1:11" x14ac:dyDescent="0.2">
      <c r="A2718" s="1" t="s">
        <v>4994</v>
      </c>
      <c r="B2718" s="1" t="s">
        <v>3400</v>
      </c>
      <c r="C2718" s="1"/>
      <c r="D2718" s="1"/>
      <c r="E2718" s="1"/>
      <c r="F2718" s="1"/>
      <c r="G2718" s="1"/>
      <c r="H2718" s="1" t="str">
        <f>"7800060039643"</f>
        <v>7800060039643</v>
      </c>
      <c r="I2718" s="3">
        <v>5</v>
      </c>
      <c r="J2718" s="3">
        <v>0</v>
      </c>
      <c r="K2718" s="3">
        <v>17000</v>
      </c>
    </row>
    <row r="2719" spans="1:11" x14ac:dyDescent="0.2">
      <c r="A2719" s="1" t="s">
        <v>4994</v>
      </c>
      <c r="B2719" s="1" t="s">
        <v>3401</v>
      </c>
      <c r="C2719" s="1"/>
      <c r="D2719" s="1"/>
      <c r="E2719" s="1"/>
      <c r="F2719" s="1"/>
      <c r="G2719" s="1"/>
      <c r="H2719" s="1" t="str">
        <f>"7800060040571"</f>
        <v>7800060040571</v>
      </c>
      <c r="I2719" s="3">
        <v>0</v>
      </c>
      <c r="J2719" s="3">
        <v>0</v>
      </c>
      <c r="K2719" s="3">
        <v>20000</v>
      </c>
    </row>
    <row r="2720" spans="1:11" x14ac:dyDescent="0.2">
      <c r="A2720" s="1" t="s">
        <v>4994</v>
      </c>
      <c r="B2720" s="1" t="s">
        <v>3402</v>
      </c>
      <c r="C2720" s="1"/>
      <c r="D2720" s="1"/>
      <c r="E2720" s="1"/>
      <c r="F2720" s="1"/>
      <c r="G2720" s="1"/>
      <c r="H2720" s="1" t="str">
        <f>"7800060003330"</f>
        <v>7800060003330</v>
      </c>
      <c r="I2720" s="3">
        <v>3</v>
      </c>
      <c r="J2720" s="3">
        <v>0</v>
      </c>
      <c r="K2720" s="3">
        <v>13000</v>
      </c>
    </row>
    <row r="2721" spans="1:11" x14ac:dyDescent="0.2">
      <c r="A2721" s="1" t="s">
        <v>4994</v>
      </c>
      <c r="B2721" s="1" t="s">
        <v>3403</v>
      </c>
      <c r="C2721" s="1"/>
      <c r="D2721" s="1"/>
      <c r="E2721" s="1"/>
      <c r="F2721" s="1"/>
      <c r="G2721" s="1"/>
      <c r="H2721" s="1" t="str">
        <f>"7800060003316"</f>
        <v>7800060003316</v>
      </c>
      <c r="I2721" s="3">
        <v>0</v>
      </c>
      <c r="J2721" s="3">
        <v>0</v>
      </c>
      <c r="K2721" s="3">
        <v>12500</v>
      </c>
    </row>
    <row r="2722" spans="1:11" x14ac:dyDescent="0.2">
      <c r="A2722" s="1" t="s">
        <v>4994</v>
      </c>
      <c r="B2722" s="1" t="s">
        <v>3404</v>
      </c>
      <c r="C2722" s="1"/>
      <c r="D2722" s="1"/>
      <c r="E2722" s="1"/>
      <c r="F2722" s="1"/>
      <c r="G2722" s="1"/>
      <c r="H2722" s="1" t="str">
        <f>"7800060003309"</f>
        <v>7800060003309</v>
      </c>
      <c r="I2722" s="3">
        <v>12</v>
      </c>
      <c r="J2722" s="3">
        <v>0</v>
      </c>
      <c r="K2722" s="3">
        <v>12500</v>
      </c>
    </row>
    <row r="2723" spans="1:11" x14ac:dyDescent="0.2">
      <c r="A2723" s="1" t="s">
        <v>4994</v>
      </c>
      <c r="B2723" s="1" t="s">
        <v>3405</v>
      </c>
      <c r="C2723" s="1"/>
      <c r="D2723" s="1"/>
      <c r="E2723" s="1"/>
      <c r="F2723" s="1"/>
      <c r="G2723" s="1"/>
      <c r="H2723" s="1" t="str">
        <f>"7800060003323"</f>
        <v>7800060003323</v>
      </c>
      <c r="I2723" s="3">
        <v>5</v>
      </c>
      <c r="J2723" s="3">
        <v>0</v>
      </c>
      <c r="K2723" s="3">
        <v>12500</v>
      </c>
    </row>
    <row r="2724" spans="1:11" x14ac:dyDescent="0.2">
      <c r="A2724" s="1" t="s">
        <v>4994</v>
      </c>
      <c r="B2724" s="1" t="s">
        <v>3406</v>
      </c>
      <c r="C2724" s="1"/>
      <c r="D2724" s="1"/>
      <c r="E2724" s="1"/>
      <c r="F2724" s="1"/>
      <c r="G2724" s="1"/>
      <c r="H2724" s="1" t="str">
        <f>"7800060035911"</f>
        <v>7800060035911</v>
      </c>
      <c r="I2724" s="3">
        <v>0</v>
      </c>
      <c r="J2724" s="3">
        <v>0</v>
      </c>
      <c r="K2724" s="3">
        <v>33000</v>
      </c>
    </row>
    <row r="2725" spans="1:11" x14ac:dyDescent="0.2">
      <c r="A2725" s="1" t="s">
        <v>4994</v>
      </c>
      <c r="B2725" s="1" t="s">
        <v>3407</v>
      </c>
      <c r="C2725" s="1"/>
      <c r="D2725" s="1"/>
      <c r="E2725" s="1"/>
      <c r="F2725" s="1"/>
      <c r="G2725" s="1"/>
      <c r="H2725" s="1" t="str">
        <f>"7800060003156"</f>
        <v>7800060003156</v>
      </c>
      <c r="I2725" s="3">
        <v>1</v>
      </c>
      <c r="J2725" s="3">
        <v>0</v>
      </c>
      <c r="K2725" s="3">
        <v>17000</v>
      </c>
    </row>
    <row r="2726" spans="1:11" x14ac:dyDescent="0.2">
      <c r="A2726" s="1" t="s">
        <v>4994</v>
      </c>
      <c r="B2726" s="1" t="s">
        <v>3408</v>
      </c>
      <c r="C2726" s="1"/>
      <c r="D2726" s="1"/>
      <c r="E2726" s="1"/>
      <c r="F2726" s="1"/>
      <c r="G2726" s="1"/>
      <c r="H2726" s="1" t="str">
        <f>"7800060003132"</f>
        <v>7800060003132</v>
      </c>
      <c r="I2726" s="3">
        <v>1</v>
      </c>
      <c r="J2726" s="3">
        <v>0</v>
      </c>
      <c r="K2726" s="3">
        <v>17000</v>
      </c>
    </row>
    <row r="2727" spans="1:11" x14ac:dyDescent="0.2">
      <c r="A2727" s="1" t="s">
        <v>4994</v>
      </c>
      <c r="B2727" s="1" t="s">
        <v>3410</v>
      </c>
      <c r="C2727" s="1"/>
      <c r="D2727" s="1"/>
      <c r="E2727" s="1"/>
      <c r="F2727" s="1"/>
      <c r="G2727" s="1"/>
      <c r="H2727" s="1" t="str">
        <f>"7800060033528"</f>
        <v>7800060033528</v>
      </c>
      <c r="I2727" s="3">
        <v>0</v>
      </c>
      <c r="J2727" s="3">
        <v>0</v>
      </c>
      <c r="K2727" s="3">
        <v>37000</v>
      </c>
    </row>
    <row r="2728" spans="1:11" x14ac:dyDescent="0.2">
      <c r="A2728" s="1" t="s">
        <v>4994</v>
      </c>
      <c r="B2728" s="1" t="s">
        <v>3411</v>
      </c>
      <c r="C2728" s="1"/>
      <c r="D2728" s="1"/>
      <c r="E2728" s="1"/>
      <c r="F2728" s="1"/>
      <c r="G2728" s="1"/>
      <c r="H2728" s="1" t="str">
        <f>"7800060040144"</f>
        <v>7800060040144</v>
      </c>
      <c r="I2728" s="3">
        <v>6</v>
      </c>
      <c r="J2728" s="3">
        <v>0</v>
      </c>
      <c r="K2728" s="3">
        <v>20000</v>
      </c>
    </row>
    <row r="2729" spans="1:11" x14ac:dyDescent="0.2">
      <c r="A2729" s="1" t="s">
        <v>4994</v>
      </c>
      <c r="B2729" s="1" t="s">
        <v>3412</v>
      </c>
      <c r="C2729" s="1"/>
      <c r="D2729" s="1"/>
      <c r="E2729" s="1"/>
      <c r="F2729" s="1"/>
      <c r="G2729" s="1"/>
      <c r="H2729" s="1" t="str">
        <f>"7800060032637"</f>
        <v>7800060032637</v>
      </c>
      <c r="I2729" s="3">
        <v>0</v>
      </c>
      <c r="J2729" s="3">
        <v>0</v>
      </c>
      <c r="K2729" s="3">
        <v>27000</v>
      </c>
    </row>
    <row r="2730" spans="1:11" x14ac:dyDescent="0.2">
      <c r="A2730" s="1" t="s">
        <v>4994</v>
      </c>
      <c r="B2730" s="1" t="s">
        <v>3413</v>
      </c>
      <c r="C2730" s="1"/>
      <c r="D2730" s="1"/>
      <c r="E2730" s="1"/>
      <c r="F2730" s="1"/>
      <c r="G2730" s="1"/>
      <c r="H2730" s="1" t="str">
        <f>"7800060037274"</f>
        <v>7800060037274</v>
      </c>
      <c r="I2730" s="3">
        <v>0</v>
      </c>
      <c r="J2730" s="3">
        <v>0</v>
      </c>
      <c r="K2730" s="3">
        <v>24000</v>
      </c>
    </row>
    <row r="2731" spans="1:11" x14ac:dyDescent="0.2">
      <c r="A2731" s="1" t="s">
        <v>4994</v>
      </c>
      <c r="B2731" s="1" t="s">
        <v>3414</v>
      </c>
      <c r="C2731" s="1"/>
      <c r="D2731" s="1"/>
      <c r="E2731" s="1"/>
      <c r="F2731" s="1"/>
      <c r="G2731" s="1"/>
      <c r="H2731" s="1" t="str">
        <f>"7800060037199"</f>
        <v>7800060037199</v>
      </c>
      <c r="I2731" s="3">
        <v>5</v>
      </c>
      <c r="J2731" s="3">
        <v>0</v>
      </c>
      <c r="K2731" s="3">
        <v>22000</v>
      </c>
    </row>
    <row r="2732" spans="1:11" x14ac:dyDescent="0.2">
      <c r="A2732" s="1" t="s">
        <v>4994</v>
      </c>
      <c r="B2732" s="1" t="s">
        <v>3415</v>
      </c>
      <c r="C2732" s="1"/>
      <c r="D2732" s="1"/>
      <c r="E2732" s="1"/>
      <c r="F2732" s="1"/>
      <c r="G2732" s="1"/>
      <c r="H2732" s="1" t="str">
        <f>"8429420251175"</f>
        <v>8429420251175</v>
      </c>
      <c r="I2732" s="3">
        <v>0</v>
      </c>
      <c r="J2732" s="3">
        <v>0</v>
      </c>
      <c r="K2732" s="3">
        <v>18000</v>
      </c>
    </row>
    <row r="2733" spans="1:11" x14ac:dyDescent="0.2">
      <c r="A2733" s="1" t="s">
        <v>4994</v>
      </c>
      <c r="B2733" s="1" t="s">
        <v>3416</v>
      </c>
      <c r="C2733" s="1"/>
      <c r="D2733" s="1"/>
      <c r="E2733" s="1"/>
      <c r="F2733" s="1"/>
      <c r="G2733" s="1"/>
      <c r="H2733" s="1" t="str">
        <f>"7805357002201"</f>
        <v>7805357002201</v>
      </c>
      <c r="I2733" s="3">
        <v>2</v>
      </c>
      <c r="J2733" s="3">
        <v>0</v>
      </c>
      <c r="K2733" s="3">
        <v>7000</v>
      </c>
    </row>
    <row r="2734" spans="1:11" x14ac:dyDescent="0.2">
      <c r="A2734" s="1" t="s">
        <v>4994</v>
      </c>
      <c r="B2734" s="1" t="s">
        <v>3418</v>
      </c>
      <c r="C2734" s="1"/>
      <c r="D2734" s="1"/>
      <c r="E2734" s="1"/>
      <c r="F2734" s="1"/>
      <c r="G2734" s="1"/>
      <c r="H2734" s="1" t="str">
        <f>"7804653720178"</f>
        <v>7804653720178</v>
      </c>
      <c r="I2734" s="3">
        <v>0</v>
      </c>
      <c r="J2734" s="3">
        <v>0</v>
      </c>
      <c r="K2734" s="3">
        <v>11000</v>
      </c>
    </row>
    <row r="2735" spans="1:11" x14ac:dyDescent="0.2">
      <c r="A2735" s="1" t="s">
        <v>4994</v>
      </c>
      <c r="B2735" s="1" t="s">
        <v>3419</v>
      </c>
      <c r="C2735" s="1"/>
      <c r="D2735" s="1"/>
      <c r="E2735" s="1"/>
      <c r="F2735" s="1"/>
      <c r="G2735" s="1"/>
      <c r="H2735" s="1" t="str">
        <f>"7891317023157"</f>
        <v>7891317023157</v>
      </c>
      <c r="I2735" s="3">
        <v>0</v>
      </c>
      <c r="J2735" s="3">
        <v>0</v>
      </c>
      <c r="K2735" s="3">
        <v>0</v>
      </c>
    </row>
    <row r="2736" spans="1:11" x14ac:dyDescent="0.2">
      <c r="A2736" s="1" t="s">
        <v>4994</v>
      </c>
      <c r="B2736" s="1" t="s">
        <v>3420</v>
      </c>
      <c r="C2736" s="1"/>
      <c r="D2736" s="1"/>
      <c r="E2736" s="1"/>
      <c r="F2736" s="1"/>
      <c r="G2736" s="1"/>
      <c r="H2736" s="1" t="str">
        <f>"7800046005686"</f>
        <v>7800046005686</v>
      </c>
      <c r="I2736" s="3">
        <v>0</v>
      </c>
      <c r="J2736" s="3">
        <v>0</v>
      </c>
      <c r="K2736" s="3">
        <v>5000</v>
      </c>
    </row>
    <row r="2737" spans="1:11" x14ac:dyDescent="0.2">
      <c r="A2737" s="1" t="s">
        <v>4994</v>
      </c>
      <c r="B2737" s="1" t="s">
        <v>3421</v>
      </c>
      <c r="C2737" s="1"/>
      <c r="D2737" s="1"/>
      <c r="E2737" s="1"/>
      <c r="F2737" s="1"/>
      <c r="G2737" s="1"/>
      <c r="H2737" s="1" t="str">
        <f>"7804651290239"</f>
        <v>7804651290239</v>
      </c>
      <c r="I2737" s="3">
        <v>0</v>
      </c>
      <c r="J2737" s="3">
        <v>0</v>
      </c>
      <c r="K2737" s="3">
        <v>14000</v>
      </c>
    </row>
    <row r="2738" spans="1:11" x14ac:dyDescent="0.2">
      <c r="A2738" s="1" t="s">
        <v>4994</v>
      </c>
      <c r="B2738" s="1" t="s">
        <v>3422</v>
      </c>
      <c r="C2738" s="1"/>
      <c r="D2738" s="1"/>
      <c r="E2738" s="1"/>
      <c r="F2738" s="1"/>
      <c r="G2738" s="1"/>
      <c r="H2738" s="1" t="str">
        <f>"7506295304227"</f>
        <v>7506295304227</v>
      </c>
      <c r="I2738" s="3">
        <v>0</v>
      </c>
      <c r="J2738" s="3">
        <v>0</v>
      </c>
      <c r="K2738" s="3">
        <v>2500</v>
      </c>
    </row>
    <row r="2739" spans="1:11" x14ac:dyDescent="0.2">
      <c r="A2739" s="1" t="s">
        <v>4994</v>
      </c>
      <c r="B2739" s="1" t="s">
        <v>3423</v>
      </c>
      <c r="C2739" s="1"/>
      <c r="D2739" s="1"/>
      <c r="E2739" s="1"/>
      <c r="F2739" s="1"/>
      <c r="G2739" s="1"/>
      <c r="H2739" s="1" t="str">
        <f>"7501001163983"</f>
        <v>7501001163983</v>
      </c>
      <c r="I2739" s="3">
        <v>0</v>
      </c>
      <c r="J2739" s="3">
        <v>0</v>
      </c>
      <c r="K2739" s="3">
        <v>2500</v>
      </c>
    </row>
    <row r="2740" spans="1:11" x14ac:dyDescent="0.2">
      <c r="A2740" s="1" t="s">
        <v>4994</v>
      </c>
      <c r="B2740" s="1" t="s">
        <v>3424</v>
      </c>
      <c r="C2740" s="1"/>
      <c r="D2740" s="1"/>
      <c r="E2740" s="1"/>
      <c r="F2740" s="1"/>
      <c r="G2740" s="1"/>
      <c r="H2740" s="1" t="str">
        <f>"7506339349030"</f>
        <v>7506339349030</v>
      </c>
      <c r="I2740" s="3">
        <v>0</v>
      </c>
      <c r="J2740" s="3">
        <v>0</v>
      </c>
      <c r="K2740" s="3">
        <v>2500</v>
      </c>
    </row>
    <row r="2741" spans="1:11" x14ac:dyDescent="0.2">
      <c r="A2741" s="1" t="s">
        <v>4994</v>
      </c>
      <c r="B2741" s="1" t="s">
        <v>3425</v>
      </c>
      <c r="C2741" s="1"/>
      <c r="D2741" s="1"/>
      <c r="E2741" s="1"/>
      <c r="F2741" s="1"/>
      <c r="G2741" s="1"/>
      <c r="H2741" s="1" t="str">
        <f>"7501001164003"</f>
        <v>7501001164003</v>
      </c>
      <c r="I2741" s="3">
        <v>0</v>
      </c>
      <c r="J2741" s="3">
        <v>0</v>
      </c>
      <c r="K2741" s="3">
        <v>2500</v>
      </c>
    </row>
    <row r="2742" spans="1:11" x14ac:dyDescent="0.2">
      <c r="A2742" s="1" t="s">
        <v>4994</v>
      </c>
      <c r="B2742" s="1" t="s">
        <v>3426</v>
      </c>
      <c r="C2742" s="1"/>
      <c r="D2742" s="1"/>
      <c r="E2742" s="1"/>
      <c r="F2742" s="1"/>
      <c r="G2742" s="1"/>
      <c r="H2742" s="1" t="str">
        <f>"7506339349146"</f>
        <v>7506339349146</v>
      </c>
      <c r="I2742" s="3">
        <v>0</v>
      </c>
      <c r="J2742" s="3">
        <v>0</v>
      </c>
      <c r="K2742" s="3">
        <v>2500</v>
      </c>
    </row>
    <row r="2743" spans="1:11" x14ac:dyDescent="0.2">
      <c r="A2743" s="1" t="s">
        <v>4994</v>
      </c>
      <c r="B2743" s="1" t="s">
        <v>3427</v>
      </c>
      <c r="C2743" s="1"/>
      <c r="D2743" s="1"/>
      <c r="E2743" s="1"/>
      <c r="F2743" s="1"/>
      <c r="G2743" s="1"/>
      <c r="H2743" s="1" t="str">
        <f>"7501001309060"</f>
        <v>7501001309060</v>
      </c>
      <c r="I2743" s="3">
        <v>0</v>
      </c>
      <c r="J2743" s="3">
        <v>0</v>
      </c>
      <c r="K2743" s="3">
        <v>2500</v>
      </c>
    </row>
    <row r="2744" spans="1:11" x14ac:dyDescent="0.2">
      <c r="A2744" s="1" t="s">
        <v>4994</v>
      </c>
      <c r="B2744" s="1" t="s">
        <v>3429</v>
      </c>
      <c r="C2744" s="1"/>
      <c r="D2744" s="1"/>
      <c r="E2744" s="1"/>
      <c r="F2744" s="1"/>
      <c r="G2744" s="1"/>
      <c r="H2744" s="1" t="str">
        <f>"8903726308400"</f>
        <v>8903726308400</v>
      </c>
      <c r="I2744" s="3">
        <v>0</v>
      </c>
      <c r="J2744" s="3">
        <v>0</v>
      </c>
      <c r="K2744" s="3">
        <v>7500</v>
      </c>
    </row>
    <row r="2745" spans="1:11" x14ac:dyDescent="0.2">
      <c r="A2745" s="1" t="s">
        <v>4994</v>
      </c>
      <c r="B2745" s="1" t="s">
        <v>3430</v>
      </c>
      <c r="C2745" s="1"/>
      <c r="D2745" s="1"/>
      <c r="E2745" s="1"/>
      <c r="F2745" s="1"/>
      <c r="G2745" s="1"/>
      <c r="H2745" s="1" t="str">
        <f>"7804650881810"</f>
        <v>7804650881810</v>
      </c>
      <c r="I2745" s="3">
        <v>12</v>
      </c>
      <c r="J2745" s="3">
        <v>0</v>
      </c>
      <c r="K2745" s="3">
        <v>7000</v>
      </c>
    </row>
    <row r="2746" spans="1:11" x14ac:dyDescent="0.2">
      <c r="A2746" s="1" t="s">
        <v>4994</v>
      </c>
      <c r="B2746" s="1" t="s">
        <v>3431</v>
      </c>
      <c r="C2746" s="1"/>
      <c r="D2746" s="1"/>
      <c r="E2746" s="1"/>
      <c r="F2746" s="1"/>
      <c r="G2746" s="1"/>
      <c r="H2746" s="1" t="str">
        <f>"7804650881834"</f>
        <v>7804650881834</v>
      </c>
      <c r="I2746" s="3">
        <v>13</v>
      </c>
      <c r="J2746" s="3">
        <v>0</v>
      </c>
      <c r="K2746" s="3">
        <v>8500</v>
      </c>
    </row>
    <row r="2747" spans="1:11" x14ac:dyDescent="0.2">
      <c r="A2747" s="1" t="s">
        <v>4994</v>
      </c>
      <c r="B2747" s="1" t="s">
        <v>3435</v>
      </c>
      <c r="C2747" s="1"/>
      <c r="D2747" s="1"/>
      <c r="E2747" s="1"/>
      <c r="F2747" s="1"/>
      <c r="G2747" s="1"/>
      <c r="H2747" s="1" t="str">
        <f>"7707239270077"</f>
        <v>7707239270077</v>
      </c>
      <c r="I2747" s="3">
        <v>1</v>
      </c>
      <c r="J2747" s="3">
        <v>0</v>
      </c>
      <c r="K2747" s="3">
        <v>26000</v>
      </c>
    </row>
    <row r="2748" spans="1:11" x14ac:dyDescent="0.2">
      <c r="A2748" s="1" t="s">
        <v>4994</v>
      </c>
      <c r="B2748" s="1" t="s">
        <v>3436</v>
      </c>
      <c r="C2748" s="1"/>
      <c r="D2748" s="1"/>
      <c r="E2748" s="1"/>
      <c r="F2748" s="1"/>
      <c r="G2748" s="1"/>
      <c r="H2748" s="1" t="str">
        <f>"7800060040229"</f>
        <v>7800060040229</v>
      </c>
      <c r="I2748" s="3">
        <v>0</v>
      </c>
      <c r="J2748" s="3">
        <v>0</v>
      </c>
      <c r="K2748" s="3">
        <v>21000</v>
      </c>
    </row>
    <row r="2749" spans="1:11" x14ac:dyDescent="0.2">
      <c r="A2749" s="1" t="s">
        <v>4994</v>
      </c>
      <c r="B2749" s="1" t="s">
        <v>3438</v>
      </c>
      <c r="C2749" s="1"/>
      <c r="D2749" s="1"/>
      <c r="E2749" s="1"/>
      <c r="F2749" s="1"/>
      <c r="G2749" s="1"/>
      <c r="H2749" s="1" t="str">
        <f>"7809591402896"</f>
        <v>7809591402896</v>
      </c>
      <c r="I2749" s="3">
        <v>0</v>
      </c>
      <c r="J2749" s="3">
        <v>0</v>
      </c>
      <c r="K2749" s="3">
        <v>22000</v>
      </c>
    </row>
    <row r="2750" spans="1:11" x14ac:dyDescent="0.2">
      <c r="A2750" s="1" t="s">
        <v>4994</v>
      </c>
      <c r="B2750" s="1" t="s">
        <v>3439</v>
      </c>
      <c r="C2750" s="1"/>
      <c r="D2750" s="1"/>
      <c r="E2750" s="1"/>
      <c r="F2750" s="1"/>
      <c r="G2750" s="1"/>
      <c r="H2750" s="1" t="str">
        <f>"7809591403251"</f>
        <v>7809591403251</v>
      </c>
      <c r="I2750" s="3">
        <v>2</v>
      </c>
      <c r="J2750" s="3">
        <v>0</v>
      </c>
      <c r="K2750" s="3">
        <v>28000</v>
      </c>
    </row>
    <row r="2751" spans="1:11" x14ac:dyDescent="0.2">
      <c r="A2751" s="1" t="s">
        <v>4994</v>
      </c>
      <c r="B2751" s="1" t="s">
        <v>3443</v>
      </c>
      <c r="C2751" s="1"/>
      <c r="D2751" s="1"/>
      <c r="E2751" s="1"/>
      <c r="F2751" s="1"/>
      <c r="G2751" s="1"/>
      <c r="H2751" s="1" t="str">
        <f>"7809591402919"</f>
        <v>7809591402919</v>
      </c>
      <c r="I2751" s="3">
        <v>9</v>
      </c>
      <c r="J2751" s="3">
        <v>0</v>
      </c>
      <c r="K2751" s="3">
        <v>17000</v>
      </c>
    </row>
    <row r="2752" spans="1:11" x14ac:dyDescent="0.2">
      <c r="A2752" s="1" t="s">
        <v>4994</v>
      </c>
      <c r="B2752" s="1" t="s">
        <v>3447</v>
      </c>
      <c r="C2752" s="1"/>
      <c r="D2752" s="1"/>
      <c r="E2752" s="1"/>
      <c r="F2752" s="1"/>
      <c r="G2752" s="1"/>
      <c r="H2752" s="1" t="str">
        <f>"7805350001218"</f>
        <v>7805350001218</v>
      </c>
      <c r="I2752" s="3">
        <v>0</v>
      </c>
      <c r="J2752" s="3">
        <v>0</v>
      </c>
      <c r="K2752" s="3">
        <v>4500</v>
      </c>
    </row>
    <row r="2753" spans="1:11" x14ac:dyDescent="0.2">
      <c r="A2753" s="1" t="s">
        <v>4994</v>
      </c>
      <c r="B2753" s="1" t="s">
        <v>3454</v>
      </c>
      <c r="C2753" s="1"/>
      <c r="D2753" s="1"/>
      <c r="E2753" s="1"/>
      <c r="F2753" s="1"/>
      <c r="G2753" s="1"/>
      <c r="H2753" s="1" t="str">
        <f>"7804620833474"</f>
        <v>7804620833474</v>
      </c>
      <c r="I2753" s="3">
        <v>0</v>
      </c>
      <c r="J2753" s="3">
        <v>0</v>
      </c>
      <c r="K2753" s="3">
        <v>1500</v>
      </c>
    </row>
    <row r="2754" spans="1:11" x14ac:dyDescent="0.2">
      <c r="A2754" s="1" t="s">
        <v>4994</v>
      </c>
      <c r="B2754" s="1" t="s">
        <v>3458</v>
      </c>
      <c r="C2754" s="1"/>
      <c r="D2754" s="1"/>
      <c r="E2754" s="1"/>
      <c r="F2754" s="1"/>
      <c r="G2754" s="1"/>
      <c r="H2754" s="1" t="str">
        <f>"7804653720246"</f>
        <v>7804653720246</v>
      </c>
      <c r="I2754" s="3">
        <v>0</v>
      </c>
      <c r="J2754" s="3">
        <v>0</v>
      </c>
      <c r="K2754" s="3">
        <v>18000</v>
      </c>
    </row>
    <row r="2755" spans="1:11" x14ac:dyDescent="0.2">
      <c r="A2755" s="1" t="s">
        <v>4994</v>
      </c>
      <c r="B2755" s="1" t="s">
        <v>3459</v>
      </c>
      <c r="C2755" s="1"/>
      <c r="D2755" s="1"/>
      <c r="E2755" s="1"/>
      <c r="F2755" s="1"/>
      <c r="G2755" s="1"/>
      <c r="H2755" s="1" t="str">
        <f>"7806130011199"</f>
        <v>7806130011199</v>
      </c>
      <c r="I2755" s="3">
        <v>0</v>
      </c>
      <c r="J2755" s="3">
        <v>0</v>
      </c>
      <c r="K2755" s="3">
        <v>8500</v>
      </c>
    </row>
    <row r="2756" spans="1:11" x14ac:dyDescent="0.2">
      <c r="A2756" s="1" t="s">
        <v>4994</v>
      </c>
      <c r="B2756" s="1" t="s">
        <v>3460</v>
      </c>
      <c r="C2756" s="1"/>
      <c r="D2756" s="1"/>
      <c r="E2756" s="1"/>
      <c r="F2756" s="1"/>
      <c r="G2756" s="1"/>
      <c r="H2756" s="1" t="str">
        <f>"7806130013643"</f>
        <v>7806130013643</v>
      </c>
      <c r="I2756" s="3">
        <v>42</v>
      </c>
      <c r="J2756" s="3">
        <v>0</v>
      </c>
      <c r="K2756" s="3">
        <v>8500</v>
      </c>
    </row>
    <row r="2757" spans="1:11" x14ac:dyDescent="0.2">
      <c r="A2757" s="1" t="s">
        <v>4994</v>
      </c>
      <c r="B2757" s="1" t="s">
        <v>3461</v>
      </c>
      <c r="C2757" s="1"/>
      <c r="D2757" s="1"/>
      <c r="E2757" s="1"/>
      <c r="F2757" s="1"/>
      <c r="G2757" s="1"/>
      <c r="H2757" s="1" t="str">
        <f>"300653145357"</f>
        <v>300653145357</v>
      </c>
      <c r="I2757" s="3">
        <v>2</v>
      </c>
      <c r="J2757" s="3">
        <v>0</v>
      </c>
      <c r="K2757" s="3">
        <v>7000</v>
      </c>
    </row>
    <row r="2758" spans="1:11" x14ac:dyDescent="0.2">
      <c r="A2758" s="1" t="s">
        <v>4994</v>
      </c>
      <c r="B2758" s="1" t="s">
        <v>3462</v>
      </c>
      <c r="C2758" s="1"/>
      <c r="D2758" s="1"/>
      <c r="E2758" s="1"/>
      <c r="F2758" s="1"/>
      <c r="G2758" s="1"/>
      <c r="H2758" s="1" t="str">
        <f>"300653145333"</f>
        <v>300653145333</v>
      </c>
      <c r="I2758" s="3">
        <v>13</v>
      </c>
      <c r="J2758" s="3">
        <v>0</v>
      </c>
      <c r="K2758" s="3">
        <v>9500</v>
      </c>
    </row>
    <row r="2759" spans="1:11" x14ac:dyDescent="0.2">
      <c r="A2759" s="1" t="s">
        <v>4994</v>
      </c>
      <c r="B2759" s="1" t="s">
        <v>3463</v>
      </c>
      <c r="C2759" s="1"/>
      <c r="D2759" s="1"/>
      <c r="E2759" s="1"/>
      <c r="F2759" s="1"/>
      <c r="G2759" s="1"/>
      <c r="H2759" s="1" t="str">
        <f>"300650192484"</f>
        <v>300650192484</v>
      </c>
      <c r="I2759" s="3">
        <v>7</v>
      </c>
      <c r="J2759" s="3">
        <v>0</v>
      </c>
      <c r="K2759" s="3">
        <v>0</v>
      </c>
    </row>
    <row r="2760" spans="1:11" x14ac:dyDescent="0.2">
      <c r="A2760" s="1" t="s">
        <v>4994</v>
      </c>
      <c r="B2760" s="1" t="s">
        <v>3464</v>
      </c>
      <c r="C2760" s="1"/>
      <c r="D2760" s="1"/>
      <c r="E2760" s="1"/>
      <c r="F2760" s="1"/>
      <c r="G2760" s="1"/>
      <c r="H2760" s="1" t="str">
        <f>"300653610800"</f>
        <v>300653610800</v>
      </c>
      <c r="I2760" s="3">
        <v>1</v>
      </c>
      <c r="J2760" s="3">
        <v>0</v>
      </c>
      <c r="K2760" s="3">
        <v>7000</v>
      </c>
    </row>
    <row r="2761" spans="1:11" x14ac:dyDescent="0.2">
      <c r="A2761" s="1" t="s">
        <v>4994</v>
      </c>
      <c r="B2761" s="1" t="s">
        <v>3465</v>
      </c>
      <c r="C2761" s="1"/>
      <c r="D2761" s="1"/>
      <c r="E2761" s="1"/>
      <c r="F2761" s="1"/>
      <c r="G2761" s="1"/>
      <c r="H2761" s="1" t="str">
        <f>"7707236674274"</f>
        <v>7707236674274</v>
      </c>
      <c r="I2761" s="3">
        <v>2</v>
      </c>
      <c r="J2761" s="3">
        <v>0</v>
      </c>
      <c r="K2761" s="3">
        <v>33000</v>
      </c>
    </row>
    <row r="2762" spans="1:11" x14ac:dyDescent="0.2">
      <c r="A2762" s="1" t="s">
        <v>4994</v>
      </c>
      <c r="B2762" s="1" t="s">
        <v>3466</v>
      </c>
      <c r="C2762" s="1"/>
      <c r="D2762" s="1"/>
      <c r="E2762" s="1"/>
      <c r="F2762" s="1"/>
      <c r="G2762" s="1"/>
      <c r="H2762" s="1" t="str">
        <f>"4210201334712"</f>
        <v>4210201334712</v>
      </c>
      <c r="I2762" s="3">
        <v>2</v>
      </c>
      <c r="J2762" s="3">
        <v>0</v>
      </c>
      <c r="K2762" s="3">
        <v>16000</v>
      </c>
    </row>
    <row r="2763" spans="1:11" x14ac:dyDescent="0.2">
      <c r="A2763" s="1" t="s">
        <v>4994</v>
      </c>
      <c r="B2763" s="1" t="s">
        <v>3467</v>
      </c>
      <c r="C2763" s="1"/>
      <c r="D2763" s="1"/>
      <c r="E2763" s="1"/>
      <c r="F2763" s="1"/>
      <c r="G2763" s="1"/>
      <c r="H2763" s="1" t="str">
        <f>"7506339394504"</f>
        <v>7506339394504</v>
      </c>
      <c r="I2763" s="3">
        <v>0</v>
      </c>
      <c r="J2763" s="3">
        <v>0</v>
      </c>
      <c r="K2763" s="3">
        <v>5500</v>
      </c>
    </row>
    <row r="2764" spans="1:11" x14ac:dyDescent="0.2">
      <c r="A2764" s="1" t="s">
        <v>4994</v>
      </c>
      <c r="B2764" s="1" t="s">
        <v>3468</v>
      </c>
      <c r="C2764" s="1"/>
      <c r="D2764" s="1"/>
      <c r="E2764" s="1"/>
      <c r="F2764" s="1"/>
      <c r="G2764" s="1"/>
      <c r="H2764" s="1" t="str">
        <f>"3014260279165"</f>
        <v>3014260279165</v>
      </c>
      <c r="I2764" s="3">
        <v>0</v>
      </c>
      <c r="J2764" s="3">
        <v>0</v>
      </c>
      <c r="K2764" s="3">
        <v>3000</v>
      </c>
    </row>
    <row r="2765" spans="1:11" x14ac:dyDescent="0.2">
      <c r="A2765" s="1" t="s">
        <v>4994</v>
      </c>
      <c r="B2765" s="1" t="s">
        <v>3469</v>
      </c>
      <c r="C2765" s="1"/>
      <c r="D2765" s="1"/>
      <c r="E2765" s="1"/>
      <c r="F2765" s="1"/>
      <c r="G2765" s="1"/>
      <c r="H2765" s="1" t="str">
        <f>"7506339398427"</f>
        <v>7506339398427</v>
      </c>
      <c r="I2765" s="3">
        <v>0</v>
      </c>
      <c r="J2765" s="3">
        <v>0</v>
      </c>
      <c r="K2765" s="3">
        <v>3000</v>
      </c>
    </row>
    <row r="2766" spans="1:11" x14ac:dyDescent="0.2">
      <c r="A2766" s="1" t="s">
        <v>4994</v>
      </c>
      <c r="B2766" s="1" t="s">
        <v>3470</v>
      </c>
      <c r="C2766" s="1"/>
      <c r="D2766" s="1"/>
      <c r="E2766" s="1"/>
      <c r="F2766" s="1"/>
      <c r="G2766" s="1"/>
      <c r="H2766" s="1" t="str">
        <f>"7503036426200"</f>
        <v>7503036426200</v>
      </c>
      <c r="I2766" s="3">
        <v>0</v>
      </c>
      <c r="J2766" s="3">
        <v>0</v>
      </c>
      <c r="K2766" s="3">
        <v>1500</v>
      </c>
    </row>
    <row r="2767" spans="1:11" x14ac:dyDescent="0.2">
      <c r="A2767" s="1" t="s">
        <v>4994</v>
      </c>
      <c r="B2767" s="1" t="s">
        <v>3471</v>
      </c>
      <c r="C2767" s="1"/>
      <c r="D2767" s="1"/>
      <c r="E2767" s="1"/>
      <c r="F2767" s="1"/>
      <c r="G2767" s="1"/>
      <c r="H2767" s="1" t="str">
        <f>"7800004000722"</f>
        <v>7800004000722</v>
      </c>
      <c r="I2767" s="3">
        <v>0</v>
      </c>
      <c r="J2767" s="3">
        <v>0</v>
      </c>
      <c r="K2767" s="3">
        <v>1500</v>
      </c>
    </row>
    <row r="2768" spans="1:11" x14ac:dyDescent="0.2">
      <c r="A2768" s="1" t="s">
        <v>4994</v>
      </c>
      <c r="B2768" s="1" t="s">
        <v>3472</v>
      </c>
      <c r="C2768" s="1"/>
      <c r="D2768" s="1"/>
      <c r="E2768" s="1"/>
      <c r="F2768" s="1"/>
      <c r="G2768" s="1"/>
      <c r="H2768" s="1" t="str">
        <f>"3014260833176"</f>
        <v>3014260833176</v>
      </c>
      <c r="I2768" s="3">
        <v>0</v>
      </c>
      <c r="J2768" s="3">
        <v>0</v>
      </c>
      <c r="K2768" s="3">
        <v>1000</v>
      </c>
    </row>
    <row r="2769" spans="1:11" x14ac:dyDescent="0.2">
      <c r="A2769" s="1" t="s">
        <v>4994</v>
      </c>
      <c r="B2769" s="1" t="s">
        <v>3473</v>
      </c>
      <c r="C2769" s="1"/>
      <c r="D2769" s="1"/>
      <c r="E2769" s="1"/>
      <c r="F2769" s="1"/>
      <c r="G2769" s="1"/>
      <c r="H2769" s="1" t="str">
        <f>"7506195137161"</f>
        <v>7506195137161</v>
      </c>
      <c r="I2769" s="3">
        <v>0</v>
      </c>
      <c r="J2769" s="3">
        <v>0</v>
      </c>
      <c r="K2769" s="3">
        <v>4000</v>
      </c>
    </row>
    <row r="2770" spans="1:11" x14ac:dyDescent="0.2">
      <c r="A2770" s="1" t="s">
        <v>4994</v>
      </c>
      <c r="B2770" s="1" t="s">
        <v>3474</v>
      </c>
      <c r="C2770" s="1"/>
      <c r="D2770" s="1"/>
      <c r="E2770" s="1"/>
      <c r="F2770" s="1"/>
      <c r="G2770" s="1"/>
      <c r="H2770" s="1" t="str">
        <f>"7500435127370"</f>
        <v>7500435127370</v>
      </c>
      <c r="I2770" s="3">
        <v>0</v>
      </c>
      <c r="J2770" s="3">
        <v>0</v>
      </c>
      <c r="K2770" s="3">
        <v>1500</v>
      </c>
    </row>
    <row r="2771" spans="1:11" x14ac:dyDescent="0.2">
      <c r="A2771" s="1" t="s">
        <v>4994</v>
      </c>
      <c r="B2771" s="1" t="s">
        <v>3475</v>
      </c>
      <c r="C2771" s="1"/>
      <c r="D2771" s="1"/>
      <c r="E2771" s="1"/>
      <c r="F2771" s="1"/>
      <c r="G2771" s="1"/>
      <c r="H2771" s="1" t="str">
        <f>"7800004338436"</f>
        <v>7800004338436</v>
      </c>
      <c r="I2771" s="3">
        <v>2</v>
      </c>
      <c r="J2771" s="3">
        <v>0</v>
      </c>
      <c r="K2771" s="3">
        <v>4000</v>
      </c>
    </row>
    <row r="2772" spans="1:11" x14ac:dyDescent="0.2">
      <c r="A2772" s="1" t="s">
        <v>4994</v>
      </c>
      <c r="B2772" s="1" t="s">
        <v>3476</v>
      </c>
      <c r="C2772" s="1"/>
      <c r="D2772" s="1"/>
      <c r="E2772" s="1"/>
      <c r="F2772" s="1"/>
      <c r="G2772" s="1"/>
      <c r="H2772" s="1" t="str">
        <f>"7800004340446"</f>
        <v>7800004340446</v>
      </c>
      <c r="I2772" s="3">
        <v>2</v>
      </c>
      <c r="J2772" s="3">
        <v>0</v>
      </c>
      <c r="K2772" s="3">
        <v>3000</v>
      </c>
    </row>
    <row r="2773" spans="1:11" x14ac:dyDescent="0.2">
      <c r="A2773" s="1" t="s">
        <v>4994</v>
      </c>
      <c r="B2773" s="1" t="s">
        <v>3477</v>
      </c>
      <c r="C2773" s="1"/>
      <c r="D2773" s="1"/>
      <c r="E2773" s="1"/>
      <c r="F2773" s="1"/>
      <c r="G2773" s="1"/>
      <c r="H2773" s="1" t="str">
        <f>"7800004340453"</f>
        <v>7800004340453</v>
      </c>
      <c r="I2773" s="3">
        <v>0</v>
      </c>
      <c r="J2773" s="3">
        <v>0</v>
      </c>
      <c r="K2773" s="3">
        <v>5000</v>
      </c>
    </row>
    <row r="2774" spans="1:11" x14ac:dyDescent="0.2">
      <c r="A2774" s="1" t="s">
        <v>4994</v>
      </c>
      <c r="B2774" s="1" t="s">
        <v>3478</v>
      </c>
      <c r="C2774" s="1"/>
      <c r="D2774" s="1"/>
      <c r="E2774" s="1"/>
      <c r="F2774" s="1"/>
      <c r="G2774" s="1"/>
      <c r="H2774" s="1" t="str">
        <f>"7804625950442"</f>
        <v>7804625950442</v>
      </c>
      <c r="I2774" s="3">
        <v>8</v>
      </c>
      <c r="J2774" s="3">
        <v>0</v>
      </c>
      <c r="K2774" s="3">
        <v>35000</v>
      </c>
    </row>
    <row r="2775" spans="1:11" x14ac:dyDescent="0.2">
      <c r="A2775" s="1" t="s">
        <v>4994</v>
      </c>
      <c r="B2775" s="1" t="s">
        <v>3479</v>
      </c>
      <c r="C2775" s="1"/>
      <c r="D2775" s="1"/>
      <c r="E2775" s="1"/>
      <c r="F2775" s="1"/>
      <c r="G2775" s="1"/>
      <c r="H2775" s="1" t="str">
        <f>"7804625950534"</f>
        <v>7804625950534</v>
      </c>
      <c r="I2775" s="3">
        <v>0</v>
      </c>
      <c r="J2775" s="3">
        <v>0</v>
      </c>
      <c r="K2775" s="3">
        <v>14000</v>
      </c>
    </row>
    <row r="2776" spans="1:11" x14ac:dyDescent="0.2">
      <c r="A2776" s="1" t="s">
        <v>4994</v>
      </c>
      <c r="B2776" s="1" t="s">
        <v>3480</v>
      </c>
      <c r="C2776" s="1"/>
      <c r="D2776" s="1"/>
      <c r="E2776" s="1"/>
      <c r="F2776" s="1"/>
      <c r="G2776" s="1"/>
      <c r="H2776" s="1" t="str">
        <f>"7804625950435"</f>
        <v>7804625950435</v>
      </c>
      <c r="I2776" s="3">
        <v>3</v>
      </c>
      <c r="J2776" s="3">
        <v>0</v>
      </c>
      <c r="K2776" s="3">
        <v>18000</v>
      </c>
    </row>
    <row r="2777" spans="1:11" x14ac:dyDescent="0.2">
      <c r="A2777" s="1" t="s">
        <v>4994</v>
      </c>
      <c r="B2777" s="1" t="s">
        <v>3481</v>
      </c>
      <c r="C2777" s="1"/>
      <c r="D2777" s="1"/>
      <c r="E2777" s="1"/>
      <c r="F2777" s="1"/>
      <c r="G2777" s="1"/>
      <c r="H2777" s="1" t="str">
        <f>"8904159677767"</f>
        <v>8904159677767</v>
      </c>
      <c r="I2777" s="3">
        <v>0</v>
      </c>
      <c r="J2777" s="3">
        <v>0</v>
      </c>
      <c r="K2777" s="3">
        <v>11900</v>
      </c>
    </row>
    <row r="2778" spans="1:11" x14ac:dyDescent="0.2">
      <c r="A2778" s="1" t="s">
        <v>4994</v>
      </c>
      <c r="B2778" s="1" t="s">
        <v>3482</v>
      </c>
      <c r="C2778" s="1"/>
      <c r="D2778" s="1"/>
      <c r="E2778" s="1"/>
      <c r="F2778" s="1"/>
      <c r="G2778" s="1"/>
      <c r="H2778" s="1" t="str">
        <f>"7803504001084"</f>
        <v>7803504001084</v>
      </c>
      <c r="I2778" s="3">
        <v>0</v>
      </c>
      <c r="J2778" s="3">
        <v>0</v>
      </c>
      <c r="K2778" s="3">
        <v>8500</v>
      </c>
    </row>
    <row r="2779" spans="1:11" x14ac:dyDescent="0.2">
      <c r="A2779" s="1" t="s">
        <v>4994</v>
      </c>
      <c r="B2779" s="1" t="s">
        <v>3484</v>
      </c>
      <c r="C2779" s="1"/>
      <c r="D2779" s="1"/>
      <c r="E2779" s="1"/>
      <c r="F2779" s="1"/>
      <c r="G2779" s="1"/>
      <c r="H2779" s="1" t="str">
        <f>"7795373011366"</f>
        <v>7795373011366</v>
      </c>
      <c r="I2779" s="3">
        <v>3</v>
      </c>
      <c r="J2779" s="3">
        <v>0</v>
      </c>
      <c r="K2779" s="3">
        <v>10000</v>
      </c>
    </row>
    <row r="2780" spans="1:11" x14ac:dyDescent="0.2">
      <c r="A2780" s="1" t="s">
        <v>4994</v>
      </c>
      <c r="B2780" s="1" t="s">
        <v>3486</v>
      </c>
      <c r="C2780" s="1"/>
      <c r="D2780" s="1"/>
      <c r="E2780" s="1"/>
      <c r="F2780" s="1"/>
      <c r="G2780" s="1"/>
      <c r="H2780" s="1" t="str">
        <f>"7800060011656"</f>
        <v>7800060011656</v>
      </c>
      <c r="I2780" s="3">
        <v>141</v>
      </c>
      <c r="J2780" s="3">
        <v>0</v>
      </c>
      <c r="K2780" s="3">
        <v>9000</v>
      </c>
    </row>
    <row r="2781" spans="1:11" x14ac:dyDescent="0.2">
      <c r="A2781" s="1" t="s">
        <v>4994</v>
      </c>
      <c r="B2781" s="1" t="s">
        <v>3487</v>
      </c>
      <c r="C2781" s="1"/>
      <c r="D2781" s="1"/>
      <c r="E2781" s="1"/>
      <c r="F2781" s="1"/>
      <c r="G2781" s="1"/>
      <c r="H2781" s="1" t="str">
        <f>"8904103331738"</f>
        <v>8904103331738</v>
      </c>
      <c r="I2781" s="3">
        <v>12</v>
      </c>
      <c r="J2781" s="3">
        <v>0</v>
      </c>
      <c r="K2781" s="3">
        <v>9500</v>
      </c>
    </row>
    <row r="2782" spans="1:11" x14ac:dyDescent="0.2">
      <c r="A2782" s="1" t="s">
        <v>4994</v>
      </c>
      <c r="B2782" s="1" t="s">
        <v>3488</v>
      </c>
      <c r="C2782" s="1"/>
      <c r="D2782" s="1"/>
      <c r="E2782" s="1"/>
      <c r="F2782" s="1"/>
      <c r="G2782" s="1"/>
      <c r="H2782" s="1" t="str">
        <f>"8904103326574"</f>
        <v>8904103326574</v>
      </c>
      <c r="I2782" s="3">
        <v>11</v>
      </c>
      <c r="J2782" s="3">
        <v>0</v>
      </c>
      <c r="K2782" s="3">
        <v>8000</v>
      </c>
    </row>
    <row r="2783" spans="1:11" x14ac:dyDescent="0.2">
      <c r="A2783" s="1" t="s">
        <v>4994</v>
      </c>
      <c r="B2783" s="1" t="s">
        <v>3489</v>
      </c>
      <c r="C2783" s="1"/>
      <c r="D2783" s="1"/>
      <c r="E2783" s="1"/>
      <c r="F2783" s="1"/>
      <c r="G2783" s="1"/>
      <c r="H2783" s="1" t="str">
        <f>"7795373012103"</f>
        <v>7795373012103</v>
      </c>
      <c r="I2783" s="3">
        <v>10</v>
      </c>
      <c r="J2783" s="3">
        <v>0</v>
      </c>
      <c r="K2783" s="3">
        <v>9000</v>
      </c>
    </row>
    <row r="2784" spans="1:11" x14ac:dyDescent="0.2">
      <c r="A2784" s="1" t="s">
        <v>4994</v>
      </c>
      <c r="B2784" s="1" t="s">
        <v>3491</v>
      </c>
      <c r="C2784" s="1"/>
      <c r="D2784" s="1"/>
      <c r="E2784" s="1"/>
      <c r="F2784" s="1"/>
      <c r="G2784" s="1"/>
      <c r="H2784" s="1" t="str">
        <f>"6091403215454"</f>
        <v>6091403215454</v>
      </c>
      <c r="I2784" s="3">
        <v>0</v>
      </c>
      <c r="J2784" s="3">
        <v>0</v>
      </c>
      <c r="K2784" s="3">
        <v>27000</v>
      </c>
    </row>
    <row r="2785" spans="1:11" x14ac:dyDescent="0.2">
      <c r="A2785" s="1" t="s">
        <v>4994</v>
      </c>
      <c r="B2785" s="1" t="s">
        <v>3492</v>
      </c>
      <c r="C2785" s="1"/>
      <c r="D2785" s="1"/>
      <c r="E2785" s="1"/>
      <c r="F2785" s="1"/>
      <c r="G2785" s="1"/>
      <c r="H2785" s="1" t="str">
        <f>"6091403215478"</f>
        <v>6091403215478</v>
      </c>
      <c r="I2785" s="3">
        <v>2</v>
      </c>
      <c r="J2785" s="3">
        <v>0</v>
      </c>
      <c r="K2785" s="3">
        <v>24000</v>
      </c>
    </row>
    <row r="2786" spans="1:11" x14ac:dyDescent="0.2">
      <c r="A2786" s="1" t="s">
        <v>4994</v>
      </c>
      <c r="B2786" s="1" t="s">
        <v>3494</v>
      </c>
      <c r="C2786" s="1"/>
      <c r="D2786" s="1"/>
      <c r="E2786" s="1"/>
      <c r="F2786" s="1"/>
      <c r="G2786" s="1"/>
      <c r="H2786" s="1" t="str">
        <f>"2031011104898"</f>
        <v>2031011104898</v>
      </c>
      <c r="I2786" s="3">
        <v>0</v>
      </c>
      <c r="J2786" s="3">
        <v>0</v>
      </c>
      <c r="K2786" s="3">
        <v>4500</v>
      </c>
    </row>
    <row r="2787" spans="1:11" x14ac:dyDescent="0.2">
      <c r="A2787" s="1" t="s">
        <v>4994</v>
      </c>
      <c r="B2787" s="1" t="s">
        <v>3495</v>
      </c>
      <c r="C2787" s="1"/>
      <c r="D2787" s="1"/>
      <c r="E2787" s="1"/>
      <c r="F2787" s="1"/>
      <c r="G2787" s="1"/>
      <c r="H2787" s="1" t="str">
        <f>"7804640561159"</f>
        <v>7804640561159</v>
      </c>
      <c r="I2787" s="3">
        <v>0</v>
      </c>
      <c r="J2787" s="3">
        <v>0</v>
      </c>
      <c r="K2787" s="3">
        <v>1500</v>
      </c>
    </row>
    <row r="2788" spans="1:11" x14ac:dyDescent="0.2">
      <c r="A2788" s="1" t="s">
        <v>4994</v>
      </c>
      <c r="B2788" s="1" t="s">
        <v>3497</v>
      </c>
      <c r="C2788" s="1"/>
      <c r="D2788" s="1"/>
      <c r="E2788" s="1"/>
      <c r="F2788" s="1"/>
      <c r="G2788" s="1"/>
      <c r="H2788" s="1" t="str">
        <f>"7800063130514"</f>
        <v>7800063130514</v>
      </c>
      <c r="I2788" s="3">
        <v>56</v>
      </c>
      <c r="J2788" s="3">
        <v>0</v>
      </c>
      <c r="K2788" s="3">
        <v>2000</v>
      </c>
    </row>
    <row r="2789" spans="1:11" x14ac:dyDescent="0.2">
      <c r="A2789" s="1" t="s">
        <v>4994</v>
      </c>
      <c r="B2789" s="1" t="s">
        <v>3498</v>
      </c>
      <c r="C2789" s="1"/>
      <c r="D2789" s="1"/>
      <c r="E2789" s="1"/>
      <c r="F2789" s="1"/>
      <c r="G2789" s="1"/>
      <c r="H2789" s="1" t="str">
        <f>"7795373010840"</f>
        <v>7795373010840</v>
      </c>
      <c r="I2789" s="3">
        <v>6</v>
      </c>
      <c r="J2789" s="3">
        <v>0</v>
      </c>
      <c r="K2789" s="3">
        <v>12000</v>
      </c>
    </row>
    <row r="2790" spans="1:11" x14ac:dyDescent="0.2">
      <c r="A2790" s="1" t="s">
        <v>4994</v>
      </c>
      <c r="B2790" s="1" t="s">
        <v>3501</v>
      </c>
      <c r="C2790" s="1"/>
      <c r="D2790" s="1"/>
      <c r="E2790" s="1"/>
      <c r="F2790" s="1"/>
      <c r="G2790" s="1"/>
      <c r="H2790" s="1" t="str">
        <f>"7800068010163"</f>
        <v>7800068010163</v>
      </c>
      <c r="I2790" s="3">
        <v>8</v>
      </c>
      <c r="J2790" s="3">
        <v>0</v>
      </c>
      <c r="K2790" s="3">
        <v>8000</v>
      </c>
    </row>
    <row r="2791" spans="1:11" x14ac:dyDescent="0.2">
      <c r="A2791" s="1" t="s">
        <v>4994</v>
      </c>
      <c r="B2791" s="1" t="s">
        <v>3502</v>
      </c>
      <c r="C2791" s="1"/>
      <c r="D2791" s="1"/>
      <c r="E2791" s="1"/>
      <c r="F2791" s="1"/>
      <c r="G2791" s="1"/>
      <c r="H2791" s="1" t="str">
        <f>"65675250"</f>
        <v>65675250</v>
      </c>
      <c r="I2791" s="3">
        <v>0</v>
      </c>
      <c r="J2791" s="3">
        <v>0</v>
      </c>
      <c r="K2791" s="3">
        <v>9500</v>
      </c>
    </row>
    <row r="2792" spans="1:11" x14ac:dyDescent="0.2">
      <c r="A2792" s="1" t="s">
        <v>4994</v>
      </c>
      <c r="B2792" s="1" t="s">
        <v>3503</v>
      </c>
      <c r="C2792" s="1"/>
      <c r="D2792" s="1"/>
      <c r="E2792" s="1"/>
      <c r="F2792" s="1"/>
      <c r="G2792" s="1"/>
      <c r="H2792" s="1" t="str">
        <f>"793969066513"</f>
        <v>793969066513</v>
      </c>
      <c r="I2792" s="3">
        <v>2</v>
      </c>
      <c r="J2792" s="3">
        <v>0</v>
      </c>
      <c r="K2792" s="3">
        <v>17000</v>
      </c>
    </row>
    <row r="2793" spans="1:11" x14ac:dyDescent="0.2">
      <c r="A2793" s="1" t="s">
        <v>4994</v>
      </c>
      <c r="B2793" s="1" t="s">
        <v>3504</v>
      </c>
      <c r="C2793" s="1"/>
      <c r="D2793" s="1"/>
      <c r="E2793" s="1"/>
      <c r="F2793" s="1"/>
      <c r="G2793" s="1"/>
      <c r="H2793" s="1" t="str">
        <f>"6950715529232"</f>
        <v>6950715529232</v>
      </c>
      <c r="I2793" s="3">
        <v>0</v>
      </c>
      <c r="J2793" s="3">
        <v>0</v>
      </c>
      <c r="K2793" s="3">
        <v>14000</v>
      </c>
    </row>
    <row r="2794" spans="1:11" x14ac:dyDescent="0.2">
      <c r="A2794" s="1" t="s">
        <v>4994</v>
      </c>
      <c r="B2794" s="1" t="s">
        <v>3505</v>
      </c>
      <c r="C2794" s="1"/>
      <c r="D2794" s="1"/>
      <c r="E2794" s="1"/>
      <c r="F2794" s="1"/>
      <c r="G2794" s="1"/>
      <c r="H2794" s="1" t="str">
        <f>"739802462364"</f>
        <v>739802462364</v>
      </c>
      <c r="I2794" s="3">
        <v>0</v>
      </c>
      <c r="J2794" s="3">
        <v>0</v>
      </c>
      <c r="K2794" s="3">
        <v>15000</v>
      </c>
    </row>
    <row r="2795" spans="1:11" x14ac:dyDescent="0.2">
      <c r="A2795" s="1" t="s">
        <v>4994</v>
      </c>
      <c r="B2795" s="1" t="s">
        <v>3506</v>
      </c>
      <c r="C2795" s="1"/>
      <c r="D2795" s="1"/>
      <c r="E2795" s="1"/>
      <c r="F2795" s="1"/>
      <c r="G2795" s="1"/>
      <c r="H2795" s="1" t="str">
        <f>"6927394511100"</f>
        <v>6927394511100</v>
      </c>
      <c r="I2795" s="3">
        <v>0</v>
      </c>
      <c r="J2795" s="3">
        <v>0</v>
      </c>
      <c r="K2795" s="3">
        <v>9500</v>
      </c>
    </row>
    <row r="2796" spans="1:11" x14ac:dyDescent="0.2">
      <c r="A2796" s="1" t="s">
        <v>4994</v>
      </c>
      <c r="B2796" s="1" t="s">
        <v>3507</v>
      </c>
      <c r="C2796" s="1"/>
      <c r="D2796" s="1"/>
      <c r="E2796" s="1"/>
      <c r="F2796" s="1"/>
      <c r="G2796" s="1"/>
      <c r="H2796" s="1" t="str">
        <f>"7800063130507"</f>
        <v>7800063130507</v>
      </c>
      <c r="I2796" s="3">
        <v>171</v>
      </c>
      <c r="J2796" s="3">
        <v>0</v>
      </c>
      <c r="K2796" s="3">
        <v>1500</v>
      </c>
    </row>
    <row r="2797" spans="1:11" x14ac:dyDescent="0.2">
      <c r="A2797" s="1" t="s">
        <v>4994</v>
      </c>
      <c r="B2797" s="1" t="s">
        <v>3509</v>
      </c>
      <c r="C2797" s="1"/>
      <c r="D2797" s="1"/>
      <c r="E2797" s="1"/>
      <c r="F2797" s="1"/>
      <c r="G2797" s="1"/>
      <c r="H2797" s="1" t="str">
        <f>"7804656850216"</f>
        <v>7804656850216</v>
      </c>
      <c r="I2797" s="3">
        <v>0</v>
      </c>
      <c r="J2797" s="3">
        <v>0</v>
      </c>
      <c r="K2797" s="3">
        <v>2500</v>
      </c>
    </row>
    <row r="2798" spans="1:11" x14ac:dyDescent="0.2">
      <c r="A2798" s="1" t="s">
        <v>4994</v>
      </c>
      <c r="B2798" s="1" t="s">
        <v>3510</v>
      </c>
      <c r="C2798" s="1"/>
      <c r="D2798" s="1"/>
      <c r="E2798" s="1"/>
      <c r="F2798" s="1"/>
      <c r="G2798" s="1"/>
      <c r="H2798" s="1" t="str">
        <f>"7800006000294"</f>
        <v>7800006000294</v>
      </c>
      <c r="I2798" s="3">
        <v>7</v>
      </c>
      <c r="J2798" s="3">
        <v>0</v>
      </c>
      <c r="K2798" s="3">
        <v>7500</v>
      </c>
    </row>
    <row r="2799" spans="1:11" x14ac:dyDescent="0.2">
      <c r="A2799" s="1" t="s">
        <v>4994</v>
      </c>
      <c r="B2799" s="1" t="s">
        <v>3512</v>
      </c>
      <c r="C2799" s="1"/>
      <c r="D2799" s="1"/>
      <c r="E2799" s="1"/>
      <c r="F2799" s="1"/>
      <c r="G2799" s="1"/>
      <c r="H2799" s="1" t="str">
        <f>"7805633018636"</f>
        <v>7805633018636</v>
      </c>
      <c r="I2799" s="3">
        <v>6</v>
      </c>
      <c r="J2799" s="3">
        <v>0</v>
      </c>
      <c r="K2799" s="3">
        <v>1000</v>
      </c>
    </row>
    <row r="2800" spans="1:11" x14ac:dyDescent="0.2">
      <c r="A2800" s="1" t="s">
        <v>4994</v>
      </c>
      <c r="B2800" s="1" t="s">
        <v>3513</v>
      </c>
      <c r="C2800" s="1"/>
      <c r="D2800" s="1"/>
      <c r="E2800" s="1"/>
      <c r="F2800" s="1"/>
      <c r="G2800" s="1"/>
      <c r="H2800" s="1" t="str">
        <f>"7805633012801"</f>
        <v>7805633012801</v>
      </c>
      <c r="I2800" s="3">
        <v>0</v>
      </c>
      <c r="J2800" s="3">
        <v>0</v>
      </c>
      <c r="K2800" s="3">
        <v>1000</v>
      </c>
    </row>
    <row r="2801" spans="1:11" x14ac:dyDescent="0.2">
      <c r="A2801" s="1" t="s">
        <v>4994</v>
      </c>
      <c r="B2801" s="1" t="s">
        <v>3514</v>
      </c>
      <c r="C2801" s="1"/>
      <c r="D2801" s="1"/>
      <c r="E2801" s="1"/>
      <c r="F2801" s="1"/>
      <c r="G2801" s="1"/>
      <c r="H2801" s="1" t="str">
        <f>"7804907923942"</f>
        <v>7804907923942</v>
      </c>
      <c r="I2801" s="3">
        <v>0</v>
      </c>
      <c r="J2801" s="3">
        <v>0</v>
      </c>
      <c r="K2801" s="3">
        <v>9000</v>
      </c>
    </row>
    <row r="2802" spans="1:11" x14ac:dyDescent="0.2">
      <c r="A2802" s="1" t="s">
        <v>4994</v>
      </c>
      <c r="B2802" s="1" t="s">
        <v>3515</v>
      </c>
      <c r="C2802" s="1"/>
      <c r="D2802" s="1"/>
      <c r="E2802" s="1"/>
      <c r="F2802" s="1"/>
      <c r="G2802" s="1"/>
      <c r="H2802" s="1" t="str">
        <f>"71603000063"</f>
        <v>71603000063</v>
      </c>
      <c r="I2802" s="3">
        <v>0</v>
      </c>
      <c r="J2802" s="3">
        <v>0</v>
      </c>
      <c r="K2802" s="3">
        <v>3500</v>
      </c>
    </row>
    <row r="2803" spans="1:11" x14ac:dyDescent="0.2">
      <c r="A2803" s="1" t="s">
        <v>4994</v>
      </c>
      <c r="B2803" s="1" t="s">
        <v>3516</v>
      </c>
      <c r="C2803" s="1"/>
      <c r="D2803" s="1"/>
      <c r="E2803" s="1"/>
      <c r="F2803" s="1"/>
      <c r="G2803" s="1"/>
      <c r="H2803" s="1" t="str">
        <f>"7501007457116"</f>
        <v>7501007457116</v>
      </c>
      <c r="I2803" s="3">
        <v>0</v>
      </c>
      <c r="J2803" s="3">
        <v>0</v>
      </c>
      <c r="K2803" s="3">
        <v>2500</v>
      </c>
    </row>
    <row r="2804" spans="1:11" x14ac:dyDescent="0.2">
      <c r="A2804" s="1" t="s">
        <v>4994</v>
      </c>
      <c r="B2804" s="1" t="s">
        <v>3517</v>
      </c>
      <c r="C2804" s="1"/>
      <c r="D2804" s="1"/>
      <c r="E2804" s="1"/>
      <c r="F2804" s="1"/>
      <c r="G2804" s="1"/>
      <c r="H2804" s="1" t="str">
        <f>"382904916015"</f>
        <v>382904916015</v>
      </c>
      <c r="I2804" s="3">
        <v>0</v>
      </c>
      <c r="J2804" s="3">
        <v>0</v>
      </c>
      <c r="K2804" s="3">
        <v>2500</v>
      </c>
    </row>
    <row r="2805" spans="1:11" x14ac:dyDescent="0.2">
      <c r="A2805" s="1" t="s">
        <v>4994</v>
      </c>
      <c r="B2805" s="1" t="s">
        <v>3518</v>
      </c>
      <c r="C2805" s="1"/>
      <c r="D2805" s="1"/>
      <c r="E2805" s="1"/>
      <c r="F2805" s="1"/>
      <c r="G2805" s="1"/>
      <c r="H2805" s="1" t="str">
        <f>"382904917012"</f>
        <v>382904917012</v>
      </c>
      <c r="I2805" s="3">
        <v>0</v>
      </c>
      <c r="J2805" s="3">
        <v>0</v>
      </c>
      <c r="K2805" s="3">
        <v>2000</v>
      </c>
    </row>
    <row r="2806" spans="1:11" x14ac:dyDescent="0.2">
      <c r="A2806" s="1" t="s">
        <v>4994</v>
      </c>
      <c r="B2806" s="1" t="s">
        <v>3519</v>
      </c>
      <c r="C2806" s="1"/>
      <c r="D2806" s="1"/>
      <c r="E2806" s="1"/>
      <c r="F2806" s="1"/>
      <c r="G2806" s="1"/>
      <c r="H2806" s="1" t="str">
        <f>"7804623850355"</f>
        <v>7804623850355</v>
      </c>
      <c r="I2806" s="3">
        <v>0</v>
      </c>
      <c r="J2806" s="3">
        <v>0</v>
      </c>
      <c r="K2806" s="3">
        <v>7000</v>
      </c>
    </row>
    <row r="2807" spans="1:11" x14ac:dyDescent="0.2">
      <c r="A2807" s="1" t="s">
        <v>4994</v>
      </c>
      <c r="B2807" s="1" t="s">
        <v>3520</v>
      </c>
      <c r="C2807" s="1"/>
      <c r="D2807" s="1"/>
      <c r="E2807" s="1"/>
      <c r="F2807" s="1"/>
      <c r="G2807" s="1"/>
      <c r="H2807" s="1" t="str">
        <f>"7804651937851"</f>
        <v>7804651937851</v>
      </c>
      <c r="I2807" s="3">
        <v>9</v>
      </c>
      <c r="J2807" s="3">
        <v>0</v>
      </c>
      <c r="K2807" s="3">
        <v>11500</v>
      </c>
    </row>
    <row r="2808" spans="1:11" x14ac:dyDescent="0.2">
      <c r="A2808" s="1" t="s">
        <v>4994</v>
      </c>
      <c r="B2808" s="1" t="s">
        <v>3521</v>
      </c>
      <c r="C2808" s="1"/>
      <c r="D2808" s="1"/>
      <c r="E2808" s="1"/>
      <c r="F2808" s="1"/>
      <c r="G2808" s="1"/>
      <c r="H2808" s="1" t="str">
        <f>"7795380042919"</f>
        <v>7795380042919</v>
      </c>
      <c r="I2808" s="3">
        <v>0</v>
      </c>
      <c r="J2808" s="3">
        <v>0</v>
      </c>
      <c r="K2808" s="3">
        <v>5800</v>
      </c>
    </row>
    <row r="2809" spans="1:11" x14ac:dyDescent="0.2">
      <c r="A2809" s="1" t="s">
        <v>4994</v>
      </c>
      <c r="B2809" s="1" t="s">
        <v>3522</v>
      </c>
      <c r="C2809" s="1"/>
      <c r="D2809" s="1"/>
      <c r="E2809" s="1"/>
      <c r="F2809" s="1"/>
      <c r="G2809" s="1"/>
      <c r="H2809" s="1" t="str">
        <f>"4799020771064"</f>
        <v>4799020771064</v>
      </c>
      <c r="I2809" s="3">
        <v>0</v>
      </c>
      <c r="J2809" s="3">
        <v>0</v>
      </c>
      <c r="K2809" s="3">
        <v>1190</v>
      </c>
    </row>
    <row r="2810" spans="1:11" x14ac:dyDescent="0.2">
      <c r="A2810" s="1" t="s">
        <v>4994</v>
      </c>
      <c r="B2810" s="1" t="s">
        <v>3523</v>
      </c>
      <c r="C2810" s="1"/>
      <c r="D2810" s="1"/>
      <c r="E2810" s="1"/>
      <c r="F2810" s="1"/>
      <c r="G2810" s="1"/>
      <c r="H2810" s="1" t="str">
        <f>"4799020770081"</f>
        <v>4799020770081</v>
      </c>
      <c r="I2810" s="3">
        <v>0</v>
      </c>
      <c r="J2810" s="3">
        <v>0</v>
      </c>
      <c r="K2810" s="3">
        <v>1500</v>
      </c>
    </row>
    <row r="2811" spans="1:11" x14ac:dyDescent="0.2">
      <c r="A2811" s="1" t="s">
        <v>4994</v>
      </c>
      <c r="B2811" s="1" t="s">
        <v>3528</v>
      </c>
      <c r="C2811" s="1"/>
      <c r="D2811" s="1"/>
      <c r="E2811" s="1"/>
      <c r="F2811" s="1"/>
      <c r="G2811" s="1"/>
      <c r="H2811" s="1" t="str">
        <f>"7500435122450"</f>
        <v>7500435122450</v>
      </c>
      <c r="I2811" s="3">
        <v>0</v>
      </c>
      <c r="J2811" s="3">
        <v>0</v>
      </c>
      <c r="K2811" s="3">
        <v>4500</v>
      </c>
    </row>
    <row r="2812" spans="1:11" x14ac:dyDescent="0.2">
      <c r="A2812" s="1" t="s">
        <v>4994</v>
      </c>
      <c r="B2812" s="1" t="s">
        <v>3529</v>
      </c>
      <c r="C2812" s="1"/>
      <c r="D2812" s="1"/>
      <c r="E2812" s="1"/>
      <c r="F2812" s="1"/>
      <c r="G2812" s="1"/>
      <c r="H2812" s="1" t="str">
        <f>"7500435122443"</f>
        <v>7500435122443</v>
      </c>
      <c r="I2812" s="3">
        <v>0</v>
      </c>
      <c r="J2812" s="3">
        <v>0</v>
      </c>
      <c r="K2812" s="3">
        <v>4500</v>
      </c>
    </row>
    <row r="2813" spans="1:11" x14ac:dyDescent="0.2">
      <c r="A2813" s="1" t="s">
        <v>4994</v>
      </c>
      <c r="B2813" s="1" t="s">
        <v>3530</v>
      </c>
      <c r="C2813" s="1"/>
      <c r="D2813" s="1"/>
      <c r="E2813" s="1"/>
      <c r="F2813" s="1"/>
      <c r="G2813" s="1"/>
      <c r="H2813" s="1" t="str">
        <f>"7500435150699"</f>
        <v>7500435150699</v>
      </c>
      <c r="I2813" s="3">
        <v>0</v>
      </c>
      <c r="J2813" s="3">
        <v>0</v>
      </c>
      <c r="K2813" s="3">
        <v>4500</v>
      </c>
    </row>
    <row r="2814" spans="1:11" x14ac:dyDescent="0.2">
      <c r="A2814" s="1" t="s">
        <v>4994</v>
      </c>
      <c r="B2814" s="1" t="s">
        <v>3531</v>
      </c>
      <c r="C2814" s="1"/>
      <c r="D2814" s="1"/>
      <c r="E2814" s="1"/>
      <c r="F2814" s="1"/>
      <c r="G2814" s="1"/>
      <c r="H2814" s="1" t="str">
        <f>"7500435122467"</f>
        <v>7500435122467</v>
      </c>
      <c r="I2814" s="3">
        <v>0</v>
      </c>
      <c r="J2814" s="3">
        <v>0</v>
      </c>
      <c r="K2814" s="3">
        <v>4500</v>
      </c>
    </row>
    <row r="2815" spans="1:11" x14ac:dyDescent="0.2">
      <c r="A2815" s="1" t="s">
        <v>4994</v>
      </c>
      <c r="B2815" s="1" t="s">
        <v>3532</v>
      </c>
      <c r="C2815" s="1"/>
      <c r="D2815" s="1"/>
      <c r="E2815" s="1"/>
      <c r="F2815" s="1"/>
      <c r="G2815" s="1"/>
      <c r="H2815" s="1" t="str">
        <f>"7804900000299"</f>
        <v>7804900000299</v>
      </c>
      <c r="I2815" s="3">
        <v>0</v>
      </c>
      <c r="J2815" s="3">
        <v>0</v>
      </c>
      <c r="K2815" s="3">
        <v>1000</v>
      </c>
    </row>
    <row r="2816" spans="1:11" x14ac:dyDescent="0.2">
      <c r="A2816" s="1" t="s">
        <v>4994</v>
      </c>
      <c r="B2816" s="1" t="s">
        <v>3534</v>
      </c>
      <c r="C2816" s="1"/>
      <c r="D2816" s="1"/>
      <c r="E2816" s="1"/>
      <c r="F2816" s="1"/>
      <c r="G2816" s="1"/>
      <c r="H2816" s="1" t="str">
        <f>"7804900000374"</f>
        <v>7804900000374</v>
      </c>
      <c r="I2816" s="3">
        <v>56</v>
      </c>
      <c r="J2816" s="3">
        <v>0</v>
      </c>
      <c r="K2816" s="3">
        <v>7000</v>
      </c>
    </row>
    <row r="2817" spans="1:11" x14ac:dyDescent="0.2">
      <c r="A2817" s="1" t="s">
        <v>4994</v>
      </c>
      <c r="B2817" s="1" t="s">
        <v>3535</v>
      </c>
      <c r="C2817" s="1"/>
      <c r="D2817" s="1"/>
      <c r="E2817" s="1"/>
      <c r="F2817" s="1"/>
      <c r="G2817" s="1"/>
      <c r="H2817" s="1" t="str">
        <f>"7804900000305"</f>
        <v>7804900000305</v>
      </c>
      <c r="I2817" s="3">
        <v>0</v>
      </c>
      <c r="J2817" s="3">
        <v>0</v>
      </c>
      <c r="K2817" s="3">
        <v>4000</v>
      </c>
    </row>
    <row r="2818" spans="1:11" x14ac:dyDescent="0.2">
      <c r="A2818" s="1" t="s">
        <v>4994</v>
      </c>
      <c r="B2818" s="1" t="s">
        <v>3536</v>
      </c>
      <c r="C2818" s="1"/>
      <c r="D2818" s="1"/>
      <c r="E2818" s="1"/>
      <c r="F2818" s="1"/>
      <c r="G2818" s="1"/>
      <c r="H2818" s="1" t="str">
        <f>"7805633026891"</f>
        <v>7805633026891</v>
      </c>
      <c r="I2818" s="3">
        <v>0</v>
      </c>
      <c r="J2818" s="3">
        <v>0</v>
      </c>
      <c r="K2818" s="3">
        <v>8000</v>
      </c>
    </row>
    <row r="2819" spans="1:11" x14ac:dyDescent="0.2">
      <c r="A2819" s="1" t="s">
        <v>4994</v>
      </c>
      <c r="B2819" s="1" t="s">
        <v>3537</v>
      </c>
      <c r="C2819" s="1"/>
      <c r="D2819" s="1"/>
      <c r="E2819" s="1"/>
      <c r="F2819" s="1"/>
      <c r="G2819" s="1"/>
      <c r="H2819" s="1" t="str">
        <f>"7806500752172"</f>
        <v>7806500752172</v>
      </c>
      <c r="I2819" s="3">
        <v>0</v>
      </c>
      <c r="J2819" s="3">
        <v>0</v>
      </c>
      <c r="K2819" s="3">
        <v>5900</v>
      </c>
    </row>
    <row r="2820" spans="1:11" x14ac:dyDescent="0.2">
      <c r="A2820" s="1" t="s">
        <v>4994</v>
      </c>
      <c r="B2820" s="1" t="s">
        <v>3538</v>
      </c>
      <c r="C2820" s="1"/>
      <c r="D2820" s="1"/>
      <c r="E2820" s="1"/>
      <c r="F2820" s="1"/>
      <c r="G2820" s="1"/>
      <c r="H2820" s="1" t="str">
        <f>"7806500752202"</f>
        <v>7806500752202</v>
      </c>
      <c r="I2820" s="3">
        <v>0</v>
      </c>
      <c r="J2820" s="3">
        <v>0</v>
      </c>
      <c r="K2820" s="3">
        <v>3500</v>
      </c>
    </row>
    <row r="2821" spans="1:11" x14ac:dyDescent="0.2">
      <c r="A2821" s="1" t="s">
        <v>4994</v>
      </c>
      <c r="B2821" s="1" t="s">
        <v>3539</v>
      </c>
      <c r="C2821" s="1"/>
      <c r="D2821" s="1"/>
      <c r="E2821" s="1"/>
      <c r="F2821" s="1"/>
      <c r="G2821" s="1"/>
      <c r="H2821" s="1" t="str">
        <f>"7805633021285"</f>
        <v>7805633021285</v>
      </c>
      <c r="I2821" s="3">
        <v>10</v>
      </c>
      <c r="J2821" s="3">
        <v>0</v>
      </c>
      <c r="K2821" s="3">
        <v>4500</v>
      </c>
    </row>
    <row r="2822" spans="1:11" x14ac:dyDescent="0.2">
      <c r="A2822" s="1" t="s">
        <v>4994</v>
      </c>
      <c r="B2822" s="1" t="s">
        <v>3540</v>
      </c>
      <c r="C2822" s="1"/>
      <c r="D2822" s="1"/>
      <c r="E2822" s="1"/>
      <c r="F2822" s="1"/>
      <c r="G2822" s="1"/>
      <c r="H2822" s="1" t="str">
        <f>"7861073971184"</f>
        <v>7861073971184</v>
      </c>
      <c r="I2822" s="3">
        <v>0</v>
      </c>
      <c r="J2822" s="3">
        <v>0</v>
      </c>
      <c r="K2822" s="3">
        <v>21000</v>
      </c>
    </row>
    <row r="2823" spans="1:11" x14ac:dyDescent="0.2">
      <c r="A2823" s="1" t="s">
        <v>4994</v>
      </c>
      <c r="B2823" s="1" t="s">
        <v>3541</v>
      </c>
      <c r="C2823" s="1"/>
      <c r="D2823" s="1"/>
      <c r="E2823" s="1"/>
      <c r="F2823" s="1"/>
      <c r="G2823" s="1"/>
      <c r="H2823" s="1" t="str">
        <f>"7506309837246"</f>
        <v>7506309837246</v>
      </c>
      <c r="I2823" s="3">
        <v>5</v>
      </c>
      <c r="J2823" s="3">
        <v>0</v>
      </c>
      <c r="K2823" s="3">
        <v>4000</v>
      </c>
    </row>
    <row r="2824" spans="1:11" x14ac:dyDescent="0.2">
      <c r="A2824" s="1" t="s">
        <v>4994</v>
      </c>
      <c r="B2824" s="1" t="s">
        <v>3542</v>
      </c>
      <c r="C2824" s="1"/>
      <c r="D2824" s="1"/>
      <c r="E2824" s="1"/>
      <c r="F2824" s="1"/>
      <c r="G2824" s="1"/>
      <c r="H2824" s="1" t="str">
        <f>"7500435155922"</f>
        <v>7500435155922</v>
      </c>
      <c r="I2824" s="3">
        <v>0</v>
      </c>
      <c r="J2824" s="3">
        <v>0</v>
      </c>
      <c r="K2824" s="3">
        <v>3500</v>
      </c>
    </row>
    <row r="2825" spans="1:11" x14ac:dyDescent="0.2">
      <c r="A2825" s="1" t="s">
        <v>4994</v>
      </c>
      <c r="B2825" s="1" t="s">
        <v>3543</v>
      </c>
      <c r="C2825" s="1"/>
      <c r="D2825" s="1"/>
      <c r="E2825" s="1"/>
      <c r="F2825" s="1"/>
      <c r="G2825" s="1"/>
      <c r="H2825" s="1" t="str">
        <f>"7500435155915"</f>
        <v>7500435155915</v>
      </c>
      <c r="I2825" s="3">
        <v>0</v>
      </c>
      <c r="J2825" s="3">
        <v>0</v>
      </c>
      <c r="K2825" s="3">
        <v>3800</v>
      </c>
    </row>
    <row r="2826" spans="1:11" x14ac:dyDescent="0.2">
      <c r="A2826" s="1" t="s">
        <v>4994</v>
      </c>
      <c r="B2826" s="1" t="s">
        <v>3544</v>
      </c>
      <c r="C2826" s="1"/>
      <c r="D2826" s="1"/>
      <c r="E2826" s="1"/>
      <c r="F2826" s="1"/>
      <c r="G2826" s="1"/>
      <c r="H2826" s="1" t="str">
        <f>"7506309840628"</f>
        <v>7506309840628</v>
      </c>
      <c r="I2826" s="3">
        <v>2</v>
      </c>
      <c r="J2826" s="3">
        <v>0</v>
      </c>
      <c r="K2826" s="3">
        <v>4000</v>
      </c>
    </row>
    <row r="2827" spans="1:11" x14ac:dyDescent="0.2">
      <c r="A2827" s="1" t="s">
        <v>4994</v>
      </c>
      <c r="B2827" s="1" t="s">
        <v>3545</v>
      </c>
      <c r="C2827" s="1"/>
      <c r="D2827" s="1"/>
      <c r="E2827" s="1"/>
      <c r="F2827" s="1"/>
      <c r="G2827" s="1"/>
      <c r="H2827" s="1" t="str">
        <f>"7506309840024"</f>
        <v>7506309840024</v>
      </c>
      <c r="I2827" s="3">
        <v>0</v>
      </c>
      <c r="J2827" s="3">
        <v>0</v>
      </c>
      <c r="K2827" s="3">
        <v>3500</v>
      </c>
    </row>
    <row r="2828" spans="1:11" x14ac:dyDescent="0.2">
      <c r="A2828" s="1" t="s">
        <v>4994</v>
      </c>
      <c r="B2828" s="1" t="s">
        <v>3546</v>
      </c>
      <c r="C2828" s="1"/>
      <c r="D2828" s="1"/>
      <c r="E2828" s="1"/>
      <c r="F2828" s="1"/>
      <c r="G2828" s="1"/>
      <c r="H2828" s="1" t="str">
        <f>"7500435020299"</f>
        <v>7500435020299</v>
      </c>
      <c r="I2828" s="3">
        <v>0</v>
      </c>
      <c r="J2828" s="3">
        <v>0</v>
      </c>
      <c r="K2828" s="3">
        <v>3500</v>
      </c>
    </row>
    <row r="2829" spans="1:11" x14ac:dyDescent="0.2">
      <c r="A2829" s="1" t="s">
        <v>4994</v>
      </c>
      <c r="B2829" s="1" t="s">
        <v>3547</v>
      </c>
      <c r="C2829" s="1"/>
      <c r="D2829" s="1"/>
      <c r="E2829" s="1"/>
      <c r="F2829" s="1"/>
      <c r="G2829" s="1"/>
      <c r="H2829" s="1" t="str">
        <f>"7500435209663"</f>
        <v>7500435209663</v>
      </c>
      <c r="I2829" s="3">
        <v>0</v>
      </c>
      <c r="J2829" s="3">
        <v>0</v>
      </c>
      <c r="K2829" s="3">
        <v>2500</v>
      </c>
    </row>
    <row r="2830" spans="1:11" x14ac:dyDescent="0.2">
      <c r="A2830" s="1" t="s">
        <v>4994</v>
      </c>
      <c r="B2830" s="1" t="s">
        <v>3548</v>
      </c>
      <c r="C2830" s="1"/>
      <c r="D2830" s="1"/>
      <c r="E2830" s="1"/>
      <c r="F2830" s="1"/>
      <c r="G2830" s="1"/>
      <c r="H2830" s="1" t="str">
        <f>"7501007457826"</f>
        <v>7501007457826</v>
      </c>
      <c r="I2830" s="3">
        <v>0</v>
      </c>
      <c r="J2830" s="3">
        <v>0</v>
      </c>
      <c r="K2830" s="3">
        <v>6000</v>
      </c>
    </row>
    <row r="2831" spans="1:11" x14ac:dyDescent="0.2">
      <c r="A2831" s="1" t="s">
        <v>4994</v>
      </c>
      <c r="B2831" s="1" t="s">
        <v>3549</v>
      </c>
      <c r="C2831" s="1"/>
      <c r="D2831" s="1"/>
      <c r="E2831" s="1"/>
      <c r="F2831" s="1"/>
      <c r="G2831" s="1"/>
      <c r="H2831" s="1" t="str">
        <f>"7500435020244"</f>
        <v>7500435020244</v>
      </c>
      <c r="I2831" s="3">
        <v>0</v>
      </c>
      <c r="J2831" s="3">
        <v>0</v>
      </c>
      <c r="K2831" s="3">
        <v>3500</v>
      </c>
    </row>
    <row r="2832" spans="1:11" x14ac:dyDescent="0.2">
      <c r="A2832" s="1" t="s">
        <v>4994</v>
      </c>
      <c r="B2832" s="1" t="s">
        <v>3550</v>
      </c>
      <c r="C2832" s="1"/>
      <c r="D2832" s="1"/>
      <c r="E2832" s="1"/>
      <c r="F2832" s="1"/>
      <c r="G2832" s="1"/>
      <c r="H2832" s="1" t="str">
        <f>"7506309840581"</f>
        <v>7506309840581</v>
      </c>
      <c r="I2832" s="3">
        <v>0</v>
      </c>
      <c r="J2832" s="3">
        <v>0</v>
      </c>
      <c r="K2832" s="3">
        <v>3500</v>
      </c>
    </row>
    <row r="2833" spans="1:11" x14ac:dyDescent="0.2">
      <c r="A2833" s="1" t="s">
        <v>4994</v>
      </c>
      <c r="B2833" s="1" t="s">
        <v>3551</v>
      </c>
      <c r="C2833" s="1"/>
      <c r="D2833" s="1"/>
      <c r="E2833" s="1"/>
      <c r="F2833" s="1"/>
      <c r="G2833" s="1"/>
      <c r="H2833" s="1" t="str">
        <f>"7501006721133"</f>
        <v>7501006721133</v>
      </c>
      <c r="I2833" s="3">
        <v>0</v>
      </c>
      <c r="J2833" s="3">
        <v>0</v>
      </c>
      <c r="K2833" s="3">
        <v>3500</v>
      </c>
    </row>
    <row r="2834" spans="1:11" x14ac:dyDescent="0.2">
      <c r="A2834" s="1" t="s">
        <v>4994</v>
      </c>
      <c r="B2834" s="1" t="s">
        <v>3552</v>
      </c>
      <c r="C2834" s="1"/>
      <c r="D2834" s="1"/>
      <c r="E2834" s="1"/>
      <c r="F2834" s="1"/>
      <c r="G2834" s="1"/>
      <c r="H2834" s="1" t="str">
        <f>"7891317028961"</f>
        <v>7891317028961</v>
      </c>
      <c r="I2834" s="3">
        <v>6</v>
      </c>
      <c r="J2834" s="3">
        <v>0</v>
      </c>
      <c r="K2834" s="3">
        <v>10000</v>
      </c>
    </row>
    <row r="2835" spans="1:11" x14ac:dyDescent="0.2">
      <c r="A2835" s="1" t="s">
        <v>4994</v>
      </c>
      <c r="B2835" s="1" t="s">
        <v>3553</v>
      </c>
      <c r="C2835" s="1"/>
      <c r="D2835" s="1"/>
      <c r="E2835" s="1"/>
      <c r="F2835" s="1"/>
      <c r="G2835" s="1"/>
      <c r="H2835" s="1" t="str">
        <f>"7805633012771"</f>
        <v>7805633012771</v>
      </c>
      <c r="I2835" s="3">
        <v>0</v>
      </c>
      <c r="J2835" s="3">
        <v>0</v>
      </c>
      <c r="K2835" s="3">
        <v>250</v>
      </c>
    </row>
    <row r="2836" spans="1:11" x14ac:dyDescent="0.2">
      <c r="A2836" s="1" t="s">
        <v>4994</v>
      </c>
      <c r="B2836" s="1" t="s">
        <v>3554</v>
      </c>
      <c r="C2836" s="1"/>
      <c r="D2836" s="1"/>
      <c r="E2836" s="1"/>
      <c r="F2836" s="1"/>
      <c r="G2836" s="1"/>
      <c r="H2836" s="1" t="str">
        <f>"7805633026365"</f>
        <v>7805633026365</v>
      </c>
      <c r="I2836" s="3">
        <v>0</v>
      </c>
      <c r="J2836" s="3">
        <v>0</v>
      </c>
      <c r="K2836" s="3">
        <v>1500</v>
      </c>
    </row>
    <row r="2837" spans="1:11" x14ac:dyDescent="0.2">
      <c r="A2837" s="1" t="s">
        <v>4994</v>
      </c>
      <c r="B2837" s="1" t="s">
        <v>3555</v>
      </c>
      <c r="C2837" s="1"/>
      <c r="D2837" s="1"/>
      <c r="E2837" s="1"/>
      <c r="F2837" s="1"/>
      <c r="G2837" s="1"/>
      <c r="H2837" s="1" t="str">
        <f>"7805633012788"</f>
        <v>7805633012788</v>
      </c>
      <c r="I2837" s="3">
        <v>0</v>
      </c>
      <c r="J2837" s="3">
        <v>0</v>
      </c>
      <c r="K2837" s="3">
        <v>250</v>
      </c>
    </row>
    <row r="2838" spans="1:11" x14ac:dyDescent="0.2">
      <c r="A2838" s="1" t="s">
        <v>4994</v>
      </c>
      <c r="B2838" s="1" t="s">
        <v>3557</v>
      </c>
      <c r="C2838" s="1"/>
      <c r="D2838" s="1"/>
      <c r="E2838" s="1"/>
      <c r="F2838" s="1"/>
      <c r="G2838" s="1"/>
      <c r="H2838" s="1" t="str">
        <f>"7800059006502"</f>
        <v>7800059006502</v>
      </c>
      <c r="I2838" s="3">
        <v>0</v>
      </c>
      <c r="J2838" s="3">
        <v>0</v>
      </c>
      <c r="K2838" s="3">
        <v>10000</v>
      </c>
    </row>
    <row r="2839" spans="1:11" x14ac:dyDescent="0.2">
      <c r="A2839" s="1" t="s">
        <v>4994</v>
      </c>
      <c r="B2839" s="1" t="s">
        <v>3558</v>
      </c>
      <c r="C2839" s="1"/>
      <c r="D2839" s="1"/>
      <c r="E2839" s="1"/>
      <c r="F2839" s="1"/>
      <c r="G2839" s="1"/>
      <c r="H2839" s="1" t="str">
        <f>"7809536101051"</f>
        <v>7809536101051</v>
      </c>
      <c r="I2839" s="3">
        <v>8</v>
      </c>
      <c r="J2839" s="3">
        <v>0</v>
      </c>
      <c r="K2839" s="3">
        <v>1500</v>
      </c>
    </row>
    <row r="2840" spans="1:11" x14ac:dyDescent="0.2">
      <c r="A2840" s="1" t="s">
        <v>4994</v>
      </c>
      <c r="B2840" s="1" t="s">
        <v>3559</v>
      </c>
      <c r="C2840" s="1"/>
      <c r="D2840" s="1"/>
      <c r="E2840" s="1"/>
      <c r="F2840" s="1"/>
      <c r="G2840" s="1"/>
      <c r="H2840" s="1" t="str">
        <f>"7800044000270"</f>
        <v>7800044000270</v>
      </c>
      <c r="I2840" s="3">
        <v>0</v>
      </c>
      <c r="J2840" s="3">
        <v>0</v>
      </c>
      <c r="K2840" s="3">
        <v>1000</v>
      </c>
    </row>
    <row r="2841" spans="1:11" x14ac:dyDescent="0.2">
      <c r="A2841" s="1" t="s">
        <v>4994</v>
      </c>
      <c r="B2841" s="1" t="s">
        <v>3560</v>
      </c>
      <c r="C2841" s="1"/>
      <c r="D2841" s="1"/>
      <c r="E2841" s="1"/>
      <c r="F2841" s="1"/>
      <c r="G2841" s="1"/>
      <c r="H2841" s="1" t="str">
        <f>"8906051722880"</f>
        <v>8906051722880</v>
      </c>
      <c r="I2841" s="3">
        <v>0</v>
      </c>
      <c r="J2841" s="3">
        <v>0</v>
      </c>
      <c r="K2841" s="3">
        <v>1000</v>
      </c>
    </row>
    <row r="2842" spans="1:11" x14ac:dyDescent="0.2">
      <c r="A2842" s="1" t="s">
        <v>4994</v>
      </c>
      <c r="B2842" s="1" t="s">
        <v>3562</v>
      </c>
      <c r="C2842" s="1"/>
      <c r="D2842" s="1"/>
      <c r="E2842" s="1"/>
      <c r="F2842" s="1"/>
      <c r="G2842" s="1"/>
      <c r="H2842" s="1" t="str">
        <f>"7804640561463"</f>
        <v>7804640561463</v>
      </c>
      <c r="I2842" s="3">
        <v>0</v>
      </c>
      <c r="J2842" s="3">
        <v>0</v>
      </c>
      <c r="K2842" s="3">
        <v>2000</v>
      </c>
    </row>
    <row r="2843" spans="1:11" x14ac:dyDescent="0.2">
      <c r="A2843" s="1" t="s">
        <v>4994</v>
      </c>
      <c r="B2843" s="1" t="s">
        <v>3563</v>
      </c>
      <c r="C2843" s="1"/>
      <c r="D2843" s="1"/>
      <c r="E2843" s="1"/>
      <c r="F2843" s="1"/>
      <c r="G2843" s="1"/>
      <c r="H2843" s="1" t="str">
        <f>"7800018000565"</f>
        <v>7800018000565</v>
      </c>
      <c r="I2843" s="3">
        <v>0</v>
      </c>
      <c r="J2843" s="3">
        <v>0</v>
      </c>
      <c r="K2843" s="3">
        <v>500</v>
      </c>
    </row>
    <row r="2844" spans="1:11" x14ac:dyDescent="0.2">
      <c r="A2844" s="1" t="s">
        <v>4994</v>
      </c>
      <c r="B2844" s="1" t="s">
        <v>3568</v>
      </c>
      <c r="C2844" s="1"/>
      <c r="D2844" s="1"/>
      <c r="E2844" s="1"/>
      <c r="F2844" s="1"/>
      <c r="G2844" s="1"/>
      <c r="H2844" s="1" t="str">
        <f>"7800007140524"</f>
        <v>7800007140524</v>
      </c>
      <c r="I2844" s="3">
        <v>50</v>
      </c>
      <c r="J2844" s="3">
        <v>0</v>
      </c>
      <c r="K2844" s="3">
        <v>2000</v>
      </c>
    </row>
    <row r="2845" spans="1:11" x14ac:dyDescent="0.2">
      <c r="A2845" s="1" t="s">
        <v>4994</v>
      </c>
      <c r="B2845" s="1" t="s">
        <v>3569</v>
      </c>
      <c r="C2845" s="1"/>
      <c r="D2845" s="1"/>
      <c r="E2845" s="1"/>
      <c r="F2845" s="1"/>
      <c r="G2845" s="1"/>
      <c r="H2845" s="1" t="str">
        <f>"7800007804600"</f>
        <v>7800007804600</v>
      </c>
      <c r="I2845" s="3">
        <v>42</v>
      </c>
      <c r="J2845" s="3">
        <v>0</v>
      </c>
      <c r="K2845" s="3">
        <v>3000</v>
      </c>
    </row>
    <row r="2846" spans="1:11" x14ac:dyDescent="0.2">
      <c r="A2846" s="1" t="s">
        <v>4994</v>
      </c>
      <c r="B2846" s="1" t="s">
        <v>3570</v>
      </c>
      <c r="C2846" s="1"/>
      <c r="D2846" s="1"/>
      <c r="E2846" s="1"/>
      <c r="F2846" s="1"/>
      <c r="G2846" s="1"/>
      <c r="H2846" s="1" t="str">
        <f>"7804677770548"</f>
        <v>7804677770548</v>
      </c>
      <c r="I2846" s="3">
        <v>0</v>
      </c>
      <c r="J2846" s="3">
        <v>0</v>
      </c>
      <c r="K2846" s="3">
        <v>500</v>
      </c>
    </row>
    <row r="2847" spans="1:11" x14ac:dyDescent="0.2">
      <c r="A2847" s="1" t="s">
        <v>4994</v>
      </c>
      <c r="B2847" s="1" t="s">
        <v>3571</v>
      </c>
      <c r="C2847" s="1"/>
      <c r="D2847" s="1"/>
      <c r="E2847" s="1"/>
      <c r="F2847" s="1"/>
      <c r="G2847" s="1"/>
      <c r="H2847" s="1" t="str">
        <f>"7804995106630"</f>
        <v>7804995106630</v>
      </c>
      <c r="I2847" s="3">
        <v>0</v>
      </c>
      <c r="J2847" s="3">
        <v>0</v>
      </c>
      <c r="K2847" s="3">
        <v>500</v>
      </c>
    </row>
    <row r="2848" spans="1:11" x14ac:dyDescent="0.2">
      <c r="A2848" s="1" t="s">
        <v>4994</v>
      </c>
      <c r="B2848" s="1" t="s">
        <v>3572</v>
      </c>
      <c r="C2848" s="1"/>
      <c r="D2848" s="1"/>
      <c r="E2848" s="1"/>
      <c r="F2848" s="1"/>
      <c r="G2848" s="1"/>
      <c r="H2848" s="1" t="str">
        <f>"7809536101068"</f>
        <v>7809536101068</v>
      </c>
      <c r="I2848" s="3">
        <v>7</v>
      </c>
      <c r="J2848" s="3">
        <v>0</v>
      </c>
      <c r="K2848" s="3">
        <v>1500</v>
      </c>
    </row>
    <row r="2849" spans="1:11" x14ac:dyDescent="0.2">
      <c r="A2849" s="1" t="s">
        <v>4994</v>
      </c>
      <c r="B2849" s="1" t="s">
        <v>3573</v>
      </c>
      <c r="C2849" s="1"/>
      <c r="D2849" s="1"/>
      <c r="E2849" s="1"/>
      <c r="F2849" s="1"/>
      <c r="G2849" s="1"/>
      <c r="H2849" s="1" t="str">
        <f>"6920221110002"</f>
        <v>6920221110002</v>
      </c>
      <c r="I2849" s="3">
        <v>0</v>
      </c>
      <c r="J2849" s="3">
        <v>0</v>
      </c>
      <c r="K2849" s="3">
        <v>250</v>
      </c>
    </row>
    <row r="2850" spans="1:11" x14ac:dyDescent="0.2">
      <c r="A2850" s="1" t="s">
        <v>4994</v>
      </c>
      <c r="B2850" s="1" t="s">
        <v>3574</v>
      </c>
      <c r="C2850" s="1"/>
      <c r="D2850" s="1"/>
      <c r="E2850" s="1"/>
      <c r="F2850" s="1"/>
      <c r="G2850" s="1"/>
      <c r="H2850" s="1" t="str">
        <f>"7800004032853"</f>
        <v>7800004032853</v>
      </c>
      <c r="I2850" s="3">
        <v>0</v>
      </c>
      <c r="J2850" s="3">
        <v>0</v>
      </c>
      <c r="K2850" s="3">
        <v>2000</v>
      </c>
    </row>
    <row r="2851" spans="1:11" x14ac:dyDescent="0.2">
      <c r="A2851" s="1" t="s">
        <v>4994</v>
      </c>
      <c r="B2851" s="1" t="s">
        <v>3575</v>
      </c>
      <c r="C2851" s="1"/>
      <c r="D2851" s="1"/>
      <c r="E2851" s="1"/>
      <c r="F2851" s="1"/>
      <c r="G2851" s="1"/>
      <c r="H2851" s="1" t="str">
        <f>"7804680940129"</f>
        <v>7804680940129</v>
      </c>
      <c r="I2851" s="3">
        <v>0</v>
      </c>
      <c r="J2851" s="3">
        <v>0</v>
      </c>
      <c r="K2851" s="3">
        <v>2000</v>
      </c>
    </row>
    <row r="2852" spans="1:11" x14ac:dyDescent="0.2">
      <c r="A2852" s="1" t="s">
        <v>4994</v>
      </c>
      <c r="B2852" s="1" t="s">
        <v>3576</v>
      </c>
      <c r="C2852" s="1"/>
      <c r="D2852" s="1"/>
      <c r="E2852" s="1"/>
      <c r="F2852" s="1"/>
      <c r="G2852" s="1"/>
      <c r="H2852" s="1" t="str">
        <f>"4005800154188"</f>
        <v>4005800154188</v>
      </c>
      <c r="I2852" s="3">
        <v>0</v>
      </c>
      <c r="J2852" s="3">
        <v>0</v>
      </c>
      <c r="K2852" s="3">
        <v>5000</v>
      </c>
    </row>
    <row r="2853" spans="1:11" x14ac:dyDescent="0.2">
      <c r="A2853" s="1" t="s">
        <v>4994</v>
      </c>
      <c r="B2853" s="1" t="s">
        <v>3577</v>
      </c>
      <c r="C2853" s="1"/>
      <c r="D2853" s="1"/>
      <c r="E2853" s="1"/>
      <c r="F2853" s="1"/>
      <c r="G2853" s="1"/>
      <c r="H2853" s="1" t="str">
        <f>"4005800154195"</f>
        <v>4005800154195</v>
      </c>
      <c r="I2853" s="3">
        <v>0</v>
      </c>
      <c r="J2853" s="3">
        <v>0</v>
      </c>
      <c r="K2853" s="3">
        <v>5000</v>
      </c>
    </row>
    <row r="2854" spans="1:11" x14ac:dyDescent="0.2">
      <c r="A2854" s="1" t="s">
        <v>4994</v>
      </c>
      <c r="B2854" s="1" t="s">
        <v>3578</v>
      </c>
      <c r="C2854" s="1"/>
      <c r="D2854" s="1"/>
      <c r="E2854" s="1"/>
      <c r="F2854" s="1"/>
      <c r="G2854" s="1"/>
      <c r="H2854" s="1" t="str">
        <f>"7805633001997"</f>
        <v>7805633001997</v>
      </c>
      <c r="I2854" s="3">
        <v>0</v>
      </c>
      <c r="J2854" s="3">
        <v>0</v>
      </c>
      <c r="K2854" s="3">
        <v>2500</v>
      </c>
    </row>
    <row r="2855" spans="1:11" x14ac:dyDescent="0.2">
      <c r="A2855" s="1" t="s">
        <v>4994</v>
      </c>
      <c r="B2855" s="1" t="s">
        <v>3579</v>
      </c>
      <c r="C2855" s="1"/>
      <c r="D2855" s="1"/>
      <c r="E2855" s="1"/>
      <c r="F2855" s="1"/>
      <c r="G2855" s="1"/>
      <c r="H2855" s="1" t="str">
        <f>"7805633008088"</f>
        <v>7805633008088</v>
      </c>
      <c r="I2855" s="3">
        <v>0</v>
      </c>
      <c r="J2855" s="3">
        <v>0</v>
      </c>
      <c r="K2855" s="3">
        <v>1000</v>
      </c>
    </row>
    <row r="2856" spans="1:11" x14ac:dyDescent="0.2">
      <c r="A2856" s="1" t="s">
        <v>4994</v>
      </c>
      <c r="B2856" s="1" t="s">
        <v>3580</v>
      </c>
      <c r="C2856" s="1"/>
      <c r="D2856" s="1"/>
      <c r="E2856" s="1"/>
      <c r="F2856" s="1"/>
      <c r="G2856" s="1"/>
      <c r="H2856" s="1" t="str">
        <f>"7794640170386"</f>
        <v>7794640170386</v>
      </c>
      <c r="I2856" s="3">
        <v>0</v>
      </c>
      <c r="J2856" s="3">
        <v>0</v>
      </c>
      <c r="K2856" s="3">
        <v>5500</v>
      </c>
    </row>
    <row r="2857" spans="1:11" x14ac:dyDescent="0.2">
      <c r="A2857" s="1" t="s">
        <v>4994</v>
      </c>
      <c r="B2857" s="1" t="s">
        <v>3581</v>
      </c>
      <c r="C2857" s="1"/>
      <c r="D2857" s="1"/>
      <c r="E2857" s="1"/>
      <c r="F2857" s="1"/>
      <c r="G2857" s="1"/>
      <c r="H2857" s="1" t="str">
        <f>"7896015527457"</f>
        <v>7896015527457</v>
      </c>
      <c r="I2857" s="3">
        <v>0</v>
      </c>
      <c r="J2857" s="3">
        <v>0</v>
      </c>
      <c r="K2857" s="3">
        <v>5000</v>
      </c>
    </row>
    <row r="2858" spans="1:11" x14ac:dyDescent="0.2">
      <c r="A2858" s="1" t="s">
        <v>4994</v>
      </c>
      <c r="B2858" s="1" t="s">
        <v>3582</v>
      </c>
      <c r="C2858" s="1"/>
      <c r="D2858" s="1"/>
      <c r="E2858" s="1"/>
      <c r="F2858" s="1"/>
      <c r="G2858" s="1"/>
      <c r="H2858" s="1" t="str">
        <f>"7891317003616"</f>
        <v>7891317003616</v>
      </c>
      <c r="I2858" s="3">
        <v>33</v>
      </c>
      <c r="J2858" s="3">
        <v>0</v>
      </c>
      <c r="K2858" s="3">
        <v>9000</v>
      </c>
    </row>
    <row r="2859" spans="1:11" x14ac:dyDescent="0.2">
      <c r="A2859" s="1" t="s">
        <v>4994</v>
      </c>
      <c r="B2859" s="1" t="s">
        <v>3583</v>
      </c>
      <c r="C2859" s="1"/>
      <c r="D2859" s="1"/>
      <c r="E2859" s="1"/>
      <c r="F2859" s="1"/>
      <c r="G2859" s="1"/>
      <c r="H2859" s="1" t="str">
        <f>"7800007803795"</f>
        <v>7800007803795</v>
      </c>
      <c r="I2859" s="3">
        <v>0</v>
      </c>
      <c r="J2859" s="3">
        <v>0</v>
      </c>
      <c r="K2859" s="3">
        <v>5000</v>
      </c>
    </row>
    <row r="2860" spans="1:11" x14ac:dyDescent="0.2">
      <c r="A2860" s="1" t="s">
        <v>4994</v>
      </c>
      <c r="B2860" s="1" t="s">
        <v>3584</v>
      </c>
      <c r="C2860" s="1"/>
      <c r="D2860" s="1"/>
      <c r="E2860" s="1"/>
      <c r="F2860" s="1"/>
      <c r="G2860" s="1"/>
      <c r="H2860" s="1" t="str">
        <f>"2010380121705"</f>
        <v>2010380121705</v>
      </c>
      <c r="I2860" s="3">
        <v>0</v>
      </c>
      <c r="J2860" s="3">
        <v>0</v>
      </c>
      <c r="K2860" s="3">
        <v>7500</v>
      </c>
    </row>
    <row r="2861" spans="1:11" x14ac:dyDescent="0.2">
      <c r="A2861" s="1" t="s">
        <v>4994</v>
      </c>
      <c r="B2861" s="1" t="s">
        <v>3585</v>
      </c>
      <c r="C2861" s="1"/>
      <c r="D2861" s="1"/>
      <c r="E2861" s="1"/>
      <c r="F2861" s="1"/>
      <c r="G2861" s="1"/>
      <c r="H2861" s="1" t="str">
        <f>"2000341103475"</f>
        <v>2000341103475</v>
      </c>
      <c r="I2861" s="3">
        <v>0</v>
      </c>
      <c r="J2861" s="3">
        <v>0</v>
      </c>
      <c r="K2861" s="3">
        <v>6500</v>
      </c>
    </row>
    <row r="2862" spans="1:11" x14ac:dyDescent="0.2">
      <c r="A2862" s="1" t="s">
        <v>4994</v>
      </c>
      <c r="B2862" s="1" t="s">
        <v>3586</v>
      </c>
      <c r="C2862" s="1"/>
      <c r="D2862" s="1"/>
      <c r="E2862" s="1"/>
      <c r="F2862" s="1"/>
      <c r="G2862" s="1"/>
      <c r="H2862" s="1" t="str">
        <f>"7803504001688"</f>
        <v>7803504001688</v>
      </c>
      <c r="I2862" s="3">
        <v>0</v>
      </c>
      <c r="J2862" s="3">
        <v>0</v>
      </c>
      <c r="K2862" s="3">
        <v>6500</v>
      </c>
    </row>
    <row r="2863" spans="1:11" x14ac:dyDescent="0.2">
      <c r="A2863" s="1" t="s">
        <v>4994</v>
      </c>
      <c r="B2863" s="1" t="s">
        <v>3587</v>
      </c>
      <c r="C2863" s="1"/>
      <c r="D2863" s="1"/>
      <c r="E2863" s="1"/>
      <c r="F2863" s="1"/>
      <c r="G2863" s="1"/>
      <c r="H2863" s="1" t="str">
        <f>"7803504001725"</f>
        <v>7803504001725</v>
      </c>
      <c r="I2863" s="3">
        <v>0</v>
      </c>
      <c r="J2863" s="3">
        <v>0</v>
      </c>
      <c r="K2863" s="3">
        <v>3000</v>
      </c>
    </row>
    <row r="2864" spans="1:11" x14ac:dyDescent="0.2">
      <c r="A2864" s="1" t="s">
        <v>4994</v>
      </c>
      <c r="B2864" s="1" t="s">
        <v>3588</v>
      </c>
      <c r="C2864" s="1"/>
      <c r="D2864" s="1"/>
      <c r="E2864" s="1"/>
      <c r="F2864" s="1"/>
      <c r="G2864" s="1"/>
      <c r="H2864" s="1" t="str">
        <f>"7804900000534"</f>
        <v>7804900000534</v>
      </c>
      <c r="I2864" s="3">
        <v>0</v>
      </c>
      <c r="J2864" s="3">
        <v>0</v>
      </c>
      <c r="K2864" s="3">
        <v>1700</v>
      </c>
    </row>
    <row r="2865" spans="1:11" x14ac:dyDescent="0.2">
      <c r="A2865" s="1" t="s">
        <v>4994</v>
      </c>
      <c r="B2865" s="1" t="s">
        <v>3589</v>
      </c>
      <c r="C2865" s="1"/>
      <c r="D2865" s="1"/>
      <c r="E2865" s="1"/>
      <c r="F2865" s="1"/>
      <c r="G2865" s="1"/>
      <c r="H2865" s="1" t="str">
        <f>"7804640170130"</f>
        <v>7804640170130</v>
      </c>
      <c r="I2865" s="3">
        <v>0</v>
      </c>
      <c r="J2865" s="3">
        <v>0</v>
      </c>
      <c r="K2865" s="3">
        <v>6000</v>
      </c>
    </row>
    <row r="2866" spans="1:11" x14ac:dyDescent="0.2">
      <c r="A2866" s="1" t="s">
        <v>4994</v>
      </c>
      <c r="B2866" s="1" t="s">
        <v>3590</v>
      </c>
      <c r="C2866" s="1"/>
      <c r="D2866" s="1"/>
      <c r="E2866" s="1"/>
      <c r="F2866" s="1"/>
      <c r="G2866" s="1"/>
      <c r="H2866" s="1" t="str">
        <f>"7793100111891"</f>
        <v>7793100111891</v>
      </c>
      <c r="I2866" s="3">
        <v>0</v>
      </c>
      <c r="J2866" s="3">
        <v>0</v>
      </c>
      <c r="K2866" s="3">
        <v>1470</v>
      </c>
    </row>
    <row r="2867" spans="1:11" x14ac:dyDescent="0.2">
      <c r="A2867" s="1" t="s">
        <v>4994</v>
      </c>
      <c r="B2867" s="1" t="s">
        <v>3591</v>
      </c>
      <c r="C2867" s="1"/>
      <c r="D2867" s="1"/>
      <c r="E2867" s="1"/>
      <c r="F2867" s="1"/>
      <c r="G2867" s="1"/>
      <c r="H2867" s="1" t="str">
        <f>"8427426035355"</f>
        <v>8427426035355</v>
      </c>
      <c r="I2867" s="3">
        <v>6</v>
      </c>
      <c r="J2867" s="3">
        <v>0</v>
      </c>
      <c r="K2867" s="3">
        <v>6000</v>
      </c>
    </row>
    <row r="2868" spans="1:11" x14ac:dyDescent="0.2">
      <c r="A2868" s="1" t="s">
        <v>4994</v>
      </c>
      <c r="B2868" s="1" t="s">
        <v>3592</v>
      </c>
      <c r="C2868" s="1"/>
      <c r="D2868" s="1"/>
      <c r="E2868" s="1"/>
      <c r="F2868" s="1"/>
      <c r="G2868" s="1"/>
      <c r="H2868" s="1" t="str">
        <f>"8427426027893"</f>
        <v>8427426027893</v>
      </c>
      <c r="I2868" s="3">
        <v>20</v>
      </c>
      <c r="J2868" s="3">
        <v>0</v>
      </c>
      <c r="K2868" s="3">
        <v>3500</v>
      </c>
    </row>
    <row r="2869" spans="1:11" x14ac:dyDescent="0.2">
      <c r="A2869" s="1" t="s">
        <v>4994</v>
      </c>
      <c r="B2869" s="1" t="s">
        <v>3593</v>
      </c>
      <c r="C2869" s="1"/>
      <c r="D2869" s="1"/>
      <c r="E2869" s="1"/>
      <c r="F2869" s="1"/>
      <c r="G2869" s="1"/>
      <c r="H2869" s="1" t="str">
        <f>"7800044002076"</f>
        <v>7800044002076</v>
      </c>
      <c r="I2869" s="3">
        <v>5</v>
      </c>
      <c r="J2869" s="3">
        <v>0</v>
      </c>
      <c r="K2869" s="3">
        <v>4000</v>
      </c>
    </row>
    <row r="2870" spans="1:11" x14ac:dyDescent="0.2">
      <c r="A2870" s="1" t="s">
        <v>4994</v>
      </c>
      <c r="B2870" s="1" t="s">
        <v>3594</v>
      </c>
      <c r="C2870" s="1"/>
      <c r="D2870" s="1"/>
      <c r="E2870" s="1"/>
      <c r="F2870" s="1"/>
      <c r="G2870" s="1"/>
      <c r="H2870" s="1" t="str">
        <f>"7800044000102"</f>
        <v>7800044000102</v>
      </c>
      <c r="I2870" s="3">
        <v>4</v>
      </c>
      <c r="J2870" s="3">
        <v>0</v>
      </c>
      <c r="K2870" s="3">
        <v>2000</v>
      </c>
    </row>
    <row r="2871" spans="1:11" x14ac:dyDescent="0.2">
      <c r="A2871" s="1" t="s">
        <v>4994</v>
      </c>
      <c r="B2871" s="1" t="s">
        <v>3595</v>
      </c>
      <c r="C2871" s="1"/>
      <c r="D2871" s="1"/>
      <c r="E2871" s="1"/>
      <c r="F2871" s="1"/>
      <c r="G2871" s="1"/>
      <c r="H2871" s="1" t="str">
        <f>"7800044002052"</f>
        <v>7800044002052</v>
      </c>
      <c r="I2871" s="3">
        <v>0</v>
      </c>
      <c r="J2871" s="3">
        <v>0</v>
      </c>
      <c r="K2871" s="3">
        <v>2500</v>
      </c>
    </row>
    <row r="2872" spans="1:11" x14ac:dyDescent="0.2">
      <c r="A2872" s="1" t="s">
        <v>4994</v>
      </c>
      <c r="B2872" s="1" t="s">
        <v>3596</v>
      </c>
      <c r="C2872" s="1"/>
      <c r="D2872" s="1"/>
      <c r="E2872" s="1"/>
      <c r="F2872" s="1"/>
      <c r="G2872" s="1"/>
      <c r="H2872" s="1" t="str">
        <f>"7501065064585"</f>
        <v>7501065064585</v>
      </c>
      <c r="I2872" s="3">
        <v>0</v>
      </c>
      <c r="J2872" s="3">
        <v>0</v>
      </c>
      <c r="K2872" s="3">
        <v>6250</v>
      </c>
    </row>
    <row r="2873" spans="1:11" x14ac:dyDescent="0.2">
      <c r="A2873" s="1" t="s">
        <v>4994</v>
      </c>
      <c r="B2873" s="1" t="s">
        <v>3597</v>
      </c>
      <c r="C2873" s="1"/>
      <c r="D2873" s="1"/>
      <c r="E2873" s="1"/>
      <c r="F2873" s="1"/>
      <c r="G2873" s="1"/>
      <c r="H2873" s="1" t="str">
        <f>"7805633020479"</f>
        <v>7805633020479</v>
      </c>
      <c r="I2873" s="3">
        <v>11</v>
      </c>
      <c r="J2873" s="3">
        <v>0</v>
      </c>
      <c r="K2873" s="3">
        <v>1500</v>
      </c>
    </row>
    <row r="2874" spans="1:11" x14ac:dyDescent="0.2">
      <c r="A2874" s="1" t="s">
        <v>4994</v>
      </c>
      <c r="B2874" s="1" t="s">
        <v>3598</v>
      </c>
      <c r="C2874" s="1"/>
      <c r="D2874" s="1"/>
      <c r="E2874" s="1"/>
      <c r="F2874" s="1"/>
      <c r="G2874" s="1"/>
      <c r="H2874" s="1" t="str">
        <f>"6921199300334"</f>
        <v>6921199300334</v>
      </c>
      <c r="I2874" s="3">
        <v>5</v>
      </c>
      <c r="J2874" s="3">
        <v>0</v>
      </c>
      <c r="K2874" s="3">
        <v>2000</v>
      </c>
    </row>
    <row r="2875" spans="1:11" x14ac:dyDescent="0.2">
      <c r="A2875" s="1" t="s">
        <v>4994</v>
      </c>
      <c r="B2875" s="1" t="s">
        <v>3599</v>
      </c>
      <c r="C2875" s="1"/>
      <c r="D2875" s="1"/>
      <c r="E2875" s="1"/>
      <c r="F2875" s="1"/>
      <c r="G2875" s="1"/>
      <c r="H2875" s="1" t="str">
        <f>"7804677070075"</f>
        <v>7804677070075</v>
      </c>
      <c r="I2875" s="3">
        <v>3</v>
      </c>
      <c r="J2875" s="3">
        <v>0</v>
      </c>
      <c r="K2875" s="3">
        <v>2500</v>
      </c>
    </row>
    <row r="2876" spans="1:11" x14ac:dyDescent="0.2">
      <c r="A2876" s="1" t="s">
        <v>4994</v>
      </c>
      <c r="B2876" s="1" t="s">
        <v>3601</v>
      </c>
      <c r="C2876" s="1"/>
      <c r="D2876" s="1"/>
      <c r="E2876" s="1"/>
      <c r="F2876" s="1"/>
      <c r="G2876" s="1"/>
      <c r="H2876" s="1" t="str">
        <f>"2010380121743"</f>
        <v>2010380121743</v>
      </c>
      <c r="I2876" s="3">
        <v>0</v>
      </c>
      <c r="J2876" s="3">
        <v>0</v>
      </c>
      <c r="K2876" s="3">
        <v>5000</v>
      </c>
    </row>
    <row r="2877" spans="1:11" x14ac:dyDescent="0.2">
      <c r="A2877" s="1" t="s">
        <v>4994</v>
      </c>
      <c r="B2877" s="1" t="s">
        <v>3602</v>
      </c>
      <c r="C2877" s="1"/>
      <c r="D2877" s="1"/>
      <c r="E2877" s="1"/>
      <c r="F2877" s="1"/>
      <c r="G2877" s="1"/>
      <c r="H2877" s="1" t="str">
        <f>"7896548197332"</f>
        <v>7896548197332</v>
      </c>
      <c r="I2877" s="3">
        <v>4</v>
      </c>
      <c r="J2877" s="3">
        <v>0</v>
      </c>
      <c r="K2877" s="3">
        <v>40000</v>
      </c>
    </row>
    <row r="2878" spans="1:11" x14ac:dyDescent="0.2">
      <c r="A2878" s="1" t="s">
        <v>4994</v>
      </c>
      <c r="B2878" s="1" t="s">
        <v>3603</v>
      </c>
      <c r="C2878" s="1"/>
      <c r="D2878" s="1"/>
      <c r="E2878" s="1"/>
      <c r="F2878" s="1"/>
      <c r="G2878" s="1"/>
      <c r="H2878" s="1" t="str">
        <f>"7800060011861"</f>
        <v>7800060011861</v>
      </c>
      <c r="I2878" s="3">
        <v>0</v>
      </c>
      <c r="J2878" s="3">
        <v>0</v>
      </c>
      <c r="K2878" s="3">
        <v>18000</v>
      </c>
    </row>
    <row r="2879" spans="1:11" x14ac:dyDescent="0.2">
      <c r="A2879" s="1" t="s">
        <v>4994</v>
      </c>
      <c r="B2879" s="1" t="s">
        <v>3604</v>
      </c>
      <c r="C2879" s="1"/>
      <c r="D2879" s="1"/>
      <c r="E2879" s="1"/>
      <c r="F2879" s="1"/>
      <c r="G2879" s="1"/>
      <c r="H2879" s="1" t="str">
        <f>"7800060011854"</f>
        <v>7800060011854</v>
      </c>
      <c r="I2879" s="3">
        <v>0</v>
      </c>
      <c r="J2879" s="3">
        <v>0</v>
      </c>
      <c r="K2879" s="3">
        <v>13500</v>
      </c>
    </row>
    <row r="2880" spans="1:11" x14ac:dyDescent="0.2">
      <c r="A2880" s="1" t="s">
        <v>4994</v>
      </c>
      <c r="B2880" s="1" t="s">
        <v>3608</v>
      </c>
      <c r="C2880" s="1"/>
      <c r="D2880" s="1"/>
      <c r="E2880" s="1"/>
      <c r="F2880" s="1"/>
      <c r="G2880" s="1"/>
      <c r="H2880" s="1" t="str">
        <f>"8886451011701"</f>
        <v>8886451011701</v>
      </c>
      <c r="I2880" s="3">
        <v>0</v>
      </c>
      <c r="J2880" s="3">
        <v>0</v>
      </c>
      <c r="K2880" s="3">
        <v>20000</v>
      </c>
    </row>
    <row r="2881" spans="1:11" x14ac:dyDescent="0.2">
      <c r="A2881" s="1" t="s">
        <v>4994</v>
      </c>
      <c r="B2881" s="1" t="s">
        <v>3609</v>
      </c>
      <c r="C2881" s="1"/>
      <c r="D2881" s="1"/>
      <c r="E2881" s="1"/>
      <c r="F2881" s="1"/>
      <c r="G2881" s="1"/>
      <c r="H2881" s="1" t="str">
        <f>"7804907997820"</f>
        <v>7804907997820</v>
      </c>
      <c r="I2881" s="3">
        <v>0</v>
      </c>
      <c r="J2881" s="3">
        <v>0</v>
      </c>
      <c r="K2881" s="3">
        <v>7500</v>
      </c>
    </row>
    <row r="2882" spans="1:11" x14ac:dyDescent="0.2">
      <c r="A2882" s="1" t="s">
        <v>4994</v>
      </c>
      <c r="B2882" s="1" t="s">
        <v>3610</v>
      </c>
      <c r="C2882" s="1"/>
      <c r="D2882" s="1"/>
      <c r="E2882" s="1"/>
      <c r="F2882" s="1"/>
      <c r="G2882" s="1"/>
      <c r="H2882" s="1" t="str">
        <f>"7804969800229"</f>
        <v>7804969800229</v>
      </c>
      <c r="I2882" s="3">
        <v>0</v>
      </c>
      <c r="J2882" s="3">
        <v>0</v>
      </c>
      <c r="K2882" s="3">
        <v>1500</v>
      </c>
    </row>
    <row r="2883" spans="1:11" x14ac:dyDescent="0.2">
      <c r="A2883" s="1" t="s">
        <v>4994</v>
      </c>
      <c r="B2883" s="1" t="s">
        <v>3611</v>
      </c>
      <c r="C2883" s="1"/>
      <c r="D2883" s="1"/>
      <c r="E2883" s="1"/>
      <c r="F2883" s="1"/>
      <c r="G2883" s="1"/>
      <c r="H2883" s="1" t="str">
        <f>"7804969800533"</f>
        <v>7804969800533</v>
      </c>
      <c r="I2883" s="3">
        <v>0</v>
      </c>
      <c r="J2883" s="3">
        <v>0</v>
      </c>
      <c r="K2883" s="3">
        <v>2500</v>
      </c>
    </row>
    <row r="2884" spans="1:11" x14ac:dyDescent="0.2">
      <c r="A2884" s="1" t="s">
        <v>4994</v>
      </c>
      <c r="B2884" s="1" t="s">
        <v>3612</v>
      </c>
      <c r="C2884" s="1"/>
      <c r="D2884" s="1"/>
      <c r="E2884" s="1"/>
      <c r="F2884" s="1"/>
      <c r="G2884" s="1"/>
      <c r="H2884" s="1" t="str">
        <f>"7891537286202"</f>
        <v>7891537286202</v>
      </c>
      <c r="I2884" s="3">
        <v>0</v>
      </c>
      <c r="J2884" s="3">
        <v>0</v>
      </c>
      <c r="K2884" s="3">
        <v>3000</v>
      </c>
    </row>
    <row r="2885" spans="1:11" x14ac:dyDescent="0.2">
      <c r="A2885" s="1" t="s">
        <v>4994</v>
      </c>
      <c r="B2885" s="1" t="s">
        <v>3613</v>
      </c>
      <c r="C2885" s="1"/>
      <c r="D2885" s="1"/>
      <c r="E2885" s="1"/>
      <c r="F2885" s="1"/>
      <c r="G2885" s="1"/>
      <c r="H2885" s="1" t="str">
        <f>"4902508106511"</f>
        <v>4902508106511</v>
      </c>
      <c r="I2885" s="3">
        <v>0</v>
      </c>
      <c r="J2885" s="3">
        <v>0</v>
      </c>
      <c r="K2885" s="3">
        <v>5500</v>
      </c>
    </row>
    <row r="2886" spans="1:11" x14ac:dyDescent="0.2">
      <c r="A2886" s="1" t="s">
        <v>4994</v>
      </c>
      <c r="B2886" s="1" t="s">
        <v>3614</v>
      </c>
      <c r="C2886" s="1"/>
      <c r="D2886" s="1"/>
      <c r="E2886" s="1"/>
      <c r="F2886" s="1"/>
      <c r="G2886" s="1"/>
      <c r="H2886" s="1" t="str">
        <f>"7891537300458"</f>
        <v>7891537300458</v>
      </c>
      <c r="I2886" s="3">
        <v>0</v>
      </c>
      <c r="J2886" s="3">
        <v>0</v>
      </c>
      <c r="K2886" s="3">
        <v>500</v>
      </c>
    </row>
    <row r="2887" spans="1:11" x14ac:dyDescent="0.2">
      <c r="A2887" s="1" t="s">
        <v>4994</v>
      </c>
      <c r="B2887" s="1" t="s">
        <v>3615</v>
      </c>
      <c r="C2887" s="1"/>
      <c r="D2887" s="1"/>
      <c r="E2887" s="1"/>
      <c r="F2887" s="1"/>
      <c r="G2887" s="1"/>
      <c r="H2887" s="1" t="str">
        <f>"7708725270144"</f>
        <v>7708725270144</v>
      </c>
      <c r="I2887" s="3">
        <v>0</v>
      </c>
      <c r="J2887" s="3">
        <v>0</v>
      </c>
      <c r="K2887" s="3">
        <v>2000</v>
      </c>
    </row>
    <row r="2888" spans="1:11" x14ac:dyDescent="0.2">
      <c r="A2888" s="1" t="s">
        <v>4994</v>
      </c>
      <c r="B2888" s="1" t="s">
        <v>3616</v>
      </c>
      <c r="C2888" s="1"/>
      <c r="D2888" s="1"/>
      <c r="E2888" s="1"/>
      <c r="F2888" s="1"/>
      <c r="G2888" s="1"/>
      <c r="H2888" s="1" t="str">
        <f>"7708089795765"</f>
        <v>7708089795765</v>
      </c>
      <c r="I2888" s="3">
        <v>0</v>
      </c>
      <c r="J2888" s="3">
        <v>0</v>
      </c>
      <c r="K2888" s="3">
        <v>2000</v>
      </c>
    </row>
    <row r="2889" spans="1:11" x14ac:dyDescent="0.2">
      <c r="A2889" s="1" t="s">
        <v>4994</v>
      </c>
      <c r="B2889" s="1" t="s">
        <v>3617</v>
      </c>
      <c r="C2889" s="1"/>
      <c r="D2889" s="1"/>
      <c r="E2889" s="1"/>
      <c r="F2889" s="1"/>
      <c r="G2889" s="1"/>
      <c r="H2889" s="1" t="str">
        <f>"7460536557301"</f>
        <v>7460536557301</v>
      </c>
      <c r="I2889" s="3">
        <v>4</v>
      </c>
      <c r="J2889" s="3">
        <v>0</v>
      </c>
      <c r="K2889" s="3">
        <v>11000</v>
      </c>
    </row>
    <row r="2890" spans="1:11" x14ac:dyDescent="0.2">
      <c r="A2890" s="1" t="s">
        <v>4994</v>
      </c>
      <c r="B2890" s="1" t="s">
        <v>3620</v>
      </c>
      <c r="C2890" s="1"/>
      <c r="D2890" s="1"/>
      <c r="E2890" s="1"/>
      <c r="F2890" s="1"/>
      <c r="G2890" s="1"/>
      <c r="H2890" s="1" t="str">
        <f>"7800086712117"</f>
        <v>7800086712117</v>
      </c>
      <c r="I2890" s="3">
        <v>0</v>
      </c>
      <c r="J2890" s="3">
        <v>0</v>
      </c>
      <c r="K2890" s="3">
        <v>6000</v>
      </c>
    </row>
    <row r="2891" spans="1:11" x14ac:dyDescent="0.2">
      <c r="A2891" s="1" t="s">
        <v>4994</v>
      </c>
      <c r="B2891" s="1" t="s">
        <v>3622</v>
      </c>
      <c r="C2891" s="1"/>
      <c r="D2891" s="1"/>
      <c r="E2891" s="1"/>
      <c r="F2891" s="1"/>
      <c r="G2891" s="1"/>
      <c r="H2891" s="1" t="str">
        <f>"7800063132327"</f>
        <v>7800063132327</v>
      </c>
      <c r="I2891" s="3">
        <v>0</v>
      </c>
      <c r="J2891" s="3">
        <v>0</v>
      </c>
      <c r="K2891" s="3">
        <v>4500</v>
      </c>
    </row>
    <row r="2892" spans="1:11" x14ac:dyDescent="0.2">
      <c r="A2892" s="1" t="s">
        <v>4994</v>
      </c>
      <c r="B2892" s="1" t="s">
        <v>3623</v>
      </c>
      <c r="C2892" s="1"/>
      <c r="D2892" s="1"/>
      <c r="E2892" s="1"/>
      <c r="F2892" s="1"/>
      <c r="G2892" s="1"/>
      <c r="H2892" s="1" t="str">
        <f>"9001001000618"</f>
        <v>9001001000618</v>
      </c>
      <c r="I2892" s="3">
        <v>2</v>
      </c>
      <c r="J2892" s="3">
        <v>0</v>
      </c>
      <c r="K2892" s="3">
        <v>6500</v>
      </c>
    </row>
    <row r="2893" spans="1:11" x14ac:dyDescent="0.2">
      <c r="A2893" s="1" t="s">
        <v>4994</v>
      </c>
      <c r="B2893" s="1" t="s">
        <v>3624</v>
      </c>
      <c r="C2893" s="1"/>
      <c r="D2893" s="1"/>
      <c r="E2893" s="1"/>
      <c r="F2893" s="1"/>
      <c r="G2893" s="1"/>
      <c r="H2893" s="1" t="str">
        <f>"7805000172497"</f>
        <v>7805000172497</v>
      </c>
      <c r="I2893" s="3">
        <v>0</v>
      </c>
      <c r="J2893" s="3">
        <v>0</v>
      </c>
      <c r="K2893" s="3">
        <v>4000</v>
      </c>
    </row>
    <row r="2894" spans="1:11" x14ac:dyDescent="0.2">
      <c r="A2894" s="1" t="s">
        <v>4994</v>
      </c>
      <c r="B2894" s="1" t="s">
        <v>3625</v>
      </c>
      <c r="C2894" s="1"/>
      <c r="D2894" s="1"/>
      <c r="E2894" s="1"/>
      <c r="F2894" s="1"/>
      <c r="G2894" s="1"/>
      <c r="H2894" s="1" t="str">
        <f>"7805000323165"</f>
        <v>7805000323165</v>
      </c>
      <c r="I2894" s="3">
        <v>0</v>
      </c>
      <c r="J2894" s="3">
        <v>0</v>
      </c>
      <c r="K2894" s="3">
        <v>1000</v>
      </c>
    </row>
    <row r="2895" spans="1:11" x14ac:dyDescent="0.2">
      <c r="A2895" s="1" t="s">
        <v>4994</v>
      </c>
      <c r="B2895" s="1" t="s">
        <v>3626</v>
      </c>
      <c r="C2895" s="1"/>
      <c r="D2895" s="1"/>
      <c r="E2895" s="1"/>
      <c r="F2895" s="1"/>
      <c r="G2895" s="1"/>
      <c r="H2895" s="1" t="str">
        <f>"7805000180874"</f>
        <v>7805000180874</v>
      </c>
      <c r="I2895" s="3">
        <v>0</v>
      </c>
      <c r="J2895" s="3">
        <v>0</v>
      </c>
      <c r="K2895" s="3">
        <v>1500</v>
      </c>
    </row>
    <row r="2896" spans="1:11" x14ac:dyDescent="0.2">
      <c r="A2896" s="1" t="s">
        <v>4994</v>
      </c>
      <c r="B2896" s="1" t="s">
        <v>3627</v>
      </c>
      <c r="C2896" s="1"/>
      <c r="D2896" s="1"/>
      <c r="E2896" s="1"/>
      <c r="F2896" s="1"/>
      <c r="G2896" s="1"/>
      <c r="H2896" s="1" t="str">
        <f>"7891150094802"</f>
        <v>7891150094802</v>
      </c>
      <c r="I2896" s="3">
        <v>0</v>
      </c>
      <c r="J2896" s="3">
        <v>0</v>
      </c>
      <c r="K2896" s="3">
        <v>1500</v>
      </c>
    </row>
    <row r="2897" spans="1:11" x14ac:dyDescent="0.2">
      <c r="A2897" s="1" t="s">
        <v>4994</v>
      </c>
      <c r="B2897" s="1" t="s">
        <v>3628</v>
      </c>
      <c r="C2897" s="1"/>
      <c r="D2897" s="1"/>
      <c r="E2897" s="1"/>
      <c r="F2897" s="1"/>
      <c r="G2897" s="1"/>
      <c r="H2897" s="1" t="str">
        <f>"6902088603828"</f>
        <v>6902088603828</v>
      </c>
      <c r="I2897" s="3">
        <v>0</v>
      </c>
      <c r="J2897" s="3">
        <v>0</v>
      </c>
      <c r="K2897" s="3">
        <v>1500</v>
      </c>
    </row>
    <row r="2898" spans="1:11" x14ac:dyDescent="0.2">
      <c r="A2898" s="1" t="s">
        <v>4994</v>
      </c>
      <c r="B2898" s="1" t="s">
        <v>3628</v>
      </c>
      <c r="C2898" s="1"/>
      <c r="D2898" s="1"/>
      <c r="E2898" s="1"/>
      <c r="F2898" s="1"/>
      <c r="G2898" s="1"/>
      <c r="H2898" s="1" t="str">
        <f>"7891150090231"</f>
        <v>7891150090231</v>
      </c>
      <c r="I2898" s="3">
        <v>0</v>
      </c>
      <c r="J2898" s="3">
        <v>0</v>
      </c>
      <c r="K2898" s="3">
        <v>1500</v>
      </c>
    </row>
    <row r="2899" spans="1:11" x14ac:dyDescent="0.2">
      <c r="A2899" s="1" t="s">
        <v>4994</v>
      </c>
      <c r="B2899" s="1" t="s">
        <v>3629</v>
      </c>
      <c r="C2899" s="1"/>
      <c r="D2899" s="1"/>
      <c r="E2899" s="1"/>
      <c r="F2899" s="1"/>
      <c r="G2899" s="1"/>
      <c r="H2899" s="1" t="str">
        <f>"7805000180898"</f>
        <v>7805000180898</v>
      </c>
      <c r="I2899" s="3">
        <v>0</v>
      </c>
      <c r="J2899" s="3">
        <v>0</v>
      </c>
      <c r="K2899" s="3">
        <v>3000</v>
      </c>
    </row>
    <row r="2900" spans="1:11" x14ac:dyDescent="0.2">
      <c r="A2900" s="1" t="s">
        <v>4994</v>
      </c>
      <c r="B2900" s="1" t="s">
        <v>3630</v>
      </c>
      <c r="C2900" s="1"/>
      <c r="D2900" s="1"/>
      <c r="E2900" s="1"/>
      <c r="F2900" s="1"/>
      <c r="G2900" s="1"/>
      <c r="H2900" s="1" t="str">
        <f>"7806130200166"</f>
        <v>7806130200166</v>
      </c>
      <c r="I2900" s="3">
        <v>0</v>
      </c>
      <c r="J2900" s="3">
        <v>0</v>
      </c>
      <c r="K2900" s="3">
        <v>5000</v>
      </c>
    </row>
    <row r="2901" spans="1:11" x14ac:dyDescent="0.2">
      <c r="A2901" s="1" t="s">
        <v>4994</v>
      </c>
      <c r="B2901" s="1" t="s">
        <v>3631</v>
      </c>
      <c r="C2901" s="1"/>
      <c r="D2901" s="1"/>
      <c r="E2901" s="1"/>
      <c r="F2901" s="1"/>
      <c r="G2901" s="1"/>
      <c r="H2901" s="1" t="str">
        <f>"7806130200142"</f>
        <v>7806130200142</v>
      </c>
      <c r="I2901" s="3">
        <v>0</v>
      </c>
      <c r="J2901" s="3">
        <v>0</v>
      </c>
      <c r="K2901" s="3">
        <v>3000</v>
      </c>
    </row>
    <row r="2902" spans="1:11" x14ac:dyDescent="0.2">
      <c r="A2902" s="1" t="s">
        <v>4994</v>
      </c>
      <c r="B2902" s="1" t="s">
        <v>3632</v>
      </c>
      <c r="C2902" s="1"/>
      <c r="D2902" s="1"/>
      <c r="E2902" s="1"/>
      <c r="F2902" s="1"/>
      <c r="G2902" s="1"/>
      <c r="H2902" s="1" t="str">
        <f>"7804972613113"</f>
        <v>7804972613113</v>
      </c>
      <c r="I2902" s="3">
        <v>0</v>
      </c>
      <c r="J2902" s="3">
        <v>0</v>
      </c>
      <c r="K2902" s="3">
        <v>3500</v>
      </c>
    </row>
    <row r="2903" spans="1:11" x14ac:dyDescent="0.2">
      <c r="A2903" s="1" t="s">
        <v>4994</v>
      </c>
      <c r="B2903" s="1" t="s">
        <v>3634</v>
      </c>
      <c r="C2903" s="1"/>
      <c r="D2903" s="1"/>
      <c r="E2903" s="1"/>
      <c r="F2903" s="1"/>
      <c r="G2903" s="1"/>
      <c r="H2903" s="1" t="str">
        <f>"76125512861669"</f>
        <v>76125512861669</v>
      </c>
      <c r="I2903" s="3">
        <v>20</v>
      </c>
      <c r="J2903" s="3">
        <v>0</v>
      </c>
      <c r="K2903" s="3">
        <v>10000</v>
      </c>
    </row>
    <row r="2904" spans="1:11" x14ac:dyDescent="0.2">
      <c r="A2904" s="1" t="s">
        <v>4994</v>
      </c>
      <c r="B2904" s="1" t="s">
        <v>3635</v>
      </c>
      <c r="C2904" s="1"/>
      <c r="D2904" s="1"/>
      <c r="E2904" s="1"/>
      <c r="F2904" s="1"/>
      <c r="G2904" s="1"/>
      <c r="H2904" s="1" t="str">
        <f>"76125537567713"</f>
        <v>76125537567713</v>
      </c>
      <c r="I2904" s="3">
        <v>20</v>
      </c>
      <c r="J2904" s="3">
        <v>0</v>
      </c>
      <c r="K2904" s="3">
        <v>10000</v>
      </c>
    </row>
    <row r="2905" spans="1:11" x14ac:dyDescent="0.2">
      <c r="A2905" s="1" t="s">
        <v>4994</v>
      </c>
      <c r="B2905" s="1" t="s">
        <v>3637</v>
      </c>
      <c r="C2905" s="1"/>
      <c r="D2905" s="1"/>
      <c r="E2905" s="1"/>
      <c r="F2905" s="1"/>
      <c r="G2905" s="1"/>
      <c r="H2905" s="1" t="str">
        <f>"8411061401200"</f>
        <v>8411061401200</v>
      </c>
      <c r="I2905" s="3">
        <v>2</v>
      </c>
      <c r="J2905" s="3">
        <v>0</v>
      </c>
      <c r="K2905" s="3">
        <v>18000</v>
      </c>
    </row>
    <row r="2906" spans="1:11" x14ac:dyDescent="0.2">
      <c r="A2906" s="1" t="s">
        <v>4994</v>
      </c>
      <c r="B2906" s="1" t="s">
        <v>3638</v>
      </c>
      <c r="C2906" s="1"/>
      <c r="D2906" s="1"/>
      <c r="E2906" s="1"/>
      <c r="F2906" s="1"/>
      <c r="G2906" s="1"/>
      <c r="H2906" s="1" t="str">
        <f>"8411061849361841106184936"</f>
        <v>8411061849361841106184936</v>
      </c>
      <c r="I2906" s="3">
        <v>0</v>
      </c>
      <c r="J2906" s="3">
        <v>0</v>
      </c>
      <c r="K2906" s="3">
        <v>23000</v>
      </c>
    </row>
    <row r="2907" spans="1:11" x14ac:dyDescent="0.2">
      <c r="A2907" s="1" t="s">
        <v>4994</v>
      </c>
      <c r="B2907" s="1" t="s">
        <v>3639</v>
      </c>
      <c r="C2907" s="1"/>
      <c r="D2907" s="1"/>
      <c r="E2907" s="1"/>
      <c r="F2907" s="1"/>
      <c r="G2907" s="1"/>
      <c r="H2907" s="1" t="str">
        <f>"8411061849378"</f>
        <v>8411061849378</v>
      </c>
      <c r="I2907" s="3">
        <v>0</v>
      </c>
      <c r="J2907" s="3">
        <v>0</v>
      </c>
      <c r="K2907" s="3">
        <v>14000</v>
      </c>
    </row>
    <row r="2908" spans="1:11" x14ac:dyDescent="0.2">
      <c r="A2908" s="1" t="s">
        <v>4994</v>
      </c>
      <c r="B2908" s="1" t="s">
        <v>3640</v>
      </c>
      <c r="C2908" s="1"/>
      <c r="D2908" s="1"/>
      <c r="E2908" s="1"/>
      <c r="F2908" s="1"/>
      <c r="G2908" s="1"/>
      <c r="H2908" s="1" t="str">
        <f>"7804902042785"</f>
        <v>7804902042785</v>
      </c>
      <c r="I2908" s="3">
        <v>0</v>
      </c>
      <c r="J2908" s="3">
        <v>0</v>
      </c>
      <c r="K2908" s="3">
        <v>14000</v>
      </c>
    </row>
    <row r="2909" spans="1:11" x14ac:dyDescent="0.2">
      <c r="A2909" s="1" t="s">
        <v>4994</v>
      </c>
      <c r="B2909" s="1" t="s">
        <v>3641</v>
      </c>
      <c r="C2909" s="1"/>
      <c r="D2909" s="1"/>
      <c r="E2909" s="1"/>
      <c r="F2909" s="1"/>
      <c r="G2909" s="1"/>
      <c r="H2909" s="1" t="str">
        <f>"8427426041820"</f>
        <v>8427426041820</v>
      </c>
      <c r="I2909" s="3">
        <v>0</v>
      </c>
      <c r="J2909" s="3">
        <v>0</v>
      </c>
      <c r="K2909" s="3">
        <v>8000</v>
      </c>
    </row>
    <row r="2910" spans="1:11" x14ac:dyDescent="0.2">
      <c r="A2910" s="1" t="s">
        <v>4994</v>
      </c>
      <c r="B2910" s="1" t="s">
        <v>3642</v>
      </c>
      <c r="C2910" s="1"/>
      <c r="D2910" s="1"/>
      <c r="E2910" s="1"/>
      <c r="F2910" s="1"/>
      <c r="G2910" s="1"/>
      <c r="H2910" s="1" t="str">
        <f>"8427426041851"</f>
        <v>8427426041851</v>
      </c>
      <c r="I2910" s="3">
        <v>0</v>
      </c>
      <c r="J2910" s="3">
        <v>0</v>
      </c>
      <c r="K2910" s="3">
        <v>8000</v>
      </c>
    </row>
    <row r="2911" spans="1:11" x14ac:dyDescent="0.2">
      <c r="A2911" s="1" t="s">
        <v>4994</v>
      </c>
      <c r="B2911" s="1" t="s">
        <v>3643</v>
      </c>
      <c r="C2911" s="1"/>
      <c r="D2911" s="1"/>
      <c r="E2911" s="1"/>
      <c r="F2911" s="1"/>
      <c r="G2911" s="1"/>
      <c r="H2911" s="1" t="str">
        <f>"8427426041844"</f>
        <v>8427426041844</v>
      </c>
      <c r="I2911" s="3">
        <v>6</v>
      </c>
      <c r="J2911" s="3">
        <v>0</v>
      </c>
      <c r="K2911" s="3">
        <v>6500</v>
      </c>
    </row>
    <row r="2912" spans="1:11" x14ac:dyDescent="0.2">
      <c r="A2912" s="1" t="s">
        <v>4994</v>
      </c>
      <c r="B2912" s="1" t="s">
        <v>3644</v>
      </c>
      <c r="C2912" s="1"/>
      <c r="D2912" s="1"/>
      <c r="E2912" s="1"/>
      <c r="F2912" s="1"/>
      <c r="G2912" s="1"/>
      <c r="H2912" s="1" t="str">
        <f>"8427426041813"</f>
        <v>8427426041813</v>
      </c>
      <c r="I2912" s="3">
        <v>6</v>
      </c>
      <c r="J2912" s="3">
        <v>0</v>
      </c>
      <c r="K2912" s="3">
        <v>5500</v>
      </c>
    </row>
    <row r="2913" spans="1:11" x14ac:dyDescent="0.2">
      <c r="A2913" s="1" t="s">
        <v>4994</v>
      </c>
      <c r="B2913" s="1" t="s">
        <v>3645</v>
      </c>
      <c r="C2913" s="1"/>
      <c r="D2913" s="1"/>
      <c r="E2913" s="1"/>
      <c r="F2913" s="1"/>
      <c r="G2913" s="1"/>
      <c r="H2913" s="1" t="str">
        <f>"76157385373273"</f>
        <v>76157385373273</v>
      </c>
      <c r="I2913" s="3">
        <v>8</v>
      </c>
      <c r="J2913" s="3">
        <v>0</v>
      </c>
      <c r="K2913" s="3">
        <v>4000</v>
      </c>
    </row>
    <row r="2914" spans="1:11" x14ac:dyDescent="0.2">
      <c r="A2914" s="1" t="s">
        <v>4994</v>
      </c>
      <c r="B2914" s="1" t="s">
        <v>3646</v>
      </c>
      <c r="C2914" s="1"/>
      <c r="D2914" s="1"/>
      <c r="E2914" s="1"/>
      <c r="F2914" s="1"/>
      <c r="G2914" s="1"/>
      <c r="H2914" s="1" t="str">
        <f>"7805357001358"</f>
        <v>7805357001358</v>
      </c>
      <c r="I2914" s="3">
        <v>2</v>
      </c>
      <c r="J2914" s="3">
        <v>0</v>
      </c>
      <c r="K2914" s="3">
        <v>500</v>
      </c>
    </row>
    <row r="2915" spans="1:11" x14ac:dyDescent="0.2">
      <c r="A2915" s="1" t="s">
        <v>4994</v>
      </c>
      <c r="B2915" s="1" t="s">
        <v>3648</v>
      </c>
      <c r="C2915" s="1"/>
      <c r="D2915" s="1"/>
      <c r="E2915" s="1"/>
      <c r="F2915" s="1"/>
      <c r="G2915" s="1"/>
      <c r="H2915" s="1" t="str">
        <f>"7800060153776"</f>
        <v>7800060153776</v>
      </c>
      <c r="I2915" s="3">
        <v>0</v>
      </c>
      <c r="J2915" s="3">
        <v>0</v>
      </c>
      <c r="K2915" s="3">
        <v>8000</v>
      </c>
    </row>
    <row r="2916" spans="1:11" x14ac:dyDescent="0.2">
      <c r="A2916" s="1" t="s">
        <v>4994</v>
      </c>
      <c r="B2916" s="1" t="s">
        <v>3649</v>
      </c>
      <c r="C2916" s="1"/>
      <c r="D2916" s="1"/>
      <c r="E2916" s="1"/>
      <c r="F2916" s="1"/>
      <c r="G2916" s="1"/>
      <c r="H2916" s="1" t="str">
        <f>"2000341113511"</f>
        <v>2000341113511</v>
      </c>
      <c r="I2916" s="3">
        <v>0</v>
      </c>
      <c r="J2916" s="3">
        <v>0</v>
      </c>
      <c r="K2916" s="3">
        <v>5000</v>
      </c>
    </row>
    <row r="2917" spans="1:11" x14ac:dyDescent="0.2">
      <c r="A2917" s="1" t="s">
        <v>4994</v>
      </c>
      <c r="B2917" s="1" t="s">
        <v>3652</v>
      </c>
      <c r="C2917" s="1"/>
      <c r="D2917" s="1"/>
      <c r="E2917" s="1"/>
      <c r="F2917" s="1"/>
      <c r="G2917" s="1"/>
      <c r="H2917" s="1" t="str">
        <f>"7003260006464"</f>
        <v>7003260006464</v>
      </c>
      <c r="I2917" s="3">
        <v>0</v>
      </c>
      <c r="J2917" s="3">
        <v>0</v>
      </c>
      <c r="K2917" s="3">
        <v>1000</v>
      </c>
    </row>
    <row r="2918" spans="1:11" x14ac:dyDescent="0.2">
      <c r="A2918" s="1" t="s">
        <v>4994</v>
      </c>
      <c r="B2918" s="1" t="s">
        <v>3653</v>
      </c>
      <c r="C2918" s="1"/>
      <c r="D2918" s="1"/>
      <c r="E2918" s="1"/>
      <c r="F2918" s="1"/>
      <c r="G2918" s="1"/>
      <c r="H2918" s="1" t="str">
        <f>"7805633025566"</f>
        <v>7805633025566</v>
      </c>
      <c r="I2918" s="3">
        <v>0</v>
      </c>
      <c r="J2918" s="3">
        <v>0</v>
      </c>
      <c r="K2918" s="3">
        <v>1500</v>
      </c>
    </row>
    <row r="2919" spans="1:11" x14ac:dyDescent="0.2">
      <c r="A2919" s="1" t="s">
        <v>4994</v>
      </c>
      <c r="B2919" s="1" t="s">
        <v>3654</v>
      </c>
      <c r="C2919" s="1"/>
      <c r="D2919" s="1"/>
      <c r="E2919" s="1"/>
      <c r="F2919" s="1"/>
      <c r="G2919" s="1"/>
      <c r="H2919" s="1" t="str">
        <f>"7805633025559"</f>
        <v>7805633025559</v>
      </c>
      <c r="I2919" s="3">
        <v>0</v>
      </c>
      <c r="J2919" s="3">
        <v>0</v>
      </c>
      <c r="K2919" s="3">
        <v>1000</v>
      </c>
    </row>
    <row r="2920" spans="1:11" x14ac:dyDescent="0.2">
      <c r="A2920" s="1" t="s">
        <v>4994</v>
      </c>
      <c r="B2920" s="1" t="s">
        <v>3655</v>
      </c>
      <c r="C2920" s="1"/>
      <c r="D2920" s="1"/>
      <c r="E2920" s="1"/>
      <c r="F2920" s="1"/>
      <c r="G2920" s="1"/>
      <c r="H2920" s="1" t="str">
        <f>"000002593654"</f>
        <v>000002593654</v>
      </c>
      <c r="I2920" s="3">
        <v>0</v>
      </c>
      <c r="J2920" s="3">
        <v>0</v>
      </c>
      <c r="K2920" s="3">
        <v>2000</v>
      </c>
    </row>
    <row r="2921" spans="1:11" x14ac:dyDescent="0.2">
      <c r="A2921" s="1" t="s">
        <v>4994</v>
      </c>
      <c r="B2921" s="1" t="s">
        <v>3658</v>
      </c>
      <c r="C2921" s="1"/>
      <c r="D2921" s="1"/>
      <c r="E2921" s="1"/>
      <c r="F2921" s="1"/>
      <c r="G2921" s="1"/>
      <c r="H2921" s="1" t="str">
        <f>"7804907916425"</f>
        <v>7804907916425</v>
      </c>
      <c r="I2921" s="3">
        <v>2</v>
      </c>
      <c r="J2921" s="3">
        <v>0</v>
      </c>
      <c r="K2921" s="3">
        <v>3500</v>
      </c>
    </row>
    <row r="2922" spans="1:11" x14ac:dyDescent="0.2">
      <c r="A2922" s="1" t="s">
        <v>4994</v>
      </c>
      <c r="B2922" s="1" t="s">
        <v>3659</v>
      </c>
      <c r="C2922" s="1"/>
      <c r="D2922" s="1"/>
      <c r="E2922" s="1"/>
      <c r="F2922" s="1"/>
      <c r="G2922" s="1"/>
      <c r="H2922" s="1" t="str">
        <f>"7804907962705"</f>
        <v>7804907962705</v>
      </c>
      <c r="I2922" s="3">
        <v>5</v>
      </c>
      <c r="J2922" s="3">
        <v>0</v>
      </c>
      <c r="K2922" s="3">
        <v>5000</v>
      </c>
    </row>
    <row r="2923" spans="1:11" x14ac:dyDescent="0.2">
      <c r="A2923" s="1" t="s">
        <v>4994</v>
      </c>
      <c r="B2923" s="1" t="s">
        <v>3660</v>
      </c>
      <c r="C2923" s="1"/>
      <c r="D2923" s="1"/>
      <c r="E2923" s="1"/>
      <c r="F2923" s="1"/>
      <c r="G2923" s="1"/>
      <c r="H2923" s="1" t="str">
        <f>"7804907980235"</f>
        <v>7804907980235</v>
      </c>
      <c r="I2923" s="3">
        <v>0</v>
      </c>
      <c r="J2923" s="3">
        <v>0</v>
      </c>
      <c r="K2923" s="3">
        <v>10000</v>
      </c>
    </row>
    <row r="2924" spans="1:11" x14ac:dyDescent="0.2">
      <c r="A2924" s="1" t="s">
        <v>4994</v>
      </c>
      <c r="B2924" s="1" t="s">
        <v>3661</v>
      </c>
      <c r="C2924" s="1"/>
      <c r="D2924" s="1"/>
      <c r="E2924" s="1"/>
      <c r="F2924" s="1"/>
      <c r="G2924" s="1"/>
      <c r="H2924" s="1" t="str">
        <f>"7804907875258"</f>
        <v>7804907875258</v>
      </c>
      <c r="I2924" s="3">
        <v>0</v>
      </c>
      <c r="J2924" s="3">
        <v>0</v>
      </c>
      <c r="K2924" s="3">
        <v>13000</v>
      </c>
    </row>
    <row r="2925" spans="1:11" x14ac:dyDescent="0.2">
      <c r="A2925" s="1" t="s">
        <v>4994</v>
      </c>
      <c r="B2925" s="1" t="s">
        <v>3662</v>
      </c>
      <c r="C2925" s="1"/>
      <c r="D2925" s="1"/>
      <c r="E2925" s="1"/>
      <c r="F2925" s="1"/>
      <c r="G2925" s="1"/>
      <c r="H2925" s="1" t="str">
        <f>"7804907961272"</f>
        <v>7804907961272</v>
      </c>
      <c r="I2925" s="3">
        <v>1</v>
      </c>
      <c r="J2925" s="3">
        <v>0</v>
      </c>
      <c r="K2925" s="3">
        <v>8500</v>
      </c>
    </row>
    <row r="2926" spans="1:11" x14ac:dyDescent="0.2">
      <c r="A2926" s="1" t="s">
        <v>4994</v>
      </c>
      <c r="B2926" s="1" t="s">
        <v>3663</v>
      </c>
      <c r="C2926" s="1"/>
      <c r="D2926" s="1"/>
      <c r="E2926" s="1"/>
      <c r="F2926" s="1"/>
      <c r="G2926" s="1"/>
      <c r="H2926" s="1" t="str">
        <f>"7804907924727"</f>
        <v>7804907924727</v>
      </c>
      <c r="I2926" s="3">
        <v>8</v>
      </c>
      <c r="J2926" s="3">
        <v>0</v>
      </c>
      <c r="K2926" s="3">
        <v>4000</v>
      </c>
    </row>
    <row r="2927" spans="1:11" x14ac:dyDescent="0.2">
      <c r="A2927" s="1" t="s">
        <v>4994</v>
      </c>
      <c r="B2927" s="1" t="s">
        <v>3664</v>
      </c>
      <c r="C2927" s="1"/>
      <c r="D2927" s="1"/>
      <c r="E2927" s="1"/>
      <c r="F2927" s="1"/>
      <c r="G2927" s="1"/>
      <c r="H2927" s="1" t="str">
        <f>"7804907938823"</f>
        <v>7804907938823</v>
      </c>
      <c r="I2927" s="3">
        <v>19</v>
      </c>
      <c r="J2927" s="3">
        <v>0</v>
      </c>
      <c r="K2927" s="3">
        <v>5000</v>
      </c>
    </row>
    <row r="2928" spans="1:11" x14ac:dyDescent="0.2">
      <c r="A2928" s="1" t="s">
        <v>4994</v>
      </c>
      <c r="B2928" s="1" t="s">
        <v>3665</v>
      </c>
      <c r="C2928" s="1"/>
      <c r="D2928" s="1"/>
      <c r="E2928" s="1"/>
      <c r="F2928" s="1"/>
      <c r="G2928" s="1"/>
      <c r="H2928" s="1" t="str">
        <f>"7804907971059"</f>
        <v>7804907971059</v>
      </c>
      <c r="I2928" s="3">
        <v>0</v>
      </c>
      <c r="J2928" s="3">
        <v>0</v>
      </c>
      <c r="K2928" s="3">
        <v>2000</v>
      </c>
    </row>
    <row r="2929" spans="1:11" x14ac:dyDescent="0.2">
      <c r="A2929" s="1" t="s">
        <v>4994</v>
      </c>
      <c r="B2929" s="1" t="s">
        <v>3666</v>
      </c>
      <c r="C2929" s="1"/>
      <c r="D2929" s="1"/>
      <c r="E2929" s="1"/>
      <c r="F2929" s="1"/>
      <c r="G2929" s="1"/>
      <c r="H2929" s="1" t="str">
        <f>"7804907971042"</f>
        <v>7804907971042</v>
      </c>
      <c r="I2929" s="3">
        <v>0</v>
      </c>
      <c r="J2929" s="3">
        <v>0</v>
      </c>
      <c r="K2929" s="3">
        <v>2000</v>
      </c>
    </row>
    <row r="2930" spans="1:11" x14ac:dyDescent="0.2">
      <c r="A2930" s="1" t="s">
        <v>4994</v>
      </c>
      <c r="B2930" s="1" t="s">
        <v>3667</v>
      </c>
      <c r="C2930" s="1"/>
      <c r="D2930" s="1"/>
      <c r="E2930" s="1"/>
      <c r="F2930" s="1"/>
      <c r="G2930" s="1"/>
      <c r="H2930" s="1" t="str">
        <f>"7804907995598"</f>
        <v>7804907995598</v>
      </c>
      <c r="I2930" s="3">
        <v>1</v>
      </c>
      <c r="J2930" s="3">
        <v>0</v>
      </c>
      <c r="K2930" s="3">
        <v>7500</v>
      </c>
    </row>
    <row r="2931" spans="1:11" x14ac:dyDescent="0.2">
      <c r="A2931" s="1" t="s">
        <v>4994</v>
      </c>
      <c r="B2931" s="1" t="s">
        <v>3668</v>
      </c>
      <c r="C2931" s="1"/>
      <c r="D2931" s="1"/>
      <c r="E2931" s="1"/>
      <c r="F2931" s="1"/>
      <c r="G2931" s="1"/>
      <c r="H2931" s="1" t="str">
        <f>"7708089795185"</f>
        <v>7708089795185</v>
      </c>
      <c r="I2931" s="3">
        <v>0</v>
      </c>
      <c r="J2931" s="3">
        <v>0</v>
      </c>
      <c r="K2931" s="3">
        <v>2500</v>
      </c>
    </row>
    <row r="2932" spans="1:11" x14ac:dyDescent="0.2">
      <c r="A2932" s="1" t="s">
        <v>4994</v>
      </c>
      <c r="B2932" s="1" t="s">
        <v>3669</v>
      </c>
      <c r="C2932" s="1"/>
      <c r="D2932" s="1"/>
      <c r="E2932" s="1"/>
      <c r="F2932" s="1"/>
      <c r="G2932" s="1"/>
      <c r="H2932" s="1" t="str">
        <f>"7709099637762"</f>
        <v>7709099637762</v>
      </c>
      <c r="I2932" s="3">
        <v>0</v>
      </c>
      <c r="J2932" s="3">
        <v>0</v>
      </c>
      <c r="K2932" s="3">
        <v>2500</v>
      </c>
    </row>
    <row r="2933" spans="1:11" x14ac:dyDescent="0.2">
      <c r="A2933" s="1" t="s">
        <v>4994</v>
      </c>
      <c r="B2933" s="1" t="s">
        <v>3670</v>
      </c>
      <c r="C2933" s="1"/>
      <c r="D2933" s="1"/>
      <c r="E2933" s="1"/>
      <c r="F2933" s="1"/>
      <c r="G2933" s="1"/>
      <c r="H2933" s="1" t="str">
        <f>"7708089795215"</f>
        <v>7708089795215</v>
      </c>
      <c r="I2933" s="3">
        <v>0</v>
      </c>
      <c r="J2933" s="3">
        <v>0</v>
      </c>
      <c r="K2933" s="3">
        <v>2500</v>
      </c>
    </row>
    <row r="2934" spans="1:11" x14ac:dyDescent="0.2">
      <c r="A2934" s="1" t="s">
        <v>4994</v>
      </c>
      <c r="B2934" s="1" t="s">
        <v>3671</v>
      </c>
      <c r="C2934" s="1"/>
      <c r="D2934" s="1"/>
      <c r="E2934" s="1"/>
      <c r="F2934" s="1"/>
      <c r="G2934" s="1"/>
      <c r="H2934" s="1" t="str">
        <f>"7709990734966"</f>
        <v>7709990734966</v>
      </c>
      <c r="I2934" s="3">
        <v>0</v>
      </c>
      <c r="J2934" s="3">
        <v>0</v>
      </c>
      <c r="K2934" s="3">
        <v>2500</v>
      </c>
    </row>
    <row r="2935" spans="1:11" x14ac:dyDescent="0.2">
      <c r="A2935" s="1" t="s">
        <v>4994</v>
      </c>
      <c r="B2935" s="1" t="s">
        <v>3672</v>
      </c>
      <c r="C2935" s="1"/>
      <c r="D2935" s="1"/>
      <c r="E2935" s="1"/>
      <c r="F2935" s="1"/>
      <c r="G2935" s="1"/>
      <c r="H2935" s="1" t="str">
        <f>"7709990925937"</f>
        <v>7709990925937</v>
      </c>
      <c r="I2935" s="3">
        <v>0</v>
      </c>
      <c r="J2935" s="3">
        <v>0</v>
      </c>
      <c r="K2935" s="3">
        <v>1500</v>
      </c>
    </row>
    <row r="2936" spans="1:11" x14ac:dyDescent="0.2">
      <c r="A2936" s="1" t="s">
        <v>4994</v>
      </c>
      <c r="B2936" s="1" t="s">
        <v>3673</v>
      </c>
      <c r="C2936" s="1"/>
      <c r="D2936" s="1"/>
      <c r="E2936" s="1"/>
      <c r="F2936" s="1"/>
      <c r="G2936" s="1"/>
      <c r="H2936" s="1" t="str">
        <f>"75613042780735"</f>
        <v>75613042780735</v>
      </c>
      <c r="I2936" s="3">
        <v>0</v>
      </c>
      <c r="J2936" s="3">
        <v>0</v>
      </c>
      <c r="K2936" s="3">
        <v>1000</v>
      </c>
    </row>
    <row r="2937" spans="1:11" x14ac:dyDescent="0.2">
      <c r="A2937" s="1" t="s">
        <v>4994</v>
      </c>
      <c r="B2937" s="1" t="s">
        <v>3674</v>
      </c>
      <c r="C2937" s="1"/>
      <c r="D2937" s="1"/>
      <c r="E2937" s="1"/>
      <c r="F2937" s="1"/>
      <c r="G2937" s="1"/>
      <c r="H2937" s="1" t="str">
        <f>"3664798041521"</f>
        <v>3664798041521</v>
      </c>
      <c r="I2937" s="3">
        <v>0</v>
      </c>
      <c r="J2937" s="3">
        <v>0</v>
      </c>
      <c r="K2937" s="3">
        <v>7500</v>
      </c>
    </row>
    <row r="2938" spans="1:11" x14ac:dyDescent="0.2">
      <c r="A2938" s="1" t="s">
        <v>4994</v>
      </c>
      <c r="B2938" s="1" t="s">
        <v>3675</v>
      </c>
      <c r="C2938" s="1"/>
      <c r="D2938" s="1"/>
      <c r="E2938" s="1"/>
      <c r="F2938" s="1"/>
      <c r="G2938" s="1"/>
      <c r="H2938" s="1" t="str">
        <f>"8427426020351"</f>
        <v>8427426020351</v>
      </c>
      <c r="I2938" s="3">
        <v>0</v>
      </c>
      <c r="J2938" s="3">
        <v>0</v>
      </c>
      <c r="K2938" s="3">
        <v>4000</v>
      </c>
    </row>
    <row r="2939" spans="1:11" x14ac:dyDescent="0.2">
      <c r="A2939" s="1" t="s">
        <v>4994</v>
      </c>
      <c r="B2939" s="1" t="s">
        <v>3676</v>
      </c>
      <c r="C2939" s="1"/>
      <c r="D2939" s="1"/>
      <c r="E2939" s="1"/>
      <c r="F2939" s="1"/>
      <c r="G2939" s="1"/>
      <c r="H2939" s="1" t="str">
        <f>"8437002591663"</f>
        <v>8437002591663</v>
      </c>
      <c r="I2939" s="3">
        <v>0</v>
      </c>
      <c r="J2939" s="3">
        <v>0</v>
      </c>
      <c r="K2939" s="3">
        <v>4000</v>
      </c>
    </row>
    <row r="2940" spans="1:11" x14ac:dyDescent="0.2">
      <c r="A2940" s="1" t="s">
        <v>4994</v>
      </c>
      <c r="B2940" s="1" t="s">
        <v>3677</v>
      </c>
      <c r="C2940" s="1"/>
      <c r="D2940" s="1"/>
      <c r="E2940" s="1"/>
      <c r="F2940" s="1"/>
      <c r="G2940" s="1"/>
      <c r="H2940" s="1" t="str">
        <f>"8427426020054"</f>
        <v>8427426020054</v>
      </c>
      <c r="I2940" s="3">
        <v>0</v>
      </c>
      <c r="J2940" s="3">
        <v>0</v>
      </c>
      <c r="K2940" s="3">
        <v>3500</v>
      </c>
    </row>
    <row r="2941" spans="1:11" x14ac:dyDescent="0.2">
      <c r="A2941" s="1" t="s">
        <v>4994</v>
      </c>
      <c r="B2941" s="1" t="s">
        <v>3678</v>
      </c>
      <c r="C2941" s="1"/>
      <c r="D2941" s="1"/>
      <c r="E2941" s="1"/>
      <c r="F2941" s="1"/>
      <c r="G2941" s="1"/>
      <c r="H2941" s="1" t="str">
        <f>"8720689006996"</f>
        <v>8720689006996</v>
      </c>
      <c r="I2941" s="3">
        <v>0</v>
      </c>
      <c r="J2941" s="3">
        <v>0</v>
      </c>
      <c r="K2941" s="3">
        <v>17500</v>
      </c>
    </row>
    <row r="2942" spans="1:11" x14ac:dyDescent="0.2">
      <c r="A2942" s="1" t="s">
        <v>4994</v>
      </c>
      <c r="B2942" s="1" t="s">
        <v>3679</v>
      </c>
      <c r="C2942" s="1"/>
      <c r="D2942" s="1"/>
      <c r="E2942" s="1"/>
      <c r="F2942" s="1"/>
      <c r="G2942" s="1"/>
      <c r="H2942" s="1" t="str">
        <f>"8720689012843"</f>
        <v>8720689012843</v>
      </c>
      <c r="I2942" s="3">
        <v>0</v>
      </c>
      <c r="J2942" s="3">
        <v>0</v>
      </c>
      <c r="K2942" s="3">
        <v>12500</v>
      </c>
    </row>
    <row r="2943" spans="1:11" x14ac:dyDescent="0.2">
      <c r="A2943" s="1" t="s">
        <v>4994</v>
      </c>
      <c r="B2943" s="1" t="s">
        <v>3680</v>
      </c>
      <c r="C2943" s="1"/>
      <c r="D2943" s="1"/>
      <c r="E2943" s="1"/>
      <c r="F2943" s="1"/>
      <c r="G2943" s="1"/>
      <c r="H2943" s="1" t="str">
        <f>"78018686"</f>
        <v>78018686</v>
      </c>
      <c r="I2943" s="3">
        <v>0</v>
      </c>
      <c r="J2943" s="3">
        <v>0</v>
      </c>
      <c r="K2943" s="3">
        <v>1500</v>
      </c>
    </row>
    <row r="2944" spans="1:11" x14ac:dyDescent="0.2">
      <c r="A2944" s="1" t="s">
        <v>4994</v>
      </c>
      <c r="B2944" s="1" t="s">
        <v>3682</v>
      </c>
      <c r="C2944" s="1"/>
      <c r="D2944" s="1"/>
      <c r="E2944" s="1"/>
      <c r="F2944" s="1"/>
      <c r="G2944" s="1"/>
      <c r="H2944" s="1" t="str">
        <f>"7730969308864"</f>
        <v>7730969308864</v>
      </c>
      <c r="I2944" s="3">
        <v>4</v>
      </c>
      <c r="J2944" s="3">
        <v>0</v>
      </c>
      <c r="K2944" s="3">
        <v>33000</v>
      </c>
    </row>
    <row r="2945" spans="1:11" x14ac:dyDescent="0.2">
      <c r="A2945" s="1" t="s">
        <v>4994</v>
      </c>
      <c r="B2945" s="1" t="s">
        <v>3683</v>
      </c>
      <c r="C2945" s="1"/>
      <c r="D2945" s="1"/>
      <c r="E2945" s="1"/>
      <c r="F2945" s="1"/>
      <c r="G2945" s="1"/>
      <c r="H2945" s="1" t="str">
        <f>"7460536556557"</f>
        <v>7460536556557</v>
      </c>
      <c r="I2945" s="3">
        <v>0</v>
      </c>
      <c r="J2945" s="3">
        <v>0</v>
      </c>
      <c r="K2945" s="3">
        <v>33000</v>
      </c>
    </row>
    <row r="2946" spans="1:11" x14ac:dyDescent="0.2">
      <c r="A2946" s="1" t="s">
        <v>4994</v>
      </c>
      <c r="B2946" s="1" t="s">
        <v>3686</v>
      </c>
      <c r="C2946" s="1"/>
      <c r="D2946" s="1"/>
      <c r="E2946" s="1"/>
      <c r="F2946" s="1"/>
      <c r="G2946" s="1"/>
      <c r="H2946" s="1" t="str">
        <f>"7803504001565"</f>
        <v>7803504001565</v>
      </c>
      <c r="I2946" s="3">
        <v>1</v>
      </c>
      <c r="J2946" s="3">
        <v>0</v>
      </c>
      <c r="K2946" s="3">
        <v>6500</v>
      </c>
    </row>
    <row r="2947" spans="1:11" x14ac:dyDescent="0.2">
      <c r="A2947" s="1" t="s">
        <v>4994</v>
      </c>
      <c r="B2947" s="1" t="s">
        <v>3688</v>
      </c>
      <c r="C2947" s="1"/>
      <c r="D2947" s="1"/>
      <c r="E2947" s="1"/>
      <c r="F2947" s="1"/>
      <c r="G2947" s="1"/>
      <c r="H2947" s="1" t="str">
        <f>"71603004535"</f>
        <v>71603004535</v>
      </c>
      <c r="I2947" s="3">
        <v>0</v>
      </c>
      <c r="J2947" s="3">
        <v>0</v>
      </c>
      <c r="K2947" s="3">
        <v>2000</v>
      </c>
    </row>
    <row r="2948" spans="1:11" x14ac:dyDescent="0.2">
      <c r="A2948" s="1" t="s">
        <v>4994</v>
      </c>
      <c r="B2948" s="1" t="s">
        <v>3689</v>
      </c>
      <c r="C2948" s="1"/>
      <c r="D2948" s="1"/>
      <c r="E2948" s="1"/>
      <c r="F2948" s="1"/>
      <c r="G2948" s="1"/>
      <c r="H2948" s="1" t="str">
        <f>"7804907971080"</f>
        <v>7804907971080</v>
      </c>
      <c r="I2948" s="3">
        <v>0</v>
      </c>
      <c r="J2948" s="3">
        <v>0</v>
      </c>
      <c r="K2948" s="3">
        <v>5500</v>
      </c>
    </row>
    <row r="2949" spans="1:11" x14ac:dyDescent="0.2">
      <c r="A2949" s="1" t="s">
        <v>4994</v>
      </c>
      <c r="B2949" s="1" t="s">
        <v>3690</v>
      </c>
      <c r="C2949" s="1"/>
      <c r="D2949" s="1"/>
      <c r="E2949" s="1"/>
      <c r="F2949" s="1"/>
      <c r="G2949" s="1"/>
      <c r="H2949" s="1" t="str">
        <f>"7804907969285"</f>
        <v>7804907969285</v>
      </c>
      <c r="I2949" s="3">
        <v>0</v>
      </c>
      <c r="J2949" s="3">
        <v>0</v>
      </c>
      <c r="K2949" s="3">
        <v>3000</v>
      </c>
    </row>
    <row r="2950" spans="1:11" x14ac:dyDescent="0.2">
      <c r="A2950" s="1" t="s">
        <v>4994</v>
      </c>
      <c r="B2950" s="1" t="s">
        <v>3691</v>
      </c>
      <c r="C2950" s="1"/>
      <c r="D2950" s="1"/>
      <c r="E2950" s="1"/>
      <c r="F2950" s="1"/>
      <c r="G2950" s="1"/>
      <c r="H2950" s="1" t="str">
        <f>"7804907978805"</f>
        <v>7804907978805</v>
      </c>
      <c r="I2950" s="3">
        <v>0</v>
      </c>
      <c r="J2950" s="3">
        <v>0</v>
      </c>
      <c r="K2950" s="3">
        <v>4500</v>
      </c>
    </row>
    <row r="2951" spans="1:11" x14ac:dyDescent="0.2">
      <c r="A2951" s="1" t="s">
        <v>4994</v>
      </c>
      <c r="B2951" s="1" t="s">
        <v>3692</v>
      </c>
      <c r="C2951" s="1"/>
      <c r="D2951" s="1"/>
      <c r="E2951" s="1"/>
      <c r="F2951" s="1"/>
      <c r="G2951" s="1"/>
      <c r="H2951" s="1" t="str">
        <f>"7804907928343"</f>
        <v>7804907928343</v>
      </c>
      <c r="I2951" s="3">
        <v>0</v>
      </c>
      <c r="J2951" s="3">
        <v>0</v>
      </c>
      <c r="K2951" s="3">
        <v>3000</v>
      </c>
    </row>
    <row r="2952" spans="1:11" x14ac:dyDescent="0.2">
      <c r="A2952" s="1" t="s">
        <v>4994</v>
      </c>
      <c r="B2952" s="1" t="s">
        <v>3693</v>
      </c>
      <c r="C2952" s="1"/>
      <c r="D2952" s="1"/>
      <c r="E2952" s="1"/>
      <c r="F2952" s="1"/>
      <c r="G2952" s="1"/>
      <c r="H2952" s="1" t="str">
        <f>"7804907924543"</f>
        <v>7804907924543</v>
      </c>
      <c r="I2952" s="3">
        <v>0</v>
      </c>
      <c r="J2952" s="3">
        <v>0</v>
      </c>
      <c r="K2952" s="3">
        <v>5000</v>
      </c>
    </row>
    <row r="2953" spans="1:11" x14ac:dyDescent="0.2">
      <c r="A2953" s="1" t="s">
        <v>4994</v>
      </c>
      <c r="B2953" s="1" t="s">
        <v>3694</v>
      </c>
      <c r="C2953" s="1"/>
      <c r="D2953" s="1"/>
      <c r="E2953" s="1"/>
      <c r="F2953" s="1"/>
      <c r="G2953" s="1"/>
      <c r="H2953" s="1" t="str">
        <f>"7804907988996"</f>
        <v>7804907988996</v>
      </c>
      <c r="I2953" s="3">
        <v>0</v>
      </c>
      <c r="J2953" s="3">
        <v>0</v>
      </c>
      <c r="K2953" s="3">
        <v>2500</v>
      </c>
    </row>
    <row r="2954" spans="1:11" x14ac:dyDescent="0.2">
      <c r="A2954" s="1" t="s">
        <v>4994</v>
      </c>
      <c r="B2954" s="1" t="s">
        <v>3695</v>
      </c>
      <c r="C2954" s="1"/>
      <c r="D2954" s="1"/>
      <c r="E2954" s="1"/>
      <c r="F2954" s="1"/>
      <c r="G2954" s="1"/>
      <c r="H2954" s="1" t="str">
        <f>"7804907756502"</f>
        <v>7804907756502</v>
      </c>
      <c r="I2954" s="3">
        <v>27</v>
      </c>
      <c r="J2954" s="3">
        <v>0</v>
      </c>
      <c r="K2954" s="3">
        <v>1000</v>
      </c>
    </row>
    <row r="2955" spans="1:11" x14ac:dyDescent="0.2">
      <c r="A2955" s="1" t="s">
        <v>4994</v>
      </c>
      <c r="B2955" s="1" t="s">
        <v>3696</v>
      </c>
      <c r="C2955" s="1"/>
      <c r="D2955" s="1"/>
      <c r="E2955" s="1"/>
      <c r="F2955" s="1"/>
      <c r="G2955" s="1"/>
      <c r="H2955" s="1" t="str">
        <f>"7804907099012"</f>
        <v>7804907099012</v>
      </c>
      <c r="I2955" s="3">
        <v>0</v>
      </c>
      <c r="J2955" s="3">
        <v>0</v>
      </c>
      <c r="K2955" s="3">
        <v>1500</v>
      </c>
    </row>
    <row r="2956" spans="1:11" x14ac:dyDescent="0.2">
      <c r="A2956" s="1" t="s">
        <v>4994</v>
      </c>
      <c r="B2956" s="1" t="s">
        <v>3698</v>
      </c>
      <c r="C2956" s="1"/>
      <c r="D2956" s="1"/>
      <c r="E2956" s="1"/>
      <c r="F2956" s="1"/>
      <c r="G2956" s="1"/>
      <c r="H2956" s="1" t="str">
        <f>"4902508105606"</f>
        <v>4902508105606</v>
      </c>
      <c r="I2956" s="3">
        <v>0</v>
      </c>
      <c r="J2956" s="3">
        <v>0</v>
      </c>
      <c r="K2956" s="3">
        <v>9000</v>
      </c>
    </row>
    <row r="2957" spans="1:11" x14ac:dyDescent="0.2">
      <c r="A2957" s="1" t="s">
        <v>4994</v>
      </c>
      <c r="B2957" s="1" t="s">
        <v>3699</v>
      </c>
      <c r="C2957" s="1"/>
      <c r="D2957" s="1"/>
      <c r="E2957" s="1"/>
      <c r="F2957" s="1"/>
      <c r="G2957" s="1"/>
      <c r="H2957" s="1" t="str">
        <f>"11111111111"</f>
        <v>11111111111</v>
      </c>
      <c r="I2957" s="3">
        <v>2</v>
      </c>
      <c r="J2957" s="3">
        <v>0</v>
      </c>
      <c r="K2957" s="3">
        <v>15000</v>
      </c>
    </row>
    <row r="2958" spans="1:11" x14ac:dyDescent="0.2">
      <c r="A2958" s="1" t="s">
        <v>4994</v>
      </c>
      <c r="B2958" s="1" t="s">
        <v>3700</v>
      </c>
      <c r="C2958" s="1"/>
      <c r="D2958" s="1"/>
      <c r="E2958" s="1"/>
      <c r="F2958" s="1"/>
      <c r="G2958" s="1"/>
      <c r="H2958" s="1" t="str">
        <f>"4902508168960"</f>
        <v>4902508168960</v>
      </c>
      <c r="I2958" s="3">
        <v>1</v>
      </c>
      <c r="J2958" s="3">
        <v>0</v>
      </c>
      <c r="K2958" s="3">
        <v>8000</v>
      </c>
    </row>
    <row r="2959" spans="1:11" x14ac:dyDescent="0.2">
      <c r="A2959" s="1" t="s">
        <v>4994</v>
      </c>
      <c r="B2959" s="1" t="s">
        <v>3701</v>
      </c>
      <c r="C2959" s="1"/>
      <c r="D2959" s="1"/>
      <c r="E2959" s="1"/>
      <c r="F2959" s="1"/>
      <c r="G2959" s="1"/>
      <c r="H2959" s="1" t="str">
        <f>"4902508262064"</f>
        <v>4902508262064</v>
      </c>
      <c r="I2959" s="3">
        <v>2</v>
      </c>
      <c r="J2959" s="3">
        <v>0</v>
      </c>
      <c r="K2959" s="3">
        <v>11000</v>
      </c>
    </row>
    <row r="2960" spans="1:11" x14ac:dyDescent="0.2">
      <c r="A2960" s="1" t="s">
        <v>4994</v>
      </c>
      <c r="B2960" s="1" t="s">
        <v>3702</v>
      </c>
      <c r="C2960" s="1"/>
      <c r="D2960" s="1"/>
      <c r="E2960" s="1"/>
      <c r="F2960" s="1"/>
      <c r="G2960" s="1"/>
      <c r="H2960" s="1" t="str">
        <f>"4902508808279"</f>
        <v>4902508808279</v>
      </c>
      <c r="I2960" s="3">
        <v>0</v>
      </c>
      <c r="J2960" s="3">
        <v>0</v>
      </c>
      <c r="K2960" s="3">
        <v>7000</v>
      </c>
    </row>
    <row r="2961" spans="1:11" x14ac:dyDescent="0.2">
      <c r="A2961" s="1" t="s">
        <v>4994</v>
      </c>
      <c r="B2961" s="1" t="s">
        <v>3703</v>
      </c>
      <c r="C2961" s="1"/>
      <c r="D2961" s="1"/>
      <c r="E2961" s="1"/>
      <c r="F2961" s="1"/>
      <c r="G2961" s="1"/>
      <c r="H2961" s="1" t="str">
        <f>"4902508809009"</f>
        <v>4902508809009</v>
      </c>
      <c r="I2961" s="3">
        <v>2</v>
      </c>
      <c r="J2961" s="3">
        <v>0</v>
      </c>
      <c r="K2961" s="3">
        <v>15000</v>
      </c>
    </row>
    <row r="2962" spans="1:11" x14ac:dyDescent="0.2">
      <c r="A2962" s="1" t="s">
        <v>4994</v>
      </c>
      <c r="B2962" s="1" t="s">
        <v>3704</v>
      </c>
      <c r="C2962" s="1"/>
      <c r="D2962" s="1"/>
      <c r="E2962" s="1"/>
      <c r="F2962" s="1"/>
      <c r="G2962" s="1"/>
      <c r="H2962" s="1" t="str">
        <f>"7800060003194"</f>
        <v>7800060003194</v>
      </c>
      <c r="I2962" s="3">
        <v>0</v>
      </c>
      <c r="J2962" s="3">
        <v>0</v>
      </c>
      <c r="K2962" s="3">
        <v>15000</v>
      </c>
    </row>
    <row r="2963" spans="1:11" x14ac:dyDescent="0.2">
      <c r="A2963" s="1" t="s">
        <v>4994</v>
      </c>
      <c r="B2963" s="1" t="s">
        <v>3706</v>
      </c>
      <c r="C2963" s="1"/>
      <c r="D2963" s="1"/>
      <c r="E2963" s="1"/>
      <c r="F2963" s="1"/>
      <c r="G2963" s="1"/>
      <c r="H2963" s="1" t="str">
        <f>"679602231831"</f>
        <v>679602231831</v>
      </c>
      <c r="I2963" s="3">
        <v>7</v>
      </c>
      <c r="J2963" s="3">
        <v>0</v>
      </c>
      <c r="K2963" s="3">
        <v>4500</v>
      </c>
    </row>
    <row r="2964" spans="1:11" x14ac:dyDescent="0.2">
      <c r="A2964" s="1" t="s">
        <v>4994</v>
      </c>
      <c r="B2964" s="1" t="s">
        <v>3707</v>
      </c>
      <c r="C2964" s="1"/>
      <c r="D2964" s="1"/>
      <c r="E2964" s="1"/>
      <c r="F2964" s="1"/>
      <c r="G2964" s="1"/>
      <c r="H2964" s="1" t="str">
        <f>"75613042445261"</f>
        <v>75613042445261</v>
      </c>
      <c r="I2964" s="3">
        <v>0</v>
      </c>
      <c r="J2964" s="3">
        <v>0</v>
      </c>
      <c r="K2964" s="3">
        <v>1500</v>
      </c>
    </row>
    <row r="2965" spans="1:11" x14ac:dyDescent="0.2">
      <c r="A2965" s="1" t="s">
        <v>4994</v>
      </c>
      <c r="B2965" s="1" t="s">
        <v>3708</v>
      </c>
      <c r="C2965" s="1"/>
      <c r="D2965" s="1"/>
      <c r="E2965" s="1"/>
      <c r="F2965" s="1"/>
      <c r="G2965" s="1"/>
      <c r="H2965" s="1" t="str">
        <f>"7708428736305"</f>
        <v>7708428736305</v>
      </c>
      <c r="I2965" s="3">
        <v>0</v>
      </c>
      <c r="J2965" s="3">
        <v>0</v>
      </c>
      <c r="K2965" s="3">
        <v>1500</v>
      </c>
    </row>
    <row r="2966" spans="1:11" x14ac:dyDescent="0.2">
      <c r="A2966" s="1" t="s">
        <v>4994</v>
      </c>
      <c r="B2966" s="1" t="s">
        <v>3709</v>
      </c>
      <c r="C2966" s="1"/>
      <c r="D2966" s="1"/>
      <c r="E2966" s="1"/>
      <c r="F2966" s="1"/>
      <c r="G2966" s="1"/>
      <c r="H2966" s="1" t="str">
        <f>"71603005440"</f>
        <v>71603005440</v>
      </c>
      <c r="I2966" s="3">
        <v>0</v>
      </c>
      <c r="J2966" s="3">
        <v>0</v>
      </c>
      <c r="K2966" s="3">
        <v>3000</v>
      </c>
    </row>
    <row r="2967" spans="1:11" x14ac:dyDescent="0.2">
      <c r="A2967" s="1" t="s">
        <v>4994</v>
      </c>
      <c r="B2967" s="1" t="s">
        <v>3710</v>
      </c>
      <c r="C2967" s="1"/>
      <c r="D2967" s="1"/>
      <c r="E2967" s="1"/>
      <c r="F2967" s="1"/>
      <c r="G2967" s="1"/>
      <c r="H2967" s="1" t="str">
        <f>"6922331000334"</f>
        <v>6922331000334</v>
      </c>
      <c r="I2967" s="3">
        <v>0</v>
      </c>
      <c r="J2967" s="3">
        <v>0</v>
      </c>
      <c r="K2967" s="3">
        <v>500</v>
      </c>
    </row>
    <row r="2968" spans="1:11" x14ac:dyDescent="0.2">
      <c r="A2968" s="1" t="s">
        <v>4994</v>
      </c>
      <c r="B2968" s="1" t="s">
        <v>3711</v>
      </c>
      <c r="C2968" s="1"/>
      <c r="D2968" s="1"/>
      <c r="E2968" s="1"/>
      <c r="F2968" s="1"/>
      <c r="G2968" s="1"/>
      <c r="H2968" s="1" t="str">
        <f>"7800068014048"</f>
        <v>7800068014048</v>
      </c>
      <c r="I2968" s="3">
        <v>10</v>
      </c>
      <c r="J2968" s="3">
        <v>0</v>
      </c>
      <c r="K2968" s="3">
        <v>2000</v>
      </c>
    </row>
    <row r="2969" spans="1:11" x14ac:dyDescent="0.2">
      <c r="A2969" s="1" t="s">
        <v>4994</v>
      </c>
      <c r="B2969" s="1" t="s">
        <v>3712</v>
      </c>
      <c r="C2969" s="1"/>
      <c r="D2969" s="1"/>
      <c r="E2969" s="1"/>
      <c r="F2969" s="1"/>
      <c r="G2969" s="1"/>
      <c r="H2969" s="1" t="str">
        <f>"7800028002764"</f>
        <v>7800028002764</v>
      </c>
      <c r="I2969" s="3">
        <v>4</v>
      </c>
      <c r="J2969" s="3">
        <v>0</v>
      </c>
      <c r="K2969" s="3">
        <v>6000</v>
      </c>
    </row>
    <row r="2970" spans="1:11" x14ac:dyDescent="0.2">
      <c r="A2970" s="1" t="s">
        <v>4994</v>
      </c>
      <c r="B2970" s="1" t="s">
        <v>3713</v>
      </c>
      <c r="C2970" s="1"/>
      <c r="D2970" s="1"/>
      <c r="E2970" s="1"/>
      <c r="F2970" s="1"/>
      <c r="G2970" s="1"/>
      <c r="H2970" s="1" t="str">
        <f>"7800028000081"</f>
        <v>7800028000081</v>
      </c>
      <c r="I2970" s="3">
        <v>5</v>
      </c>
      <c r="J2970" s="3">
        <v>0</v>
      </c>
      <c r="K2970" s="3">
        <v>10000</v>
      </c>
    </row>
    <row r="2971" spans="1:11" x14ac:dyDescent="0.2">
      <c r="A2971" s="1" t="s">
        <v>4994</v>
      </c>
      <c r="B2971" s="1" t="s">
        <v>3715</v>
      </c>
      <c r="C2971" s="1"/>
      <c r="D2971" s="1"/>
      <c r="E2971" s="1"/>
      <c r="F2971" s="1"/>
      <c r="G2971" s="1"/>
      <c r="H2971" s="1" t="str">
        <f>"7809601104567"</f>
        <v>7809601104567</v>
      </c>
      <c r="I2971" s="3">
        <v>0</v>
      </c>
      <c r="J2971" s="3">
        <v>0</v>
      </c>
      <c r="K2971" s="3">
        <v>16000</v>
      </c>
    </row>
    <row r="2972" spans="1:11" x14ac:dyDescent="0.2">
      <c r="A2972" s="1" t="s">
        <v>4994</v>
      </c>
      <c r="B2972" s="1" t="s">
        <v>3716</v>
      </c>
      <c r="C2972" s="1"/>
      <c r="D2972" s="1"/>
      <c r="E2972" s="1"/>
      <c r="F2972" s="1"/>
      <c r="G2972" s="1"/>
      <c r="H2972" s="1" t="str">
        <f>"7804907815629"</f>
        <v>7804907815629</v>
      </c>
      <c r="I2972" s="3">
        <v>1</v>
      </c>
      <c r="J2972" s="3">
        <v>0</v>
      </c>
      <c r="K2972" s="3">
        <v>6220</v>
      </c>
    </row>
    <row r="2973" spans="1:11" x14ac:dyDescent="0.2">
      <c r="A2973" s="1" t="s">
        <v>4994</v>
      </c>
      <c r="B2973" s="1" t="s">
        <v>3717</v>
      </c>
      <c r="C2973" s="1"/>
      <c r="D2973" s="1"/>
      <c r="E2973" s="1"/>
      <c r="F2973" s="1"/>
      <c r="G2973" s="1"/>
      <c r="H2973" s="1" t="str">
        <f>"7804907992160"</f>
        <v>7804907992160</v>
      </c>
      <c r="I2973" s="3">
        <v>1</v>
      </c>
      <c r="J2973" s="3">
        <v>0</v>
      </c>
      <c r="K2973" s="3">
        <v>11000</v>
      </c>
    </row>
    <row r="2974" spans="1:11" x14ac:dyDescent="0.2">
      <c r="A2974" s="1" t="s">
        <v>4994</v>
      </c>
      <c r="B2974" s="1" t="s">
        <v>3718</v>
      </c>
      <c r="C2974" s="1"/>
      <c r="D2974" s="1"/>
      <c r="E2974" s="1"/>
      <c r="F2974" s="1"/>
      <c r="G2974" s="1"/>
      <c r="H2974" s="1" t="str">
        <f>"7804907915787"</f>
        <v>7804907915787</v>
      </c>
      <c r="I2974" s="3">
        <v>0</v>
      </c>
      <c r="J2974" s="3">
        <v>0</v>
      </c>
      <c r="K2974" s="3">
        <v>12000</v>
      </c>
    </row>
    <row r="2975" spans="1:11" x14ac:dyDescent="0.2">
      <c r="A2975" s="1" t="s">
        <v>4994</v>
      </c>
      <c r="B2975" s="1" t="s">
        <v>3719</v>
      </c>
      <c r="C2975" s="1"/>
      <c r="D2975" s="1"/>
      <c r="E2975" s="1"/>
      <c r="F2975" s="1"/>
      <c r="G2975" s="1"/>
      <c r="H2975" s="1" t="str">
        <f>"7804907992177"</f>
        <v>7804907992177</v>
      </c>
      <c r="I2975" s="3">
        <v>0</v>
      </c>
      <c r="J2975" s="3">
        <v>0</v>
      </c>
      <c r="K2975" s="3">
        <v>12000</v>
      </c>
    </row>
    <row r="2976" spans="1:11" x14ac:dyDescent="0.2">
      <c r="A2976" s="1" t="s">
        <v>4994</v>
      </c>
      <c r="B2976" s="1" t="s">
        <v>3720</v>
      </c>
      <c r="C2976" s="1"/>
      <c r="D2976" s="1"/>
      <c r="E2976" s="1"/>
      <c r="F2976" s="1"/>
      <c r="G2976" s="1"/>
      <c r="H2976" s="1" t="str">
        <f>"7804907810471"</f>
        <v>7804907810471</v>
      </c>
      <c r="I2976" s="3">
        <v>0</v>
      </c>
      <c r="J2976" s="3">
        <v>0</v>
      </c>
      <c r="K2976" s="3">
        <v>9500</v>
      </c>
    </row>
    <row r="2977" spans="1:11" x14ac:dyDescent="0.2">
      <c r="A2977" s="1" t="s">
        <v>4994</v>
      </c>
      <c r="B2977" s="1" t="s">
        <v>3721</v>
      </c>
      <c r="C2977" s="1"/>
      <c r="D2977" s="1"/>
      <c r="E2977" s="1"/>
      <c r="F2977" s="1"/>
      <c r="G2977" s="1"/>
      <c r="H2977" s="1" t="str">
        <f>"7804907875425"</f>
        <v>7804907875425</v>
      </c>
      <c r="I2977" s="3">
        <v>0</v>
      </c>
      <c r="J2977" s="3">
        <v>0</v>
      </c>
      <c r="K2977" s="3">
        <v>9500</v>
      </c>
    </row>
    <row r="2978" spans="1:11" x14ac:dyDescent="0.2">
      <c r="A2978" s="1" t="s">
        <v>4994</v>
      </c>
      <c r="B2978" s="1" t="s">
        <v>3722</v>
      </c>
      <c r="C2978" s="1"/>
      <c r="D2978" s="1"/>
      <c r="E2978" s="1"/>
      <c r="F2978" s="1"/>
      <c r="G2978" s="1"/>
      <c r="H2978" s="1" t="str">
        <f>"7806550002487"</f>
        <v>7806550002487</v>
      </c>
      <c r="I2978" s="3">
        <v>8</v>
      </c>
      <c r="J2978" s="3">
        <v>0</v>
      </c>
      <c r="K2978" s="3">
        <v>5500</v>
      </c>
    </row>
    <row r="2979" spans="1:11" x14ac:dyDescent="0.2">
      <c r="A2979" s="1" t="s">
        <v>4994</v>
      </c>
      <c r="B2979" s="1" t="s">
        <v>3723</v>
      </c>
      <c r="C2979" s="1"/>
      <c r="D2979" s="1"/>
      <c r="E2979" s="1"/>
      <c r="F2979" s="1"/>
      <c r="G2979" s="1"/>
      <c r="H2979" s="1" t="str">
        <f>"7800026124598"</f>
        <v>7800026124598</v>
      </c>
      <c r="I2979" s="3">
        <v>0</v>
      </c>
      <c r="J2979" s="3">
        <v>0</v>
      </c>
      <c r="K2979" s="3">
        <v>18000</v>
      </c>
    </row>
    <row r="2980" spans="1:11" x14ac:dyDescent="0.2">
      <c r="A2980" s="1" t="s">
        <v>4994</v>
      </c>
      <c r="B2980" s="1" t="s">
        <v>3725</v>
      </c>
      <c r="C2980" s="1"/>
      <c r="D2980" s="1"/>
      <c r="E2980" s="1"/>
      <c r="F2980" s="1"/>
      <c r="G2980" s="1"/>
      <c r="H2980" s="1" t="str">
        <f>"7795380002388"</f>
        <v>7795380002388</v>
      </c>
      <c r="I2980" s="3">
        <v>0</v>
      </c>
      <c r="J2980" s="3">
        <v>0</v>
      </c>
      <c r="K2980" s="3">
        <v>7000</v>
      </c>
    </row>
    <row r="2981" spans="1:11" x14ac:dyDescent="0.2">
      <c r="A2981" s="1" t="s">
        <v>4994</v>
      </c>
      <c r="B2981" s="1" t="s">
        <v>3726</v>
      </c>
      <c r="C2981" s="1"/>
      <c r="D2981" s="1"/>
      <c r="E2981" s="1"/>
      <c r="F2981" s="1"/>
      <c r="G2981" s="1"/>
      <c r="H2981" s="1" t="str">
        <f>"7800020187933"</f>
        <v>7800020187933</v>
      </c>
      <c r="I2981" s="3">
        <v>0</v>
      </c>
      <c r="J2981" s="3">
        <v>0</v>
      </c>
      <c r="K2981" s="3">
        <v>22000</v>
      </c>
    </row>
    <row r="2982" spans="1:11" x14ac:dyDescent="0.2">
      <c r="A2982" s="1" t="s">
        <v>4994</v>
      </c>
      <c r="B2982" s="1" t="s">
        <v>3727</v>
      </c>
      <c r="C2982" s="1"/>
      <c r="D2982" s="1"/>
      <c r="E2982" s="1"/>
      <c r="F2982" s="1"/>
      <c r="G2982" s="1"/>
      <c r="H2982" s="1" t="str">
        <f>"7800044002014"</f>
        <v>7800044002014</v>
      </c>
      <c r="I2982" s="3">
        <v>32</v>
      </c>
      <c r="J2982" s="3">
        <v>0</v>
      </c>
      <c r="K2982" s="3">
        <v>1500</v>
      </c>
    </row>
    <row r="2983" spans="1:11" x14ac:dyDescent="0.2">
      <c r="A2983" s="1" t="s">
        <v>4994</v>
      </c>
      <c r="B2983" s="1" t="s">
        <v>3728</v>
      </c>
      <c r="C2983" s="1"/>
      <c r="D2983" s="1"/>
      <c r="E2983" s="1"/>
      <c r="F2983" s="1"/>
      <c r="G2983" s="1"/>
      <c r="H2983" s="1" t="str">
        <f>"7800060011205"</f>
        <v>7800060011205</v>
      </c>
      <c r="I2983" s="3">
        <v>0</v>
      </c>
      <c r="J2983" s="3">
        <v>0</v>
      </c>
      <c r="K2983" s="3">
        <v>6500</v>
      </c>
    </row>
    <row r="2984" spans="1:11" x14ac:dyDescent="0.2">
      <c r="A2984" s="1" t="s">
        <v>4994</v>
      </c>
      <c r="B2984" s="1" t="s">
        <v>3729</v>
      </c>
      <c r="C2984" s="1"/>
      <c r="D2984" s="1"/>
      <c r="E2984" s="1"/>
      <c r="F2984" s="1"/>
      <c r="G2984" s="1"/>
      <c r="H2984" s="1" t="str">
        <f>"7800044000454"</f>
        <v>7800044000454</v>
      </c>
      <c r="I2984" s="3">
        <v>0</v>
      </c>
      <c r="J2984" s="3">
        <v>0</v>
      </c>
      <c r="K2984" s="3">
        <v>1800</v>
      </c>
    </row>
    <row r="2985" spans="1:11" x14ac:dyDescent="0.2">
      <c r="A2985" s="1" t="s">
        <v>4994</v>
      </c>
      <c r="B2985" s="1" t="s">
        <v>3730</v>
      </c>
      <c r="C2985" s="1"/>
      <c r="D2985" s="1"/>
      <c r="E2985" s="1"/>
      <c r="F2985" s="1"/>
      <c r="G2985" s="1"/>
      <c r="H2985" s="1" t="str">
        <f>"8429420181069"</f>
        <v>8429420181069</v>
      </c>
      <c r="I2985" s="3">
        <v>2</v>
      </c>
      <c r="J2985" s="3">
        <v>0</v>
      </c>
      <c r="K2985" s="3">
        <v>16000</v>
      </c>
    </row>
    <row r="2986" spans="1:11" x14ac:dyDescent="0.2">
      <c r="A2986" s="1" t="s">
        <v>4994</v>
      </c>
      <c r="B2986" s="1" t="s">
        <v>3731</v>
      </c>
      <c r="C2986" s="1"/>
      <c r="D2986" s="1"/>
      <c r="E2986" s="1"/>
      <c r="F2986" s="1"/>
      <c r="G2986" s="1"/>
      <c r="H2986" s="1" t="str">
        <f>"8429420181076"</f>
        <v>8429420181076</v>
      </c>
      <c r="I2986" s="3">
        <v>1</v>
      </c>
      <c r="J2986" s="3">
        <v>0</v>
      </c>
      <c r="K2986" s="3">
        <v>9000</v>
      </c>
    </row>
    <row r="2987" spans="1:11" x14ac:dyDescent="0.2">
      <c r="A2987" s="1" t="s">
        <v>4994</v>
      </c>
      <c r="B2987" s="1" t="s">
        <v>3732</v>
      </c>
      <c r="C2987" s="1"/>
      <c r="D2987" s="1"/>
      <c r="E2987" s="1"/>
      <c r="F2987" s="1"/>
      <c r="G2987" s="1"/>
      <c r="H2987" s="1" t="str">
        <f>"7800044000119"</f>
        <v>7800044000119</v>
      </c>
      <c r="I2987" s="3">
        <v>84</v>
      </c>
      <c r="J2987" s="3">
        <v>0</v>
      </c>
      <c r="K2987" s="3">
        <v>1500</v>
      </c>
    </row>
    <row r="2988" spans="1:11" x14ac:dyDescent="0.2">
      <c r="A2988" s="1" t="s">
        <v>4994</v>
      </c>
      <c r="B2988" s="1" t="s">
        <v>3733</v>
      </c>
      <c r="C2988" s="1"/>
      <c r="D2988" s="1"/>
      <c r="E2988" s="1"/>
      <c r="F2988" s="1"/>
      <c r="G2988" s="1"/>
      <c r="H2988" s="1" t="str">
        <f>"7800004004805"</f>
        <v>7800004004805</v>
      </c>
      <c r="I2988" s="3">
        <v>22</v>
      </c>
      <c r="J2988" s="3">
        <v>0</v>
      </c>
      <c r="K2988" s="3">
        <v>1500</v>
      </c>
    </row>
    <row r="2989" spans="1:11" x14ac:dyDescent="0.2">
      <c r="A2989" s="1" t="s">
        <v>4994</v>
      </c>
      <c r="B2989" s="1" t="s">
        <v>3736</v>
      </c>
      <c r="C2989" s="1"/>
      <c r="D2989" s="1"/>
      <c r="E2989" s="1"/>
      <c r="F2989" s="1"/>
      <c r="G2989" s="1"/>
      <c r="H2989" s="1" t="str">
        <f>"7805633015925"</f>
        <v>7805633015925</v>
      </c>
      <c r="I2989" s="3">
        <v>0</v>
      </c>
      <c r="J2989" s="3">
        <v>0</v>
      </c>
      <c r="K2989" s="3">
        <v>1000</v>
      </c>
    </row>
    <row r="2990" spans="1:11" x14ac:dyDescent="0.2">
      <c r="A2990" s="1" t="s">
        <v>4994</v>
      </c>
      <c r="B2990" s="1" t="s">
        <v>3737</v>
      </c>
      <c r="C2990" s="1"/>
      <c r="D2990" s="1"/>
      <c r="E2990" s="1"/>
      <c r="F2990" s="1"/>
      <c r="G2990" s="1"/>
      <c r="H2990" s="1" t="str">
        <f>"7805633015918"</f>
        <v>7805633015918</v>
      </c>
      <c r="I2990" s="3">
        <v>0</v>
      </c>
      <c r="J2990" s="3">
        <v>0</v>
      </c>
      <c r="K2990" s="3">
        <v>1000</v>
      </c>
    </row>
    <row r="2991" spans="1:11" x14ac:dyDescent="0.2">
      <c r="A2991" s="1" t="s">
        <v>4994</v>
      </c>
      <c r="B2991" s="1" t="s">
        <v>3738</v>
      </c>
      <c r="C2991" s="1"/>
      <c r="D2991" s="1"/>
      <c r="E2991" s="1"/>
      <c r="F2991" s="1"/>
      <c r="G2991" s="1"/>
      <c r="H2991" s="1" t="str">
        <f>"7805633015949"</f>
        <v>7805633015949</v>
      </c>
      <c r="I2991" s="3">
        <v>35</v>
      </c>
      <c r="J2991" s="3">
        <v>0</v>
      </c>
      <c r="K2991" s="3">
        <v>1000</v>
      </c>
    </row>
    <row r="2992" spans="1:11" x14ac:dyDescent="0.2">
      <c r="A2992" s="1" t="s">
        <v>4994</v>
      </c>
      <c r="B2992" s="1" t="s">
        <v>3740</v>
      </c>
      <c r="C2992" s="1"/>
      <c r="D2992" s="1"/>
      <c r="E2992" s="1"/>
      <c r="F2992" s="1"/>
      <c r="G2992" s="1"/>
      <c r="H2992" s="1" t="str">
        <f>"7804620833313"</f>
        <v>7804620833313</v>
      </c>
      <c r="I2992" s="3">
        <v>0</v>
      </c>
      <c r="J2992" s="3">
        <v>0</v>
      </c>
      <c r="K2992" s="3">
        <v>12000</v>
      </c>
    </row>
    <row r="2993" spans="1:11" x14ac:dyDescent="0.2">
      <c r="A2993" s="1" t="s">
        <v>4994</v>
      </c>
      <c r="B2993" s="1" t="s">
        <v>3741</v>
      </c>
      <c r="C2993" s="1"/>
      <c r="D2993" s="1"/>
      <c r="E2993" s="1"/>
      <c r="F2993" s="1"/>
      <c r="G2993" s="1"/>
      <c r="H2993" s="1" t="str">
        <f>"7800038000125"</f>
        <v>7800038000125</v>
      </c>
      <c r="I2993" s="3">
        <v>4</v>
      </c>
      <c r="J2993" s="3">
        <v>0</v>
      </c>
      <c r="K2993" s="3">
        <v>12000</v>
      </c>
    </row>
    <row r="2994" spans="1:11" x14ac:dyDescent="0.2">
      <c r="A2994" s="1" t="s">
        <v>4994</v>
      </c>
      <c r="B2994" s="1" t="s">
        <v>3742</v>
      </c>
      <c r="C2994" s="1"/>
      <c r="D2994" s="1"/>
      <c r="E2994" s="1"/>
      <c r="F2994" s="1"/>
      <c r="G2994" s="1"/>
      <c r="H2994" s="1" t="str">
        <f>"8000246014665"</f>
        <v>8000246014665</v>
      </c>
      <c r="I2994" s="3">
        <v>0</v>
      </c>
      <c r="J2994" s="3">
        <v>0</v>
      </c>
      <c r="K2994" s="3">
        <v>500</v>
      </c>
    </row>
    <row r="2995" spans="1:11" x14ac:dyDescent="0.2">
      <c r="A2995" s="1" t="s">
        <v>4994</v>
      </c>
      <c r="B2995" s="1" t="s">
        <v>3743</v>
      </c>
      <c r="C2995" s="1"/>
      <c r="D2995" s="1"/>
      <c r="E2995" s="1"/>
      <c r="F2995" s="1"/>
      <c r="G2995" s="1"/>
      <c r="H2995" s="1" t="str">
        <f>"803878031868"</f>
        <v>803878031868</v>
      </c>
      <c r="I2995" s="3">
        <v>0</v>
      </c>
      <c r="J2995" s="3">
        <v>0</v>
      </c>
      <c r="K2995" s="3">
        <v>5000</v>
      </c>
    </row>
    <row r="2996" spans="1:11" x14ac:dyDescent="0.2">
      <c r="A2996" s="1" t="s">
        <v>4994</v>
      </c>
      <c r="B2996" s="1" t="s">
        <v>3744</v>
      </c>
      <c r="C2996" s="1"/>
      <c r="D2996" s="1"/>
      <c r="E2996" s="1"/>
      <c r="F2996" s="1"/>
      <c r="G2996" s="1"/>
      <c r="H2996" s="1" t="str">
        <f>"7804640562248"</f>
        <v>7804640562248</v>
      </c>
      <c r="I2996" s="3">
        <v>12</v>
      </c>
      <c r="J2996" s="3">
        <v>0</v>
      </c>
      <c r="K2996" s="3">
        <v>5000</v>
      </c>
    </row>
    <row r="2997" spans="1:11" x14ac:dyDescent="0.2">
      <c r="A2997" s="1" t="s">
        <v>4994</v>
      </c>
      <c r="B2997" s="1" t="s">
        <v>3745</v>
      </c>
      <c r="C2997" s="1"/>
      <c r="D2997" s="1"/>
      <c r="E2997" s="1"/>
      <c r="F2997" s="1"/>
      <c r="G2997" s="1"/>
      <c r="H2997" s="1" t="str">
        <f>"7800068032738"</f>
        <v>7800068032738</v>
      </c>
      <c r="I2997" s="3">
        <v>0</v>
      </c>
      <c r="J2997" s="3">
        <v>0</v>
      </c>
      <c r="K2997" s="3">
        <v>2000</v>
      </c>
    </row>
    <row r="2998" spans="1:11" x14ac:dyDescent="0.2">
      <c r="A2998" s="1" t="s">
        <v>4994</v>
      </c>
      <c r="B2998" s="1" t="s">
        <v>3747</v>
      </c>
      <c r="C2998" s="1"/>
      <c r="D2998" s="1"/>
      <c r="E2998" s="1"/>
      <c r="F2998" s="1"/>
      <c r="G2998" s="1"/>
      <c r="H2998" s="1" t="str">
        <f>"7804640562033"</f>
        <v>7804640562033</v>
      </c>
      <c r="I2998" s="3">
        <v>0</v>
      </c>
      <c r="J2998" s="3">
        <v>0</v>
      </c>
      <c r="K2998" s="3">
        <v>1500</v>
      </c>
    </row>
    <row r="2999" spans="1:11" x14ac:dyDescent="0.2">
      <c r="A2999" s="1" t="s">
        <v>4994</v>
      </c>
      <c r="B2999" s="1" t="s">
        <v>3748</v>
      </c>
      <c r="C2999" s="1"/>
      <c r="D2999" s="1"/>
      <c r="E2999" s="1"/>
      <c r="F2999" s="1"/>
      <c r="G2999" s="1"/>
      <c r="H2999" s="1" t="str">
        <f>"7800007125057"</f>
        <v>7800007125057</v>
      </c>
      <c r="I2999" s="3">
        <v>0</v>
      </c>
      <c r="J2999" s="3">
        <v>0</v>
      </c>
      <c r="K2999" s="3">
        <v>500</v>
      </c>
    </row>
    <row r="3000" spans="1:11" x14ac:dyDescent="0.2">
      <c r="A3000" s="1" t="s">
        <v>4994</v>
      </c>
      <c r="B3000" s="1" t="s">
        <v>3751</v>
      </c>
      <c r="C3000" s="1"/>
      <c r="D3000" s="1"/>
      <c r="E3000" s="1"/>
      <c r="F3000" s="1"/>
      <c r="G3000" s="1"/>
      <c r="H3000" s="1" t="str">
        <f>"7800004004980"</f>
        <v>7800004004980</v>
      </c>
      <c r="I3000" s="3">
        <v>109</v>
      </c>
      <c r="J3000" s="3">
        <v>0</v>
      </c>
      <c r="K3000" s="3">
        <v>1500</v>
      </c>
    </row>
    <row r="3001" spans="1:11" x14ac:dyDescent="0.2">
      <c r="A3001" s="1" t="s">
        <v>4994</v>
      </c>
      <c r="B3001" s="1" t="s">
        <v>3752</v>
      </c>
      <c r="C3001" s="1"/>
      <c r="D3001" s="1"/>
      <c r="E3001" s="1"/>
      <c r="F3001" s="1"/>
      <c r="G3001" s="1"/>
      <c r="H3001" s="1" t="str">
        <f>"7804969800557"</f>
        <v>7804969800557</v>
      </c>
      <c r="I3001" s="3">
        <v>0</v>
      </c>
      <c r="J3001" s="3">
        <v>0</v>
      </c>
      <c r="K3001" s="3">
        <v>4760</v>
      </c>
    </row>
    <row r="3002" spans="1:11" x14ac:dyDescent="0.2">
      <c r="A3002" s="1" t="s">
        <v>4994</v>
      </c>
      <c r="B3002" s="1" t="s">
        <v>3753</v>
      </c>
      <c r="C3002" s="1"/>
      <c r="D3002" s="1"/>
      <c r="E3002" s="1"/>
      <c r="F3002" s="1"/>
      <c r="G3002" s="1"/>
      <c r="H3002" s="1" t="str">
        <f>"7804969351493"</f>
        <v>7804969351493</v>
      </c>
      <c r="I3002" s="3">
        <v>0</v>
      </c>
      <c r="J3002" s="3">
        <v>0</v>
      </c>
      <c r="K3002" s="3">
        <v>2500</v>
      </c>
    </row>
    <row r="3003" spans="1:11" x14ac:dyDescent="0.2">
      <c r="A3003" s="1" t="s">
        <v>4994</v>
      </c>
      <c r="B3003" s="1" t="s">
        <v>3754</v>
      </c>
      <c r="C3003" s="1"/>
      <c r="D3003" s="1"/>
      <c r="E3003" s="1"/>
      <c r="F3003" s="1"/>
      <c r="G3003" s="1"/>
      <c r="H3003" s="1" t="str">
        <f>"7804969800441"</f>
        <v>7804969800441</v>
      </c>
      <c r="I3003" s="3">
        <v>0</v>
      </c>
      <c r="J3003" s="3">
        <v>0</v>
      </c>
      <c r="K3003" s="3">
        <v>7200</v>
      </c>
    </row>
    <row r="3004" spans="1:11" x14ac:dyDescent="0.2">
      <c r="A3004" s="1" t="s">
        <v>4994</v>
      </c>
      <c r="B3004" s="1" t="s">
        <v>3755</v>
      </c>
      <c r="C3004" s="1"/>
      <c r="D3004" s="1"/>
      <c r="E3004" s="1"/>
      <c r="F3004" s="1"/>
      <c r="G3004" s="1"/>
      <c r="H3004" s="1" t="str">
        <f>"7804969800496"</f>
        <v>7804969800496</v>
      </c>
      <c r="I3004" s="3">
        <v>0</v>
      </c>
      <c r="J3004" s="3">
        <v>0</v>
      </c>
      <c r="K3004" s="3">
        <v>2000</v>
      </c>
    </row>
    <row r="3005" spans="1:11" x14ac:dyDescent="0.2">
      <c r="A3005" s="1" t="s">
        <v>4994</v>
      </c>
      <c r="B3005" s="1" t="s">
        <v>3756</v>
      </c>
      <c r="C3005" s="1"/>
      <c r="D3005" s="1"/>
      <c r="E3005" s="1"/>
      <c r="F3005" s="1"/>
      <c r="G3005" s="1"/>
      <c r="H3005" s="1" t="str">
        <f>"7804969800182"</f>
        <v>7804969800182</v>
      </c>
      <c r="I3005" s="3">
        <v>0</v>
      </c>
      <c r="J3005" s="3">
        <v>0</v>
      </c>
      <c r="K3005" s="3">
        <v>1000</v>
      </c>
    </row>
    <row r="3006" spans="1:11" x14ac:dyDescent="0.2">
      <c r="A3006" s="1" t="s">
        <v>4994</v>
      </c>
      <c r="B3006" s="1" t="s">
        <v>3757</v>
      </c>
      <c r="C3006" s="1"/>
      <c r="D3006" s="1"/>
      <c r="E3006" s="1"/>
      <c r="F3006" s="1"/>
      <c r="G3006" s="1"/>
      <c r="H3006" s="1" t="str">
        <f>"75613075662204"</f>
        <v>75613075662204</v>
      </c>
      <c r="I3006" s="3">
        <v>0</v>
      </c>
      <c r="J3006" s="3">
        <v>0</v>
      </c>
      <c r="K3006" s="3">
        <v>5000</v>
      </c>
    </row>
    <row r="3007" spans="1:11" x14ac:dyDescent="0.2">
      <c r="A3007" s="1" t="s">
        <v>4994</v>
      </c>
      <c r="B3007" s="1" t="s">
        <v>3758</v>
      </c>
      <c r="C3007" s="1"/>
      <c r="D3007" s="1"/>
      <c r="E3007" s="1"/>
      <c r="F3007" s="1"/>
      <c r="G3007" s="1"/>
      <c r="H3007" s="1" t="str">
        <f>"7804969116047"</f>
        <v>7804969116047</v>
      </c>
      <c r="I3007" s="3">
        <v>0</v>
      </c>
      <c r="J3007" s="3">
        <v>0</v>
      </c>
      <c r="K3007" s="3">
        <v>6500</v>
      </c>
    </row>
    <row r="3008" spans="1:11" x14ac:dyDescent="0.2">
      <c r="A3008" s="1" t="s">
        <v>4994</v>
      </c>
      <c r="B3008" s="1" t="s">
        <v>3759</v>
      </c>
      <c r="C3008" s="1"/>
      <c r="D3008" s="1"/>
      <c r="E3008" s="1"/>
      <c r="F3008" s="1"/>
      <c r="G3008" s="1"/>
      <c r="H3008" s="1" t="str">
        <f>"7804969800137"</f>
        <v>7804969800137</v>
      </c>
      <c r="I3008" s="3">
        <v>0</v>
      </c>
      <c r="J3008" s="3">
        <v>0</v>
      </c>
      <c r="K3008" s="3">
        <v>3000</v>
      </c>
    </row>
    <row r="3009" spans="1:11" x14ac:dyDescent="0.2">
      <c r="A3009" s="1" t="s">
        <v>4994</v>
      </c>
      <c r="B3009" s="1" t="s">
        <v>3760</v>
      </c>
      <c r="C3009" s="1"/>
      <c r="D3009" s="1"/>
      <c r="E3009" s="1"/>
      <c r="F3009" s="1"/>
      <c r="G3009" s="1"/>
      <c r="H3009" s="1" t="str">
        <f>"4026449555020"</f>
        <v>4026449555020</v>
      </c>
      <c r="I3009" s="3">
        <v>0</v>
      </c>
      <c r="J3009" s="3">
        <v>0</v>
      </c>
      <c r="K3009" s="3">
        <v>4500</v>
      </c>
    </row>
    <row r="3010" spans="1:11" x14ac:dyDescent="0.2">
      <c r="A3010" s="1" t="s">
        <v>4994</v>
      </c>
      <c r="B3010" s="1" t="s">
        <v>3761</v>
      </c>
      <c r="C3010" s="1"/>
      <c r="D3010" s="1"/>
      <c r="E3010" s="1"/>
      <c r="F3010" s="1"/>
      <c r="G3010" s="1"/>
      <c r="H3010" s="1" t="str">
        <f>"7804969800625"</f>
        <v>7804969800625</v>
      </c>
      <c r="I3010" s="3">
        <v>0</v>
      </c>
      <c r="J3010" s="3">
        <v>0</v>
      </c>
      <c r="K3010" s="3">
        <v>4500</v>
      </c>
    </row>
    <row r="3011" spans="1:11" x14ac:dyDescent="0.2">
      <c r="A3011" s="1" t="s">
        <v>4994</v>
      </c>
      <c r="B3011" s="1" t="s">
        <v>3762</v>
      </c>
      <c r="C3011" s="1"/>
      <c r="D3011" s="1"/>
      <c r="E3011" s="1"/>
      <c r="F3011" s="1"/>
      <c r="G3011" s="1"/>
      <c r="H3011" s="1" t="str">
        <f>"4026449005709"</f>
        <v>4026449005709</v>
      </c>
      <c r="I3011" s="3">
        <v>0</v>
      </c>
      <c r="J3011" s="3">
        <v>0</v>
      </c>
      <c r="K3011" s="3">
        <v>3000</v>
      </c>
    </row>
    <row r="3012" spans="1:11" x14ac:dyDescent="0.2">
      <c r="A3012" s="1" t="s">
        <v>4994</v>
      </c>
      <c r="B3012" s="1" t="s">
        <v>3763</v>
      </c>
      <c r="C3012" s="1"/>
      <c r="D3012" s="1"/>
      <c r="E3012" s="1"/>
      <c r="F3012" s="1"/>
      <c r="G3012" s="1"/>
      <c r="H3012" s="1" t="str">
        <f>"7804969800571"</f>
        <v>7804969800571</v>
      </c>
      <c r="I3012" s="3">
        <v>0</v>
      </c>
      <c r="J3012" s="3">
        <v>0</v>
      </c>
      <c r="K3012" s="3">
        <v>2000</v>
      </c>
    </row>
    <row r="3013" spans="1:11" x14ac:dyDescent="0.2">
      <c r="A3013" s="1" t="s">
        <v>4994</v>
      </c>
      <c r="B3013" s="1" t="s">
        <v>3764</v>
      </c>
      <c r="C3013" s="1"/>
      <c r="D3013" s="1"/>
      <c r="E3013" s="1"/>
      <c r="F3013" s="1"/>
      <c r="G3013" s="1"/>
      <c r="H3013" s="1" t="str">
        <f>"7804969800700"</f>
        <v>7804969800700</v>
      </c>
      <c r="I3013" s="3">
        <v>0</v>
      </c>
      <c r="J3013" s="3">
        <v>0</v>
      </c>
      <c r="K3013" s="3">
        <v>10000</v>
      </c>
    </row>
    <row r="3014" spans="1:11" x14ac:dyDescent="0.2">
      <c r="A3014" s="1" t="s">
        <v>4994</v>
      </c>
      <c r="B3014" s="1" t="s">
        <v>3765</v>
      </c>
      <c r="C3014" s="1"/>
      <c r="D3014" s="1"/>
      <c r="E3014" s="1"/>
      <c r="F3014" s="1"/>
      <c r="G3014" s="1"/>
      <c r="H3014" s="1" t="str">
        <f>"7804969800250"</f>
        <v>7804969800250</v>
      </c>
      <c r="I3014" s="3">
        <v>0</v>
      </c>
      <c r="J3014" s="3">
        <v>0</v>
      </c>
      <c r="K3014" s="3">
        <v>2000</v>
      </c>
    </row>
    <row r="3015" spans="1:11" x14ac:dyDescent="0.2">
      <c r="A3015" s="1" t="s">
        <v>4994</v>
      </c>
      <c r="B3015" s="1" t="s">
        <v>3766</v>
      </c>
      <c r="C3015" s="1"/>
      <c r="D3015" s="1"/>
      <c r="E3015" s="1"/>
      <c r="F3015" s="1"/>
      <c r="G3015" s="1"/>
      <c r="H3015" s="1" t="str">
        <f>"7804969800502"</f>
        <v>7804969800502</v>
      </c>
      <c r="I3015" s="3">
        <v>0</v>
      </c>
      <c r="J3015" s="3">
        <v>0</v>
      </c>
      <c r="K3015" s="3">
        <v>2500</v>
      </c>
    </row>
    <row r="3016" spans="1:11" x14ac:dyDescent="0.2">
      <c r="A3016" s="1" t="s">
        <v>4994</v>
      </c>
      <c r="B3016" s="1" t="s">
        <v>3767</v>
      </c>
      <c r="C3016" s="1"/>
      <c r="D3016" s="1"/>
      <c r="E3016" s="1"/>
      <c r="F3016" s="1"/>
      <c r="G3016" s="1"/>
      <c r="H3016" s="1" t="str">
        <f>"4026449100145"</f>
        <v>4026449100145</v>
      </c>
      <c r="I3016" s="3">
        <v>0</v>
      </c>
      <c r="J3016" s="3">
        <v>0</v>
      </c>
      <c r="K3016" s="3">
        <v>3500</v>
      </c>
    </row>
    <row r="3017" spans="1:11" x14ac:dyDescent="0.2">
      <c r="A3017" s="1" t="s">
        <v>4994</v>
      </c>
      <c r="B3017" s="1" t="s">
        <v>3768</v>
      </c>
      <c r="C3017" s="1"/>
      <c r="D3017" s="1"/>
      <c r="E3017" s="1"/>
      <c r="F3017" s="1"/>
      <c r="G3017" s="1"/>
      <c r="H3017" s="1" t="str">
        <f>"7804969351639"</f>
        <v>7804969351639</v>
      </c>
      <c r="I3017" s="3">
        <v>0</v>
      </c>
      <c r="J3017" s="3">
        <v>0</v>
      </c>
      <c r="K3017" s="3">
        <v>1500</v>
      </c>
    </row>
    <row r="3018" spans="1:11" x14ac:dyDescent="0.2">
      <c r="A3018" s="1" t="s">
        <v>4994</v>
      </c>
      <c r="B3018" s="1" t="s">
        <v>3769</v>
      </c>
      <c r="C3018" s="1"/>
      <c r="D3018" s="1"/>
      <c r="E3018" s="1"/>
      <c r="F3018" s="1"/>
      <c r="G3018" s="1"/>
      <c r="H3018" s="1" t="str">
        <f>"7804969128316"</f>
        <v>7804969128316</v>
      </c>
      <c r="I3018" s="3">
        <v>0</v>
      </c>
      <c r="J3018" s="3">
        <v>0</v>
      </c>
      <c r="K3018" s="3">
        <v>8000</v>
      </c>
    </row>
    <row r="3019" spans="1:11" x14ac:dyDescent="0.2">
      <c r="A3019" s="1" t="s">
        <v>4994</v>
      </c>
      <c r="B3019" s="1" t="s">
        <v>3770</v>
      </c>
      <c r="C3019" s="1"/>
      <c r="D3019" s="1"/>
      <c r="E3019" s="1"/>
      <c r="F3019" s="1"/>
      <c r="G3019" s="1"/>
      <c r="H3019" s="1" t="str">
        <f>"7804969129207"</f>
        <v>7804969129207</v>
      </c>
      <c r="I3019" s="3">
        <v>0</v>
      </c>
      <c r="J3019" s="3">
        <v>0</v>
      </c>
      <c r="K3019" s="3">
        <v>3500</v>
      </c>
    </row>
    <row r="3020" spans="1:11" x14ac:dyDescent="0.2">
      <c r="A3020" s="1" t="s">
        <v>4994</v>
      </c>
      <c r="B3020" s="1" t="s">
        <v>3771</v>
      </c>
      <c r="C3020" s="1"/>
      <c r="D3020" s="1"/>
      <c r="E3020" s="1"/>
      <c r="F3020" s="1"/>
      <c r="G3020" s="1"/>
      <c r="H3020" s="1" t="str">
        <f>"7800028003419"</f>
        <v>7800028003419</v>
      </c>
      <c r="I3020" s="3">
        <v>1</v>
      </c>
      <c r="J3020" s="3">
        <v>0</v>
      </c>
      <c r="K3020" s="3">
        <v>19000</v>
      </c>
    </row>
    <row r="3021" spans="1:11" x14ac:dyDescent="0.2">
      <c r="A3021" s="1" t="s">
        <v>4994</v>
      </c>
      <c r="B3021" s="1" t="s">
        <v>3772</v>
      </c>
      <c r="C3021" s="1"/>
      <c r="D3021" s="1"/>
      <c r="E3021" s="1"/>
      <c r="F3021" s="1"/>
      <c r="G3021" s="1"/>
      <c r="H3021" s="1" t="str">
        <f>"8903726249314"</f>
        <v>8903726249314</v>
      </c>
      <c r="I3021" s="3">
        <v>60</v>
      </c>
      <c r="J3021" s="3">
        <v>0</v>
      </c>
      <c r="K3021" s="3">
        <v>4500</v>
      </c>
    </row>
    <row r="3022" spans="1:11" x14ac:dyDescent="0.2">
      <c r="A3022" s="1" t="s">
        <v>4994</v>
      </c>
      <c r="B3022" s="1" t="s">
        <v>3774</v>
      </c>
      <c r="C3022" s="1"/>
      <c r="D3022" s="1"/>
      <c r="E3022" s="1"/>
      <c r="F3022" s="1"/>
      <c r="G3022" s="1"/>
      <c r="H3022" s="1" t="str">
        <f>"8903726250389"</f>
        <v>8903726250389</v>
      </c>
      <c r="I3022" s="3">
        <v>167</v>
      </c>
      <c r="J3022" s="3">
        <v>0</v>
      </c>
      <c r="K3022" s="3">
        <v>3000</v>
      </c>
    </row>
    <row r="3023" spans="1:11" x14ac:dyDescent="0.2">
      <c r="A3023" s="1" t="s">
        <v>4994</v>
      </c>
      <c r="B3023" s="1" t="s">
        <v>3778</v>
      </c>
      <c r="C3023" s="1"/>
      <c r="D3023" s="1"/>
      <c r="E3023" s="1"/>
      <c r="F3023" s="1"/>
      <c r="G3023" s="1"/>
      <c r="H3023" s="1" t="str">
        <f>"256645882253"</f>
        <v>256645882253</v>
      </c>
      <c r="I3023" s="3">
        <v>0</v>
      </c>
      <c r="J3023" s="3">
        <v>0</v>
      </c>
      <c r="K3023" s="3">
        <v>1000</v>
      </c>
    </row>
    <row r="3024" spans="1:11" x14ac:dyDescent="0.2">
      <c r="A3024" s="1" t="s">
        <v>4994</v>
      </c>
      <c r="B3024" s="1" t="s">
        <v>3779</v>
      </c>
      <c r="C3024" s="1"/>
      <c r="D3024" s="1"/>
      <c r="E3024" s="1"/>
      <c r="F3024" s="1"/>
      <c r="G3024" s="1"/>
      <c r="H3024" s="1" t="str">
        <f>"7805633013785"</f>
        <v>7805633013785</v>
      </c>
      <c r="I3024" s="3">
        <v>0</v>
      </c>
      <c r="J3024" s="3">
        <v>0</v>
      </c>
      <c r="K3024" s="3">
        <v>2500</v>
      </c>
    </row>
    <row r="3025" spans="1:11" x14ac:dyDescent="0.2">
      <c r="A3025" s="1" t="s">
        <v>4994</v>
      </c>
      <c r="B3025" s="1" t="s">
        <v>3780</v>
      </c>
      <c r="C3025" s="1"/>
      <c r="D3025" s="1"/>
      <c r="E3025" s="1"/>
      <c r="F3025" s="1"/>
      <c r="G3025" s="1"/>
      <c r="H3025" s="1" t="str">
        <f>"7804918403112"</f>
        <v>7804918403112</v>
      </c>
      <c r="I3025" s="3">
        <v>0</v>
      </c>
      <c r="J3025" s="3">
        <v>0</v>
      </c>
      <c r="K3025" s="3">
        <v>2500</v>
      </c>
    </row>
    <row r="3026" spans="1:11" x14ac:dyDescent="0.2">
      <c r="A3026" s="1" t="s">
        <v>4994</v>
      </c>
      <c r="B3026" s="1" t="s">
        <v>3781</v>
      </c>
      <c r="C3026" s="1"/>
      <c r="D3026" s="1"/>
      <c r="E3026" s="1"/>
      <c r="F3026" s="1"/>
      <c r="G3026" s="1"/>
      <c r="H3026" s="1" t="str">
        <f>"7501159033442"</f>
        <v>7501159033442</v>
      </c>
      <c r="I3026" s="3">
        <v>2</v>
      </c>
      <c r="J3026" s="3">
        <v>0</v>
      </c>
      <c r="K3026" s="3">
        <v>3000</v>
      </c>
    </row>
    <row r="3027" spans="1:11" x14ac:dyDescent="0.2">
      <c r="A3027" s="1" t="s">
        <v>4994</v>
      </c>
      <c r="B3027" s="1" t="s">
        <v>3782</v>
      </c>
      <c r="C3027" s="1"/>
      <c r="D3027" s="1"/>
      <c r="E3027" s="1"/>
      <c r="F3027" s="1"/>
      <c r="G3027" s="1"/>
      <c r="H3027" s="1" t="str">
        <f>"7804918450024"</f>
        <v>7804918450024</v>
      </c>
      <c r="I3027" s="3">
        <v>23</v>
      </c>
      <c r="J3027" s="3">
        <v>0</v>
      </c>
      <c r="K3027" s="3">
        <v>2000</v>
      </c>
    </row>
    <row r="3028" spans="1:11" x14ac:dyDescent="0.2">
      <c r="A3028" s="1" t="s">
        <v>4994</v>
      </c>
      <c r="B3028" s="1" t="s">
        <v>3783</v>
      </c>
      <c r="C3028" s="1"/>
      <c r="D3028" s="1"/>
      <c r="E3028" s="1"/>
      <c r="F3028" s="1"/>
      <c r="G3028" s="1"/>
      <c r="H3028" s="1" t="str">
        <f>"7804918402405"</f>
        <v>7804918402405</v>
      </c>
      <c r="I3028" s="3">
        <v>4</v>
      </c>
      <c r="J3028" s="3">
        <v>0</v>
      </c>
      <c r="K3028" s="3">
        <v>3500</v>
      </c>
    </row>
    <row r="3029" spans="1:11" x14ac:dyDescent="0.2">
      <c r="A3029" s="1" t="s">
        <v>4994</v>
      </c>
      <c r="B3029" s="1" t="s">
        <v>3784</v>
      </c>
      <c r="C3029" s="1"/>
      <c r="D3029" s="1"/>
      <c r="E3029" s="1"/>
      <c r="F3029" s="1"/>
      <c r="G3029" s="1"/>
      <c r="H3029" s="1" t="str">
        <f>"7804918450161"</f>
        <v>7804918450161</v>
      </c>
      <c r="I3029" s="3">
        <v>10</v>
      </c>
      <c r="J3029" s="3">
        <v>0</v>
      </c>
      <c r="K3029" s="3">
        <v>5000</v>
      </c>
    </row>
    <row r="3030" spans="1:11" x14ac:dyDescent="0.2">
      <c r="A3030" s="1" t="s">
        <v>4994</v>
      </c>
      <c r="B3030" s="1" t="s">
        <v>3786</v>
      </c>
      <c r="C3030" s="1"/>
      <c r="D3030" s="1"/>
      <c r="E3030" s="1"/>
      <c r="F3030" s="1"/>
      <c r="G3030" s="1"/>
      <c r="H3030" s="1" t="str">
        <f>"7804918450178"</f>
        <v>7804918450178</v>
      </c>
      <c r="I3030" s="3">
        <v>0</v>
      </c>
      <c r="J3030" s="3">
        <v>0</v>
      </c>
      <c r="K3030" s="3">
        <v>5000</v>
      </c>
    </row>
    <row r="3031" spans="1:11" x14ac:dyDescent="0.2">
      <c r="A3031" s="1" t="s">
        <v>4994</v>
      </c>
      <c r="B3031" s="1" t="s">
        <v>3787</v>
      </c>
      <c r="C3031" s="1"/>
      <c r="D3031" s="1"/>
      <c r="E3031" s="1"/>
      <c r="F3031" s="1"/>
      <c r="G3031" s="1"/>
      <c r="H3031" s="1" t="str">
        <f>"7804918450017"</f>
        <v>7804918450017</v>
      </c>
      <c r="I3031" s="3">
        <v>33</v>
      </c>
      <c r="J3031" s="3">
        <v>0</v>
      </c>
      <c r="K3031" s="3">
        <v>2000</v>
      </c>
    </row>
    <row r="3032" spans="1:11" x14ac:dyDescent="0.2">
      <c r="A3032" s="1" t="s">
        <v>4994</v>
      </c>
      <c r="B3032" s="1" t="s">
        <v>3788</v>
      </c>
      <c r="C3032" s="1"/>
      <c r="D3032" s="1"/>
      <c r="E3032" s="1"/>
      <c r="F3032" s="1"/>
      <c r="G3032" s="1"/>
      <c r="H3032" s="1" t="str">
        <f>"7804918401842"</f>
        <v>7804918401842</v>
      </c>
      <c r="I3032" s="3">
        <v>10</v>
      </c>
      <c r="J3032" s="3">
        <v>0</v>
      </c>
      <c r="K3032" s="3">
        <v>6000</v>
      </c>
    </row>
    <row r="3033" spans="1:11" x14ac:dyDescent="0.2">
      <c r="A3033" s="1" t="s">
        <v>4994</v>
      </c>
      <c r="B3033" s="1" t="s">
        <v>3789</v>
      </c>
      <c r="C3033" s="1"/>
      <c r="D3033" s="1"/>
      <c r="E3033" s="1"/>
      <c r="F3033" s="1"/>
      <c r="G3033" s="1"/>
      <c r="H3033" s="1" t="str">
        <f>"7804918402450"</f>
        <v>7804918402450</v>
      </c>
      <c r="I3033" s="3">
        <v>0</v>
      </c>
      <c r="J3033" s="3">
        <v>0</v>
      </c>
      <c r="K3033" s="3">
        <v>5250</v>
      </c>
    </row>
    <row r="3034" spans="1:11" x14ac:dyDescent="0.2">
      <c r="A3034" s="1" t="s">
        <v>4994</v>
      </c>
      <c r="B3034" s="1" t="s">
        <v>3791</v>
      </c>
      <c r="C3034" s="1"/>
      <c r="D3034" s="1"/>
      <c r="E3034" s="1"/>
      <c r="F3034" s="1"/>
      <c r="G3034" s="1"/>
      <c r="H3034" s="1" t="str">
        <f>"7800028003495"</f>
        <v>7800028003495</v>
      </c>
      <c r="I3034" s="3">
        <v>3</v>
      </c>
      <c r="J3034" s="3">
        <v>0</v>
      </c>
      <c r="K3034" s="3">
        <v>10000</v>
      </c>
    </row>
    <row r="3035" spans="1:11" x14ac:dyDescent="0.2">
      <c r="A3035" s="1" t="s">
        <v>4994</v>
      </c>
      <c r="B3035" s="1" t="s">
        <v>3792</v>
      </c>
      <c r="C3035" s="1"/>
      <c r="D3035" s="1"/>
      <c r="E3035" s="1"/>
      <c r="F3035" s="1"/>
      <c r="G3035" s="1"/>
      <c r="H3035" s="1" t="str">
        <f>"7800028002863"</f>
        <v>7800028002863</v>
      </c>
      <c r="I3035" s="3">
        <v>0</v>
      </c>
      <c r="J3035" s="3">
        <v>0</v>
      </c>
      <c r="K3035" s="3">
        <v>14000</v>
      </c>
    </row>
    <row r="3036" spans="1:11" x14ac:dyDescent="0.2">
      <c r="A3036" s="1" t="s">
        <v>4994</v>
      </c>
      <c r="B3036" s="1" t="s">
        <v>3793</v>
      </c>
      <c r="C3036" s="1"/>
      <c r="D3036" s="1"/>
      <c r="E3036" s="1"/>
      <c r="F3036" s="1"/>
      <c r="G3036" s="1"/>
      <c r="H3036" s="1" t="str">
        <f>"7500435154420"</f>
        <v>7500435154420</v>
      </c>
      <c r="I3036" s="3">
        <v>0</v>
      </c>
      <c r="J3036" s="3">
        <v>0</v>
      </c>
      <c r="K3036" s="3">
        <v>1000</v>
      </c>
    </row>
    <row r="3037" spans="1:11" x14ac:dyDescent="0.2">
      <c r="A3037" s="1" t="s">
        <v>4994</v>
      </c>
      <c r="B3037" s="1" t="s">
        <v>3794</v>
      </c>
      <c r="C3037" s="1"/>
      <c r="D3037" s="1"/>
      <c r="E3037" s="1"/>
      <c r="F3037" s="1"/>
      <c r="G3037" s="1"/>
      <c r="H3037" s="1" t="str">
        <f>"7500435172837"</f>
        <v>7500435172837</v>
      </c>
      <c r="I3037" s="3">
        <v>144</v>
      </c>
      <c r="J3037" s="3">
        <v>0</v>
      </c>
      <c r="K3037" s="3">
        <v>1500</v>
      </c>
    </row>
    <row r="3038" spans="1:11" x14ac:dyDescent="0.2">
      <c r="A3038" s="1" t="s">
        <v>4994</v>
      </c>
      <c r="B3038" s="1" t="s">
        <v>3795</v>
      </c>
      <c r="C3038" s="1"/>
      <c r="D3038" s="1"/>
      <c r="E3038" s="1"/>
      <c r="F3038" s="1"/>
      <c r="G3038" s="1"/>
      <c r="H3038" s="1" t="str">
        <f>"7702018880409"</f>
        <v>7702018880409</v>
      </c>
      <c r="I3038" s="3">
        <v>0</v>
      </c>
      <c r="J3038" s="3">
        <v>0</v>
      </c>
      <c r="K3038" s="3">
        <v>1500</v>
      </c>
    </row>
    <row r="3039" spans="1:11" x14ac:dyDescent="0.2">
      <c r="A3039" s="1" t="s">
        <v>4994</v>
      </c>
      <c r="B3039" s="1" t="s">
        <v>3796</v>
      </c>
      <c r="C3039" s="1"/>
      <c r="D3039" s="1"/>
      <c r="E3039" s="1"/>
      <c r="F3039" s="1"/>
      <c r="G3039" s="1"/>
      <c r="H3039" s="1" t="str">
        <f>"4891228530136"</f>
        <v>4891228530136</v>
      </c>
      <c r="I3039" s="3">
        <v>0</v>
      </c>
      <c r="J3039" s="3">
        <v>0</v>
      </c>
      <c r="K3039" s="3">
        <v>1500</v>
      </c>
    </row>
    <row r="3040" spans="1:11" x14ac:dyDescent="0.2">
      <c r="A3040" s="1" t="s">
        <v>4994</v>
      </c>
      <c r="B3040" s="1" t="s">
        <v>3797</v>
      </c>
      <c r="C3040" s="1"/>
      <c r="D3040" s="1"/>
      <c r="E3040" s="1"/>
      <c r="F3040" s="1"/>
      <c r="G3040" s="1"/>
      <c r="H3040" s="1" t="str">
        <f>"7591066701015"</f>
        <v>7591066701015</v>
      </c>
      <c r="I3040" s="3">
        <v>0</v>
      </c>
      <c r="J3040" s="3">
        <v>0</v>
      </c>
      <c r="K3040" s="3">
        <v>1000</v>
      </c>
    </row>
    <row r="3041" spans="1:11" x14ac:dyDescent="0.2">
      <c r="A3041" s="1" t="s">
        <v>4994</v>
      </c>
      <c r="B3041" s="1" t="s">
        <v>3798</v>
      </c>
      <c r="C3041" s="1"/>
      <c r="D3041" s="1"/>
      <c r="E3041" s="1"/>
      <c r="F3041" s="1"/>
      <c r="G3041" s="1"/>
      <c r="H3041" s="1" t="str">
        <f>"7804907985322"</f>
        <v>7804907985322</v>
      </c>
      <c r="I3041" s="3">
        <v>0</v>
      </c>
      <c r="J3041" s="3">
        <v>0</v>
      </c>
      <c r="K3041" s="3">
        <v>3500</v>
      </c>
    </row>
    <row r="3042" spans="1:11" x14ac:dyDescent="0.2">
      <c r="A3042" s="1" t="s">
        <v>4994</v>
      </c>
      <c r="B3042" s="1" t="s">
        <v>3799</v>
      </c>
      <c r="C3042" s="1"/>
      <c r="D3042" s="1"/>
      <c r="E3042" s="1"/>
      <c r="F3042" s="1"/>
      <c r="G3042" s="1"/>
      <c r="H3042" s="1" t="str">
        <f>"5411834923451"</f>
        <v>5411834923451</v>
      </c>
      <c r="I3042" s="3">
        <v>0</v>
      </c>
      <c r="J3042" s="3">
        <v>0</v>
      </c>
      <c r="K3042" s="3">
        <v>4500</v>
      </c>
    </row>
    <row r="3043" spans="1:11" x14ac:dyDescent="0.2">
      <c r="A3043" s="1" t="s">
        <v>4994</v>
      </c>
      <c r="B3043" s="1" t="s">
        <v>3800</v>
      </c>
      <c r="C3043" s="1"/>
      <c r="D3043" s="1"/>
      <c r="E3043" s="1"/>
      <c r="F3043" s="1"/>
      <c r="G3043" s="1"/>
      <c r="H3043" s="1" t="str">
        <f>"5411834423456"</f>
        <v>5411834423456</v>
      </c>
      <c r="I3043" s="3">
        <v>0</v>
      </c>
      <c r="J3043" s="3">
        <v>0</v>
      </c>
      <c r="K3043" s="3">
        <v>1500</v>
      </c>
    </row>
    <row r="3044" spans="1:11" x14ac:dyDescent="0.2">
      <c r="A3044" s="1" t="s">
        <v>4994</v>
      </c>
      <c r="B3044" s="1" t="s">
        <v>3801</v>
      </c>
      <c r="C3044" s="1"/>
      <c r="D3044" s="1"/>
      <c r="E3044" s="1"/>
      <c r="F3044" s="1"/>
      <c r="G3044" s="1"/>
      <c r="H3044" s="1" t="str">
        <f>"5411834087627"</f>
        <v>5411834087627</v>
      </c>
      <c r="I3044" s="3">
        <v>0</v>
      </c>
      <c r="J3044" s="3">
        <v>0</v>
      </c>
      <c r="K3044" s="3">
        <v>4500</v>
      </c>
    </row>
    <row r="3045" spans="1:11" x14ac:dyDescent="0.2">
      <c r="A3045" s="1" t="s">
        <v>4994</v>
      </c>
      <c r="B3045" s="1" t="s">
        <v>3802</v>
      </c>
      <c r="C3045" s="1"/>
      <c r="D3045" s="1"/>
      <c r="E3045" s="1"/>
      <c r="F3045" s="1"/>
      <c r="G3045" s="1"/>
      <c r="H3045" s="1" t="str">
        <f>"5411834091228"</f>
        <v>5411834091228</v>
      </c>
      <c r="I3045" s="3">
        <v>0</v>
      </c>
      <c r="J3045" s="3">
        <v>0</v>
      </c>
      <c r="K3045" s="3">
        <v>4000</v>
      </c>
    </row>
    <row r="3046" spans="1:11" x14ac:dyDescent="0.2">
      <c r="A3046" s="1" t="s">
        <v>4994</v>
      </c>
      <c r="B3046" s="1" t="s">
        <v>3803</v>
      </c>
      <c r="C3046" s="1"/>
      <c r="D3046" s="1"/>
      <c r="E3046" s="1"/>
      <c r="F3046" s="1"/>
      <c r="G3046" s="1"/>
      <c r="H3046" s="1" t="str">
        <f>"5411834500201"</f>
        <v>5411834500201</v>
      </c>
      <c r="I3046" s="3">
        <v>0</v>
      </c>
      <c r="J3046" s="3">
        <v>0</v>
      </c>
      <c r="K3046" s="3">
        <v>1500</v>
      </c>
    </row>
    <row r="3047" spans="1:11" x14ac:dyDescent="0.2">
      <c r="A3047" s="1" t="s">
        <v>4994</v>
      </c>
      <c r="B3047" s="1" t="s">
        <v>3807</v>
      </c>
      <c r="C3047" s="1"/>
      <c r="D3047" s="1"/>
      <c r="E3047" s="1"/>
      <c r="F3047" s="1"/>
      <c r="G3047" s="1"/>
      <c r="H3047" s="1" t="str">
        <f>"7800007154071"</f>
        <v>7800007154071</v>
      </c>
      <c r="I3047" s="3">
        <v>3</v>
      </c>
      <c r="J3047" s="3">
        <v>0</v>
      </c>
      <c r="K3047" s="3">
        <v>8500</v>
      </c>
    </row>
    <row r="3048" spans="1:11" x14ac:dyDescent="0.2">
      <c r="A3048" s="1" t="s">
        <v>4994</v>
      </c>
      <c r="B3048" s="1" t="s">
        <v>3808</v>
      </c>
      <c r="C3048" s="1"/>
      <c r="D3048" s="1"/>
      <c r="E3048" s="1"/>
      <c r="F3048" s="1"/>
      <c r="G3048" s="1"/>
      <c r="H3048" s="1" t="str">
        <f>"7501007457123"</f>
        <v>7501007457123</v>
      </c>
      <c r="I3048" s="3">
        <v>0</v>
      </c>
      <c r="J3048" s="3">
        <v>0</v>
      </c>
      <c r="K3048" s="3">
        <v>2500</v>
      </c>
    </row>
    <row r="3049" spans="1:11" x14ac:dyDescent="0.2">
      <c r="A3049" s="1" t="s">
        <v>4994</v>
      </c>
      <c r="B3049" s="1" t="s">
        <v>3809</v>
      </c>
      <c r="C3049" s="1"/>
      <c r="D3049" s="1"/>
      <c r="E3049" s="1"/>
      <c r="F3049" s="1"/>
      <c r="G3049" s="1"/>
      <c r="H3049" s="1" t="str">
        <f>"7800070004372"</f>
        <v>7800070004372</v>
      </c>
      <c r="I3049" s="3">
        <v>0</v>
      </c>
      <c r="J3049" s="3">
        <v>0</v>
      </c>
      <c r="K3049" s="3">
        <v>7500</v>
      </c>
    </row>
    <row r="3050" spans="1:11" x14ac:dyDescent="0.2">
      <c r="A3050" s="1" t="s">
        <v>4994</v>
      </c>
      <c r="B3050" s="1" t="s">
        <v>3810</v>
      </c>
      <c r="C3050" s="1"/>
      <c r="D3050" s="1"/>
      <c r="E3050" s="1"/>
      <c r="F3050" s="1"/>
      <c r="G3050" s="1"/>
      <c r="H3050" s="1" t="str">
        <f>"7800059006533"</f>
        <v>7800059006533</v>
      </c>
      <c r="I3050" s="3">
        <v>0</v>
      </c>
      <c r="J3050" s="3">
        <v>0</v>
      </c>
      <c r="K3050" s="3">
        <v>20000</v>
      </c>
    </row>
    <row r="3051" spans="1:11" x14ac:dyDescent="0.2">
      <c r="A3051" s="1" t="s">
        <v>4994</v>
      </c>
      <c r="B3051" s="1" t="s">
        <v>3811</v>
      </c>
      <c r="C3051" s="1"/>
      <c r="D3051" s="1"/>
      <c r="E3051" s="1"/>
      <c r="F3051" s="1"/>
      <c r="G3051" s="1"/>
      <c r="H3051" s="1" t="str">
        <f>"7800059006540"</f>
        <v>7800059006540</v>
      </c>
      <c r="I3051" s="3">
        <v>0</v>
      </c>
      <c r="J3051" s="3">
        <v>0</v>
      </c>
      <c r="K3051" s="3">
        <v>15000</v>
      </c>
    </row>
    <row r="3052" spans="1:11" x14ac:dyDescent="0.2">
      <c r="A3052" s="1" t="s">
        <v>4994</v>
      </c>
      <c r="B3052" s="1" t="s">
        <v>3815</v>
      </c>
      <c r="C3052" s="1"/>
      <c r="D3052" s="1"/>
      <c r="E3052" s="1"/>
      <c r="F3052" s="1"/>
      <c r="G3052" s="1"/>
      <c r="H3052" s="1" t="str">
        <f>"7804651290055"</f>
        <v>7804651290055</v>
      </c>
      <c r="I3052" s="3">
        <v>0</v>
      </c>
      <c r="J3052" s="3">
        <v>0</v>
      </c>
      <c r="K3052" s="3">
        <v>15000</v>
      </c>
    </row>
    <row r="3053" spans="1:11" x14ac:dyDescent="0.2">
      <c r="A3053" s="1" t="s">
        <v>4994</v>
      </c>
      <c r="B3053" s="1" t="s">
        <v>3816</v>
      </c>
      <c r="C3053" s="1"/>
      <c r="D3053" s="1"/>
      <c r="E3053" s="1"/>
      <c r="F3053" s="1"/>
      <c r="G3053" s="1"/>
      <c r="H3053" s="1" t="str">
        <f>"7800059003990"</f>
        <v>7800059003990</v>
      </c>
      <c r="I3053" s="3">
        <v>0</v>
      </c>
      <c r="J3053" s="3">
        <v>0</v>
      </c>
      <c r="K3053" s="3">
        <v>15000</v>
      </c>
    </row>
    <row r="3054" spans="1:11" x14ac:dyDescent="0.2">
      <c r="A3054" s="1" t="s">
        <v>4994</v>
      </c>
      <c r="B3054" s="1" t="s">
        <v>3818</v>
      </c>
      <c r="C3054" s="1"/>
      <c r="D3054" s="1"/>
      <c r="E3054" s="1"/>
      <c r="F3054" s="1"/>
      <c r="G3054" s="1"/>
      <c r="H3054" s="1" t="str">
        <f>"7800004348008"</f>
        <v>7800004348008</v>
      </c>
      <c r="I3054" s="3">
        <v>21</v>
      </c>
      <c r="J3054" s="3">
        <v>0</v>
      </c>
      <c r="K3054" s="3">
        <v>10000</v>
      </c>
    </row>
    <row r="3055" spans="1:11" x14ac:dyDescent="0.2">
      <c r="A3055" s="1" t="s">
        <v>4994</v>
      </c>
      <c r="B3055" s="1" t="s">
        <v>3820</v>
      </c>
      <c r="C3055" s="1"/>
      <c r="D3055" s="1"/>
      <c r="E3055" s="1"/>
      <c r="F3055" s="1"/>
      <c r="G3055" s="1"/>
      <c r="H3055" s="1" t="str">
        <f>"7800068014888"</f>
        <v>7800068014888</v>
      </c>
      <c r="I3055" s="3">
        <v>0</v>
      </c>
      <c r="J3055" s="3">
        <v>0</v>
      </c>
      <c r="K3055" s="3">
        <v>8000</v>
      </c>
    </row>
    <row r="3056" spans="1:11" x14ac:dyDescent="0.2">
      <c r="A3056" s="1" t="s">
        <v>4994</v>
      </c>
      <c r="B3056" s="1" t="s">
        <v>3821</v>
      </c>
      <c r="C3056" s="1"/>
      <c r="D3056" s="1"/>
      <c r="E3056" s="1"/>
      <c r="F3056" s="1"/>
      <c r="G3056" s="1"/>
      <c r="H3056" s="1" t="str">
        <f>"7800068014185"</f>
        <v>7800068014185</v>
      </c>
      <c r="I3056" s="3">
        <v>3</v>
      </c>
      <c r="J3056" s="3">
        <v>0</v>
      </c>
      <c r="K3056" s="3">
        <v>6500</v>
      </c>
    </row>
    <row r="3057" spans="1:11" x14ac:dyDescent="0.2">
      <c r="A3057" s="1" t="s">
        <v>4994</v>
      </c>
      <c r="B3057" s="1" t="s">
        <v>3822</v>
      </c>
      <c r="C3057" s="1"/>
      <c r="D3057" s="1"/>
      <c r="E3057" s="1"/>
      <c r="F3057" s="1"/>
      <c r="G3057" s="1"/>
      <c r="H3057" s="1" t="str">
        <f>"7800068014222"</f>
        <v>7800068014222</v>
      </c>
      <c r="I3057" s="3">
        <v>1</v>
      </c>
      <c r="J3057" s="3">
        <v>0</v>
      </c>
      <c r="K3057" s="3">
        <v>7000</v>
      </c>
    </row>
    <row r="3058" spans="1:11" x14ac:dyDescent="0.2">
      <c r="A3058" s="1" t="s">
        <v>4994</v>
      </c>
      <c r="B3058" s="1" t="s">
        <v>3823</v>
      </c>
      <c r="C3058" s="1"/>
      <c r="D3058" s="1"/>
      <c r="E3058" s="1"/>
      <c r="F3058" s="1"/>
      <c r="G3058" s="1"/>
      <c r="H3058" s="1" t="str">
        <f>"384840518001"</f>
        <v>384840518001</v>
      </c>
      <c r="I3058" s="3">
        <v>0</v>
      </c>
      <c r="J3058" s="3">
        <v>0</v>
      </c>
      <c r="K3058" s="3">
        <v>14000</v>
      </c>
    </row>
    <row r="3059" spans="1:11" x14ac:dyDescent="0.2">
      <c r="A3059" s="1" t="s">
        <v>4994</v>
      </c>
      <c r="B3059" s="1" t="s">
        <v>3824</v>
      </c>
      <c r="C3059" s="1"/>
      <c r="D3059" s="1"/>
      <c r="E3059" s="1"/>
      <c r="F3059" s="1"/>
      <c r="G3059" s="1"/>
      <c r="H3059" s="1" t="str">
        <f>"518506361829"</f>
        <v>518506361829</v>
      </c>
      <c r="I3059" s="3">
        <v>0</v>
      </c>
      <c r="J3059" s="3">
        <v>0</v>
      </c>
      <c r="K3059" s="3">
        <v>18000</v>
      </c>
    </row>
    <row r="3060" spans="1:11" x14ac:dyDescent="0.2">
      <c r="A3060" s="1" t="s">
        <v>4994</v>
      </c>
      <c r="B3060" s="1" t="s">
        <v>3825</v>
      </c>
      <c r="C3060" s="1"/>
      <c r="D3060" s="1"/>
      <c r="E3060" s="1"/>
      <c r="F3060" s="1"/>
      <c r="G3060" s="1"/>
      <c r="H3060" s="1" t="str">
        <f>"7800026005385"</f>
        <v>7800026005385</v>
      </c>
      <c r="I3060" s="3">
        <v>0</v>
      </c>
      <c r="J3060" s="3">
        <v>0</v>
      </c>
      <c r="K3060" s="3">
        <v>19000</v>
      </c>
    </row>
    <row r="3061" spans="1:11" x14ac:dyDescent="0.2">
      <c r="A3061" s="1" t="s">
        <v>4994</v>
      </c>
      <c r="B3061" s="1" t="s">
        <v>3826</v>
      </c>
      <c r="C3061" s="1"/>
      <c r="D3061" s="1"/>
      <c r="E3061" s="1"/>
      <c r="F3061" s="1"/>
      <c r="G3061" s="1"/>
      <c r="H3061" s="1" t="str">
        <f>"7800026005392"</f>
        <v>7800026005392</v>
      </c>
      <c r="I3061" s="3">
        <v>4</v>
      </c>
      <c r="J3061" s="3">
        <v>0</v>
      </c>
      <c r="K3061" s="3">
        <v>23000</v>
      </c>
    </row>
    <row r="3062" spans="1:11" x14ac:dyDescent="0.2">
      <c r="A3062" s="1" t="s">
        <v>4994</v>
      </c>
      <c r="B3062" s="1" t="s">
        <v>3827</v>
      </c>
      <c r="C3062" s="1"/>
      <c r="D3062" s="1"/>
      <c r="E3062" s="1"/>
      <c r="F3062" s="1"/>
      <c r="G3062" s="1"/>
      <c r="H3062" s="1" t="str">
        <f>"7800004507887"</f>
        <v>7800004507887</v>
      </c>
      <c r="I3062" s="3">
        <v>35</v>
      </c>
      <c r="J3062" s="3">
        <v>0</v>
      </c>
      <c r="K3062" s="3">
        <v>7500</v>
      </c>
    </row>
    <row r="3063" spans="1:11" x14ac:dyDescent="0.2">
      <c r="A3063" s="1" t="s">
        <v>4994</v>
      </c>
      <c r="B3063" s="1" t="s">
        <v>3828</v>
      </c>
      <c r="C3063" s="1"/>
      <c r="D3063" s="1"/>
      <c r="E3063" s="1"/>
      <c r="F3063" s="1"/>
      <c r="G3063" s="1"/>
      <c r="H3063" s="1" t="str">
        <f>"7896226503806"</f>
        <v>7896226503806</v>
      </c>
      <c r="I3063" s="3">
        <v>12</v>
      </c>
      <c r="J3063" s="3">
        <v>0</v>
      </c>
      <c r="K3063" s="3">
        <v>22000</v>
      </c>
    </row>
    <row r="3064" spans="1:11" x14ac:dyDescent="0.2">
      <c r="A3064" s="1" t="s">
        <v>4994</v>
      </c>
      <c r="B3064" s="1" t="s">
        <v>3831</v>
      </c>
      <c r="C3064" s="1"/>
      <c r="D3064" s="1"/>
      <c r="E3064" s="1"/>
      <c r="F3064" s="1"/>
      <c r="G3064" s="1"/>
      <c r="H3064" s="1" t="str">
        <f>"7805357000351"</f>
        <v>7805357000351</v>
      </c>
      <c r="I3064" s="3">
        <v>0</v>
      </c>
      <c r="J3064" s="3">
        <v>0</v>
      </c>
      <c r="K3064" s="3">
        <v>3000</v>
      </c>
    </row>
    <row r="3065" spans="1:11" x14ac:dyDescent="0.2">
      <c r="A3065" s="1" t="s">
        <v>4994</v>
      </c>
      <c r="B3065" s="1" t="s">
        <v>3833</v>
      </c>
      <c r="C3065" s="1"/>
      <c r="D3065" s="1"/>
      <c r="E3065" s="1"/>
      <c r="F3065" s="1"/>
      <c r="G3065" s="1"/>
      <c r="H3065" s="1" t="str">
        <f>"138055651547"</f>
        <v>138055651547</v>
      </c>
      <c r="I3065" s="3">
        <v>0</v>
      </c>
      <c r="J3065" s="3">
        <v>0</v>
      </c>
      <c r="K3065" s="3">
        <v>3500</v>
      </c>
    </row>
    <row r="3066" spans="1:11" x14ac:dyDescent="0.2">
      <c r="A3066" s="1" t="s">
        <v>4994</v>
      </c>
      <c r="B3066" s="1" t="s">
        <v>3835</v>
      </c>
      <c r="C3066" s="1"/>
      <c r="D3066" s="1"/>
      <c r="E3066" s="1"/>
      <c r="F3066" s="1"/>
      <c r="G3066" s="1"/>
      <c r="H3066" s="1" t="str">
        <f>"7805633013891"</f>
        <v>7805633013891</v>
      </c>
      <c r="I3066" s="3">
        <v>0</v>
      </c>
      <c r="J3066" s="3">
        <v>0</v>
      </c>
      <c r="K3066" s="3">
        <v>1000</v>
      </c>
    </row>
    <row r="3067" spans="1:11" x14ac:dyDescent="0.2">
      <c r="A3067" s="1" t="s">
        <v>4994</v>
      </c>
      <c r="B3067" s="1" t="s">
        <v>3836</v>
      </c>
      <c r="C3067" s="1"/>
      <c r="D3067" s="1"/>
      <c r="E3067" s="1"/>
      <c r="F3067" s="1"/>
      <c r="G3067" s="1"/>
      <c r="H3067" s="1" t="str">
        <f>"7805633013884"</f>
        <v>7805633013884</v>
      </c>
      <c r="I3067" s="3">
        <v>55</v>
      </c>
      <c r="J3067" s="3">
        <v>0</v>
      </c>
      <c r="K3067" s="3">
        <v>1000</v>
      </c>
    </row>
    <row r="3068" spans="1:11" x14ac:dyDescent="0.2">
      <c r="A3068" s="1" t="s">
        <v>4994</v>
      </c>
      <c r="B3068" s="1" t="s">
        <v>3839</v>
      </c>
      <c r="C3068" s="1"/>
      <c r="D3068" s="1"/>
      <c r="E3068" s="1"/>
      <c r="F3068" s="1"/>
      <c r="G3068" s="1"/>
      <c r="H3068" s="1" t="str">
        <f>"7805633013662"</f>
        <v>7805633013662</v>
      </c>
      <c r="I3068" s="3">
        <v>0</v>
      </c>
      <c r="J3068" s="3">
        <v>0</v>
      </c>
      <c r="K3068" s="3">
        <v>2000</v>
      </c>
    </row>
    <row r="3069" spans="1:11" x14ac:dyDescent="0.2">
      <c r="A3069" s="1" t="s">
        <v>4994</v>
      </c>
      <c r="B3069" s="1" t="s">
        <v>3840</v>
      </c>
      <c r="C3069" s="1"/>
      <c r="D3069" s="1"/>
      <c r="E3069" s="1"/>
      <c r="F3069" s="1"/>
      <c r="G3069" s="1"/>
      <c r="H3069" s="1" t="str">
        <f>"7805357000849"</f>
        <v>7805357000849</v>
      </c>
      <c r="I3069" s="3">
        <v>0</v>
      </c>
      <c r="J3069" s="3">
        <v>0</v>
      </c>
      <c r="K3069" s="3">
        <v>2000</v>
      </c>
    </row>
    <row r="3070" spans="1:11" x14ac:dyDescent="0.2">
      <c r="A3070" s="1" t="s">
        <v>4994</v>
      </c>
      <c r="B3070" s="1" t="s">
        <v>3843</v>
      </c>
      <c r="C3070" s="1"/>
      <c r="D3070" s="1"/>
      <c r="E3070" s="1"/>
      <c r="F3070" s="1"/>
      <c r="G3070" s="1"/>
      <c r="H3070" s="1" t="str">
        <f>"7805633025535"</f>
        <v>7805633025535</v>
      </c>
      <c r="I3070" s="3">
        <v>0</v>
      </c>
      <c r="J3070" s="3">
        <v>0</v>
      </c>
      <c r="K3070" s="3">
        <v>2000</v>
      </c>
    </row>
    <row r="3071" spans="1:11" x14ac:dyDescent="0.2">
      <c r="A3071" s="1" t="s">
        <v>4994</v>
      </c>
      <c r="B3071" s="1" t="s">
        <v>3845</v>
      </c>
      <c r="C3071" s="1"/>
      <c r="D3071" s="1"/>
      <c r="E3071" s="1"/>
      <c r="F3071" s="1"/>
      <c r="G3071" s="1"/>
      <c r="H3071" s="1" t="str">
        <f>"7803504000520"</f>
        <v>7803504000520</v>
      </c>
      <c r="I3071" s="3">
        <v>0</v>
      </c>
      <c r="J3071" s="3">
        <v>0</v>
      </c>
      <c r="K3071" s="3">
        <v>3000</v>
      </c>
    </row>
    <row r="3072" spans="1:11" x14ac:dyDescent="0.2">
      <c r="A3072" s="1" t="s">
        <v>4994</v>
      </c>
      <c r="B3072" s="1" t="s">
        <v>3846</v>
      </c>
      <c r="C3072" s="1"/>
      <c r="D3072" s="1"/>
      <c r="E3072" s="1"/>
      <c r="F3072" s="1"/>
      <c r="G3072" s="1"/>
      <c r="H3072" s="1" t="str">
        <f>"7803504000124"</f>
        <v>7803504000124</v>
      </c>
      <c r="I3072" s="3">
        <v>57</v>
      </c>
      <c r="J3072" s="3">
        <v>0</v>
      </c>
      <c r="K3072" s="3">
        <v>5000</v>
      </c>
    </row>
    <row r="3073" spans="1:11" x14ac:dyDescent="0.2">
      <c r="A3073" s="1" t="s">
        <v>4994</v>
      </c>
      <c r="B3073" s="1" t="s">
        <v>3856</v>
      </c>
      <c r="C3073" s="1"/>
      <c r="D3073" s="1"/>
      <c r="E3073" s="1"/>
      <c r="F3073" s="1"/>
      <c r="G3073" s="1"/>
      <c r="H3073" s="1" t="str">
        <f>"8000246014689"</f>
        <v>8000246014689</v>
      </c>
      <c r="I3073" s="3">
        <v>0</v>
      </c>
      <c r="J3073" s="3">
        <v>0</v>
      </c>
      <c r="K3073" s="3">
        <v>1000</v>
      </c>
    </row>
    <row r="3074" spans="1:11" x14ac:dyDescent="0.2">
      <c r="A3074" s="1" t="s">
        <v>4994</v>
      </c>
      <c r="B3074" s="1" t="s">
        <v>3857</v>
      </c>
      <c r="C3074" s="1"/>
      <c r="D3074" s="1"/>
      <c r="E3074" s="1"/>
      <c r="F3074" s="1"/>
      <c r="G3074" s="1"/>
      <c r="H3074" s="1" t="str">
        <f>"75613046763420"</f>
        <v>75613046763420</v>
      </c>
      <c r="I3074" s="3">
        <v>0</v>
      </c>
      <c r="J3074" s="3">
        <v>0</v>
      </c>
      <c r="K3074" s="3">
        <v>2000</v>
      </c>
    </row>
    <row r="3075" spans="1:11" x14ac:dyDescent="0.2">
      <c r="A3075" s="1" t="s">
        <v>4994</v>
      </c>
      <c r="B3075" s="1" t="s">
        <v>3858</v>
      </c>
      <c r="C3075" s="1"/>
      <c r="D3075" s="1"/>
      <c r="E3075" s="1"/>
      <c r="F3075" s="1"/>
      <c r="G3075" s="1"/>
      <c r="H3075" s="1" t="str">
        <f>"75613047104057"</f>
        <v>75613047104057</v>
      </c>
      <c r="I3075" s="3">
        <v>0</v>
      </c>
      <c r="J3075" s="3">
        <v>0</v>
      </c>
      <c r="K3075" s="3">
        <v>600</v>
      </c>
    </row>
    <row r="3076" spans="1:11" x14ac:dyDescent="0.2">
      <c r="A3076" s="1" t="s">
        <v>4994</v>
      </c>
      <c r="B3076" s="1" t="s">
        <v>3859</v>
      </c>
      <c r="C3076" s="1"/>
      <c r="D3076" s="1"/>
      <c r="E3076" s="1"/>
      <c r="F3076" s="1"/>
      <c r="G3076" s="1"/>
      <c r="H3076" s="1" t="str">
        <f>"8000246014672"</f>
        <v>8000246014672</v>
      </c>
      <c r="I3076" s="3">
        <v>0</v>
      </c>
      <c r="J3076" s="3">
        <v>0</v>
      </c>
      <c r="K3076" s="3">
        <v>700</v>
      </c>
    </row>
    <row r="3077" spans="1:11" x14ac:dyDescent="0.2">
      <c r="A3077" s="1" t="s">
        <v>4994</v>
      </c>
      <c r="B3077" s="1" t="s">
        <v>3860</v>
      </c>
      <c r="C3077" s="1"/>
      <c r="D3077" s="1"/>
      <c r="E3077" s="1"/>
      <c r="F3077" s="1"/>
      <c r="G3077" s="1"/>
      <c r="H3077" s="1" t="str">
        <f>"75613043953921"</f>
        <v>75613043953921</v>
      </c>
      <c r="I3077" s="3">
        <v>0</v>
      </c>
      <c r="J3077" s="3">
        <v>0</v>
      </c>
      <c r="K3077" s="3">
        <v>1000</v>
      </c>
    </row>
    <row r="3078" spans="1:11" x14ac:dyDescent="0.2">
      <c r="A3078" s="1" t="s">
        <v>4994</v>
      </c>
      <c r="B3078" s="1" t="s">
        <v>3861</v>
      </c>
      <c r="C3078" s="1"/>
      <c r="D3078" s="1"/>
      <c r="E3078" s="1"/>
      <c r="F3078" s="1"/>
      <c r="G3078" s="1"/>
      <c r="H3078" s="1" t="str">
        <f>"6920230614041"</f>
        <v>6920230614041</v>
      </c>
      <c r="I3078" s="3">
        <v>76</v>
      </c>
      <c r="J3078" s="3">
        <v>0</v>
      </c>
      <c r="K3078" s="3">
        <v>1000</v>
      </c>
    </row>
    <row r="3079" spans="1:11" x14ac:dyDescent="0.2">
      <c r="A3079" s="1" t="s">
        <v>4994</v>
      </c>
      <c r="B3079" s="1" t="s">
        <v>3862</v>
      </c>
      <c r="C3079" s="1"/>
      <c r="D3079" s="1"/>
      <c r="E3079" s="1"/>
      <c r="F3079" s="1"/>
      <c r="G3079" s="1"/>
      <c r="H3079" s="1" t="str">
        <f>"75613046925873"</f>
        <v>75613046925873</v>
      </c>
      <c r="I3079" s="3">
        <v>0</v>
      </c>
      <c r="J3079" s="3">
        <v>0</v>
      </c>
      <c r="K3079" s="3">
        <v>600</v>
      </c>
    </row>
    <row r="3080" spans="1:11" x14ac:dyDescent="0.2">
      <c r="A3080" s="1" t="s">
        <v>4994</v>
      </c>
      <c r="B3080" s="1" t="s">
        <v>3863</v>
      </c>
      <c r="C3080" s="1"/>
      <c r="D3080" s="1"/>
      <c r="E3080" s="1"/>
      <c r="F3080" s="1"/>
      <c r="G3080" s="1"/>
      <c r="H3080" s="1" t="str">
        <f>"75613045783258"</f>
        <v>75613045783258</v>
      </c>
      <c r="I3080" s="3">
        <v>0</v>
      </c>
      <c r="J3080" s="3">
        <v>0</v>
      </c>
      <c r="K3080" s="3">
        <v>1500</v>
      </c>
    </row>
    <row r="3081" spans="1:11" x14ac:dyDescent="0.2">
      <c r="A3081" s="1" t="s">
        <v>4994</v>
      </c>
      <c r="B3081" s="1" t="s">
        <v>3864</v>
      </c>
      <c r="C3081" s="1"/>
      <c r="D3081" s="1"/>
      <c r="E3081" s="1"/>
      <c r="F3081" s="1"/>
      <c r="G3081" s="1"/>
      <c r="H3081" s="1" t="str">
        <f>"7509552905700"</f>
        <v>7509552905700</v>
      </c>
      <c r="I3081" s="3">
        <v>0</v>
      </c>
      <c r="J3081" s="3">
        <v>0</v>
      </c>
      <c r="K3081" s="3">
        <v>2500</v>
      </c>
    </row>
    <row r="3082" spans="1:11" x14ac:dyDescent="0.2">
      <c r="A3082" s="1" t="s">
        <v>4994</v>
      </c>
      <c r="B3082" s="1" t="s">
        <v>3865</v>
      </c>
      <c r="C3082" s="1"/>
      <c r="D3082" s="1"/>
      <c r="E3082" s="1"/>
      <c r="F3082" s="1"/>
      <c r="G3082" s="1"/>
      <c r="H3082" s="1" t="str">
        <f>"6920230614027"</f>
        <v>6920230614027</v>
      </c>
      <c r="I3082" s="3">
        <v>92</v>
      </c>
      <c r="J3082" s="3">
        <v>0</v>
      </c>
      <c r="K3082" s="3">
        <v>500</v>
      </c>
    </row>
    <row r="3083" spans="1:11" x14ac:dyDescent="0.2">
      <c r="A3083" s="1" t="s">
        <v>4994</v>
      </c>
      <c r="B3083" s="1" t="s">
        <v>3866</v>
      </c>
      <c r="C3083" s="1"/>
      <c r="D3083" s="1"/>
      <c r="E3083" s="1"/>
      <c r="F3083" s="1"/>
      <c r="G3083" s="1"/>
      <c r="H3083" s="1" t="str">
        <f>"6920230614010"</f>
        <v>6920230614010</v>
      </c>
      <c r="I3083" s="3">
        <v>176</v>
      </c>
      <c r="J3083" s="3">
        <v>0</v>
      </c>
      <c r="K3083" s="3">
        <v>500</v>
      </c>
    </row>
    <row r="3084" spans="1:11" x14ac:dyDescent="0.2">
      <c r="A3084" s="1" t="s">
        <v>4994</v>
      </c>
      <c r="B3084" s="1" t="s">
        <v>3867</v>
      </c>
      <c r="C3084" s="1"/>
      <c r="D3084" s="1"/>
      <c r="E3084" s="1"/>
      <c r="F3084" s="1"/>
      <c r="G3084" s="1"/>
      <c r="H3084" s="1" t="str">
        <f>"4005900122186"</f>
        <v>4005900122186</v>
      </c>
      <c r="I3084" s="3">
        <v>6</v>
      </c>
      <c r="J3084" s="3">
        <v>0</v>
      </c>
      <c r="K3084" s="3">
        <v>2500</v>
      </c>
    </row>
    <row r="3085" spans="1:11" x14ac:dyDescent="0.2">
      <c r="A3085" s="1" t="s">
        <v>4994</v>
      </c>
      <c r="B3085" s="1" t="s">
        <v>3868</v>
      </c>
      <c r="C3085" s="1"/>
      <c r="D3085" s="1"/>
      <c r="E3085" s="1"/>
      <c r="F3085" s="1"/>
      <c r="G3085" s="1"/>
      <c r="H3085" s="1" t="str">
        <f>"6223004865855"</f>
        <v>6223004865855</v>
      </c>
      <c r="I3085" s="3">
        <v>0</v>
      </c>
      <c r="J3085" s="3">
        <v>0</v>
      </c>
      <c r="K3085" s="3">
        <v>500</v>
      </c>
    </row>
    <row r="3086" spans="1:11" x14ac:dyDescent="0.2">
      <c r="A3086" s="1" t="s">
        <v>4994</v>
      </c>
      <c r="B3086" s="1" t="s">
        <v>3869</v>
      </c>
      <c r="C3086" s="1"/>
      <c r="D3086" s="1"/>
      <c r="E3086" s="1"/>
      <c r="F3086" s="1"/>
      <c r="G3086" s="1"/>
      <c r="H3086" s="1" t="str">
        <f>"7806125847680"</f>
        <v>7806125847680</v>
      </c>
      <c r="I3086" s="3">
        <v>0</v>
      </c>
      <c r="J3086" s="3">
        <v>0</v>
      </c>
      <c r="K3086" s="3">
        <v>5000</v>
      </c>
    </row>
    <row r="3087" spans="1:11" x14ac:dyDescent="0.2">
      <c r="A3087" s="1" t="s">
        <v>4994</v>
      </c>
      <c r="B3087" s="1" t="s">
        <v>3870</v>
      </c>
      <c r="C3087" s="1"/>
      <c r="D3087" s="1"/>
      <c r="E3087" s="1"/>
      <c r="F3087" s="1"/>
      <c r="G3087" s="1"/>
      <c r="H3087" s="1" t="str">
        <f>"6921199149599"</f>
        <v>6921199149599</v>
      </c>
      <c r="I3087" s="3">
        <v>0</v>
      </c>
      <c r="J3087" s="3">
        <v>0</v>
      </c>
      <c r="K3087" s="3">
        <v>5000</v>
      </c>
    </row>
    <row r="3088" spans="1:11" x14ac:dyDescent="0.2">
      <c r="A3088" s="1" t="s">
        <v>4994</v>
      </c>
      <c r="B3088" s="1" t="s">
        <v>3871</v>
      </c>
      <c r="C3088" s="1"/>
      <c r="D3088" s="1"/>
      <c r="E3088" s="1"/>
      <c r="F3088" s="1"/>
      <c r="G3088" s="1"/>
      <c r="H3088" s="1" t="str">
        <f>"77936200035462"</f>
        <v>77936200035462</v>
      </c>
      <c r="I3088" s="3">
        <v>0</v>
      </c>
      <c r="J3088" s="3">
        <v>0</v>
      </c>
      <c r="K3088" s="3">
        <v>1000</v>
      </c>
    </row>
    <row r="3089" spans="1:11" x14ac:dyDescent="0.2">
      <c r="A3089" s="1" t="s">
        <v>4994</v>
      </c>
      <c r="B3089" s="1" t="s">
        <v>3872</v>
      </c>
      <c r="C3089" s="1"/>
      <c r="D3089" s="1"/>
      <c r="E3089" s="1"/>
      <c r="F3089" s="1"/>
      <c r="G3089" s="1"/>
      <c r="H3089" s="1" t="str">
        <f>"7790064001985"</f>
        <v>7790064001985</v>
      </c>
      <c r="I3089" s="3">
        <v>0</v>
      </c>
      <c r="J3089" s="3">
        <v>0</v>
      </c>
      <c r="K3089" s="3">
        <v>2500</v>
      </c>
    </row>
    <row r="3090" spans="1:11" x14ac:dyDescent="0.2">
      <c r="A3090" s="1" t="s">
        <v>4994</v>
      </c>
      <c r="B3090" s="1" t="s">
        <v>3873</v>
      </c>
      <c r="C3090" s="1"/>
      <c r="D3090" s="1"/>
      <c r="E3090" s="1"/>
      <c r="F3090" s="1"/>
      <c r="G3090" s="1"/>
      <c r="H3090" s="1" t="str">
        <f>"4005900994776"</f>
        <v>4005900994776</v>
      </c>
      <c r="I3090" s="3">
        <v>7</v>
      </c>
      <c r="J3090" s="3">
        <v>0</v>
      </c>
      <c r="K3090" s="3">
        <v>14000</v>
      </c>
    </row>
    <row r="3091" spans="1:11" x14ac:dyDescent="0.2">
      <c r="A3091" s="1" t="s">
        <v>4994</v>
      </c>
      <c r="B3091" s="1" t="s">
        <v>3874</v>
      </c>
      <c r="C3091" s="1"/>
      <c r="D3091" s="1"/>
      <c r="E3091" s="1"/>
      <c r="F3091" s="1"/>
      <c r="G3091" s="1"/>
      <c r="H3091" s="1" t="str">
        <f>"7800004005208"</f>
        <v>7800004005208</v>
      </c>
      <c r="I3091" s="3">
        <v>0</v>
      </c>
      <c r="J3091" s="3">
        <v>0</v>
      </c>
      <c r="K3091" s="3">
        <v>7000</v>
      </c>
    </row>
    <row r="3092" spans="1:11" x14ac:dyDescent="0.2">
      <c r="A3092" s="1" t="s">
        <v>4994</v>
      </c>
      <c r="B3092" s="1" t="s">
        <v>3875</v>
      </c>
      <c r="C3092" s="1"/>
      <c r="D3092" s="1"/>
      <c r="E3092" s="1"/>
      <c r="F3092" s="1"/>
      <c r="G3092" s="1"/>
      <c r="H3092" s="1" t="str">
        <f>"4005900265210"</f>
        <v>4005900265210</v>
      </c>
      <c r="I3092" s="3">
        <v>0</v>
      </c>
      <c r="J3092" s="3">
        <v>0</v>
      </c>
      <c r="K3092" s="3">
        <v>17000</v>
      </c>
    </row>
    <row r="3093" spans="1:11" x14ac:dyDescent="0.2">
      <c r="A3093" s="1" t="s">
        <v>4994</v>
      </c>
      <c r="B3093" s="1" t="s">
        <v>3876</v>
      </c>
      <c r="C3093" s="1"/>
      <c r="D3093" s="1"/>
      <c r="E3093" s="1"/>
      <c r="F3093" s="1"/>
      <c r="G3093" s="1"/>
      <c r="H3093" s="1" t="str">
        <f>"4005900839633"</f>
        <v>4005900839633</v>
      </c>
      <c r="I3093" s="3">
        <v>5</v>
      </c>
      <c r="J3093" s="3">
        <v>0</v>
      </c>
      <c r="K3093" s="3">
        <v>20000</v>
      </c>
    </row>
    <row r="3094" spans="1:11" x14ac:dyDescent="0.2">
      <c r="A3094" s="1" t="s">
        <v>4994</v>
      </c>
      <c r="B3094" s="1" t="s">
        <v>3877</v>
      </c>
      <c r="C3094" s="1"/>
      <c r="D3094" s="1"/>
      <c r="E3094" s="1"/>
      <c r="F3094" s="1"/>
      <c r="G3094" s="1"/>
      <c r="H3094" s="1" t="str">
        <f>"4005900994493"</f>
        <v>4005900994493</v>
      </c>
      <c r="I3094" s="3">
        <v>24</v>
      </c>
      <c r="J3094" s="3">
        <v>0</v>
      </c>
      <c r="K3094" s="3">
        <v>20000</v>
      </c>
    </row>
    <row r="3095" spans="1:11" x14ac:dyDescent="0.2">
      <c r="A3095" s="1" t="s">
        <v>4994</v>
      </c>
      <c r="B3095" s="1" t="s">
        <v>3878</v>
      </c>
      <c r="C3095" s="1"/>
      <c r="D3095" s="1"/>
      <c r="E3095" s="1"/>
      <c r="F3095" s="1"/>
      <c r="G3095" s="1"/>
      <c r="H3095" s="1" t="str">
        <f>"8429420210547"</f>
        <v>8429420210547</v>
      </c>
      <c r="I3095" s="3">
        <v>0</v>
      </c>
      <c r="J3095" s="3">
        <v>0</v>
      </c>
      <c r="K3095" s="3">
        <v>18000</v>
      </c>
    </row>
    <row r="3096" spans="1:11" x14ac:dyDescent="0.2">
      <c r="A3096" s="1" t="s">
        <v>4994</v>
      </c>
      <c r="B3096" s="1" t="s">
        <v>3879</v>
      </c>
      <c r="C3096" s="1"/>
      <c r="D3096" s="1"/>
      <c r="E3096" s="1"/>
      <c r="F3096" s="1"/>
      <c r="G3096" s="1"/>
      <c r="H3096" s="1" t="str">
        <f>"8429420251984"</f>
        <v>8429420251984</v>
      </c>
      <c r="I3096" s="3">
        <v>0</v>
      </c>
      <c r="J3096" s="3">
        <v>0</v>
      </c>
      <c r="K3096" s="3">
        <v>23000</v>
      </c>
    </row>
    <row r="3097" spans="1:11" x14ac:dyDescent="0.2">
      <c r="A3097" s="1" t="s">
        <v>4994</v>
      </c>
      <c r="B3097" s="1" t="s">
        <v>3880</v>
      </c>
      <c r="C3097" s="1"/>
      <c r="D3097" s="1"/>
      <c r="E3097" s="1"/>
      <c r="F3097" s="1"/>
      <c r="G3097" s="1"/>
      <c r="H3097" s="1" t="str">
        <f>"8429420251816"</f>
        <v>8429420251816</v>
      </c>
      <c r="I3097" s="3">
        <v>2</v>
      </c>
      <c r="J3097" s="3">
        <v>0</v>
      </c>
      <c r="K3097" s="3">
        <v>24000</v>
      </c>
    </row>
    <row r="3098" spans="1:11" x14ac:dyDescent="0.2">
      <c r="A3098" s="1" t="s">
        <v>4994</v>
      </c>
      <c r="B3098" s="1" t="s">
        <v>3881</v>
      </c>
      <c r="C3098" s="1"/>
      <c r="D3098" s="1"/>
      <c r="E3098" s="1"/>
      <c r="F3098" s="1"/>
      <c r="G3098" s="1"/>
      <c r="H3098" s="1" t="str">
        <f>"8429420285668"</f>
        <v>8429420285668</v>
      </c>
      <c r="I3098" s="3">
        <v>0</v>
      </c>
      <c r="J3098" s="3">
        <v>0</v>
      </c>
      <c r="K3098" s="3">
        <v>16000</v>
      </c>
    </row>
    <row r="3099" spans="1:11" x14ac:dyDescent="0.2">
      <c r="A3099" s="1" t="s">
        <v>4994</v>
      </c>
      <c r="B3099" s="1" t="s">
        <v>3882</v>
      </c>
      <c r="C3099" s="1"/>
      <c r="D3099" s="1"/>
      <c r="E3099" s="1"/>
      <c r="F3099" s="1"/>
      <c r="G3099" s="1"/>
      <c r="H3099" s="1" t="str">
        <f>"7804907972216"</f>
        <v>7804907972216</v>
      </c>
      <c r="I3099" s="3">
        <v>0</v>
      </c>
      <c r="J3099" s="3">
        <v>0</v>
      </c>
      <c r="K3099" s="3">
        <v>2500</v>
      </c>
    </row>
    <row r="3100" spans="1:11" x14ac:dyDescent="0.2">
      <c r="A3100" s="1" t="s">
        <v>4994</v>
      </c>
      <c r="B3100" s="1" t="s">
        <v>3883</v>
      </c>
      <c r="C3100" s="1"/>
      <c r="D3100" s="1"/>
      <c r="E3100" s="1"/>
      <c r="F3100" s="1"/>
      <c r="G3100" s="1"/>
      <c r="H3100" s="1" t="str">
        <f>"7800004004355"</f>
        <v>7800004004355</v>
      </c>
      <c r="I3100" s="3">
        <v>0</v>
      </c>
      <c r="J3100" s="3">
        <v>0</v>
      </c>
      <c r="K3100" s="3">
        <v>2500</v>
      </c>
    </row>
    <row r="3101" spans="1:11" x14ac:dyDescent="0.2">
      <c r="A3101" s="1" t="s">
        <v>4994</v>
      </c>
      <c r="B3101" s="1" t="s">
        <v>3884</v>
      </c>
      <c r="C3101" s="1"/>
      <c r="D3101" s="1"/>
      <c r="E3101" s="1"/>
      <c r="F3101" s="1"/>
      <c r="G3101" s="1"/>
      <c r="H3101" s="1" t="str">
        <f>"7800004005147"</f>
        <v>7800004005147</v>
      </c>
      <c r="I3101" s="3">
        <v>47</v>
      </c>
      <c r="J3101" s="3">
        <v>0</v>
      </c>
      <c r="K3101" s="3">
        <v>2000</v>
      </c>
    </row>
    <row r="3102" spans="1:11" x14ac:dyDescent="0.2">
      <c r="A3102" s="1" t="s">
        <v>4994</v>
      </c>
      <c r="B3102" s="1" t="s">
        <v>3885</v>
      </c>
      <c r="C3102" s="1"/>
      <c r="D3102" s="1"/>
      <c r="E3102" s="1"/>
      <c r="F3102" s="1"/>
      <c r="G3102" s="1"/>
      <c r="H3102" s="1" t="str">
        <f>"7800004003075"</f>
        <v>7800004003075</v>
      </c>
      <c r="I3102" s="3">
        <v>0</v>
      </c>
      <c r="J3102" s="3">
        <v>0</v>
      </c>
      <c r="K3102" s="3">
        <v>6000</v>
      </c>
    </row>
    <row r="3103" spans="1:11" x14ac:dyDescent="0.2">
      <c r="A3103" s="1" t="s">
        <v>4994</v>
      </c>
      <c r="B3103" s="1" t="s">
        <v>3886</v>
      </c>
      <c r="C3103" s="1"/>
      <c r="D3103" s="1"/>
      <c r="E3103" s="1"/>
      <c r="F3103" s="1"/>
      <c r="G3103" s="1"/>
      <c r="H3103" s="1" t="str">
        <f>"7804907963238"</f>
        <v>7804907963238</v>
      </c>
      <c r="I3103" s="3">
        <v>0</v>
      </c>
      <c r="J3103" s="3">
        <v>0</v>
      </c>
      <c r="K3103" s="3">
        <v>9500</v>
      </c>
    </row>
    <row r="3104" spans="1:11" x14ac:dyDescent="0.2">
      <c r="A3104" s="1" t="s">
        <v>4994</v>
      </c>
      <c r="B3104" s="1" t="s">
        <v>3887</v>
      </c>
      <c r="C3104" s="1"/>
      <c r="D3104" s="1"/>
      <c r="E3104" s="1"/>
      <c r="F3104" s="1"/>
      <c r="G3104" s="1"/>
      <c r="H3104" s="1" t="str">
        <f>"8429420244191"</f>
        <v>8429420244191</v>
      </c>
      <c r="I3104" s="3">
        <v>0</v>
      </c>
      <c r="J3104" s="3">
        <v>0</v>
      </c>
      <c r="K3104" s="3">
        <v>21000</v>
      </c>
    </row>
    <row r="3105" spans="1:11" x14ac:dyDescent="0.2">
      <c r="A3105" s="1" t="s">
        <v>4994</v>
      </c>
      <c r="B3105" s="1" t="s">
        <v>3888</v>
      </c>
      <c r="C3105" s="1"/>
      <c r="D3105" s="1"/>
      <c r="E3105" s="1"/>
      <c r="F3105" s="1"/>
      <c r="G3105" s="1"/>
      <c r="H3105" s="1" t="str">
        <f>"7804920003621"</f>
        <v>7804920003621</v>
      </c>
      <c r="I3105" s="3">
        <v>0</v>
      </c>
      <c r="J3105" s="3">
        <v>0</v>
      </c>
      <c r="K3105" s="3">
        <v>4000</v>
      </c>
    </row>
    <row r="3106" spans="1:11" x14ac:dyDescent="0.2">
      <c r="A3106" s="1" t="s">
        <v>4994</v>
      </c>
      <c r="B3106" s="1" t="s">
        <v>3889</v>
      </c>
      <c r="C3106" s="1"/>
      <c r="D3106" s="1"/>
      <c r="E3106" s="1"/>
      <c r="F3106" s="1"/>
      <c r="G3106" s="1"/>
      <c r="H3106" s="1" t="str">
        <f>"4005900996169"</f>
        <v>4005900996169</v>
      </c>
      <c r="I3106" s="3">
        <v>0</v>
      </c>
      <c r="J3106" s="3">
        <v>0</v>
      </c>
      <c r="K3106" s="3">
        <v>20000</v>
      </c>
    </row>
    <row r="3107" spans="1:11" x14ac:dyDescent="0.2">
      <c r="A3107" s="1" t="s">
        <v>4994</v>
      </c>
      <c r="B3107" s="1" t="s">
        <v>3890</v>
      </c>
      <c r="C3107" s="1"/>
      <c r="D3107" s="1"/>
      <c r="E3107" s="1"/>
      <c r="F3107" s="1"/>
      <c r="G3107" s="1"/>
      <c r="H3107" s="1" t="str">
        <f>"4005800192791"</f>
        <v>4005800192791</v>
      </c>
      <c r="I3107" s="3">
        <v>0</v>
      </c>
      <c r="J3107" s="3">
        <v>0</v>
      </c>
      <c r="K3107" s="3">
        <v>23500</v>
      </c>
    </row>
    <row r="3108" spans="1:11" x14ac:dyDescent="0.2">
      <c r="A3108" s="1" t="s">
        <v>4994</v>
      </c>
      <c r="B3108" s="1" t="s">
        <v>3891</v>
      </c>
      <c r="C3108" s="1"/>
      <c r="D3108" s="1"/>
      <c r="E3108" s="1"/>
      <c r="F3108" s="1"/>
      <c r="G3108" s="1"/>
      <c r="H3108" s="1" t="str">
        <f>"7804945015838"</f>
        <v>7804945015838</v>
      </c>
      <c r="I3108" s="3">
        <v>0</v>
      </c>
      <c r="J3108" s="3">
        <v>0</v>
      </c>
      <c r="K3108" s="3">
        <v>7500</v>
      </c>
    </row>
    <row r="3109" spans="1:11" x14ac:dyDescent="0.2">
      <c r="A3109" s="1" t="s">
        <v>4994</v>
      </c>
      <c r="B3109" s="1" t="s">
        <v>3892</v>
      </c>
      <c r="C3109" s="1"/>
      <c r="D3109" s="1"/>
      <c r="E3109" s="1"/>
      <c r="F3109" s="1"/>
      <c r="G3109" s="1"/>
      <c r="H3109" s="1" t="str">
        <f>"7804945015982"</f>
        <v>7804945015982</v>
      </c>
      <c r="I3109" s="3">
        <v>0</v>
      </c>
      <c r="J3109" s="3">
        <v>0</v>
      </c>
      <c r="K3109" s="3">
        <v>8000</v>
      </c>
    </row>
    <row r="3110" spans="1:11" x14ac:dyDescent="0.2">
      <c r="A3110" s="1" t="s">
        <v>4994</v>
      </c>
      <c r="B3110" s="1" t="s">
        <v>3893</v>
      </c>
      <c r="C3110" s="1"/>
      <c r="D3110" s="1"/>
      <c r="E3110" s="1"/>
      <c r="F3110" s="1"/>
      <c r="G3110" s="1"/>
      <c r="H3110" s="1" t="str">
        <f>"3337875914857"</f>
        <v>3337875914857</v>
      </c>
      <c r="I3110" s="3">
        <v>0</v>
      </c>
      <c r="J3110" s="3">
        <v>0</v>
      </c>
      <c r="K3110" s="3">
        <v>30000</v>
      </c>
    </row>
    <row r="3111" spans="1:11" x14ac:dyDescent="0.2">
      <c r="A3111" s="1" t="s">
        <v>4994</v>
      </c>
      <c r="B3111" s="1" t="s">
        <v>3894</v>
      </c>
      <c r="C3111" s="1"/>
      <c r="D3111" s="1"/>
      <c r="E3111" s="1"/>
      <c r="F3111" s="1"/>
      <c r="G3111" s="1"/>
      <c r="H3111" s="1" t="str">
        <f>"7702026180904"</f>
        <v>7702026180904</v>
      </c>
      <c r="I3111" s="3">
        <v>0</v>
      </c>
      <c r="J3111" s="3">
        <v>0</v>
      </c>
      <c r="K3111" s="3">
        <v>1500</v>
      </c>
    </row>
    <row r="3112" spans="1:11" x14ac:dyDescent="0.2">
      <c r="A3112" s="1" t="s">
        <v>4994</v>
      </c>
      <c r="B3112" s="1" t="s">
        <v>3895</v>
      </c>
      <c r="C3112" s="1"/>
      <c r="D3112" s="1"/>
      <c r="E3112" s="1"/>
      <c r="F3112" s="1"/>
      <c r="G3112" s="1"/>
      <c r="H3112" s="1" t="str">
        <f>"7790010616751"</f>
        <v>7790010616751</v>
      </c>
      <c r="I3112" s="3">
        <v>0</v>
      </c>
      <c r="J3112" s="3">
        <v>0</v>
      </c>
      <c r="K3112" s="3">
        <v>5500</v>
      </c>
    </row>
    <row r="3113" spans="1:11" x14ac:dyDescent="0.2">
      <c r="A3113" s="1" t="s">
        <v>4994</v>
      </c>
      <c r="B3113" s="1" t="s">
        <v>3896</v>
      </c>
      <c r="C3113" s="1"/>
      <c r="D3113" s="1"/>
      <c r="E3113" s="1"/>
      <c r="F3113" s="1"/>
      <c r="G3113" s="1"/>
      <c r="H3113" s="1" t="str">
        <f>"4902508168151"</f>
        <v>4902508168151</v>
      </c>
      <c r="I3113" s="3">
        <v>0</v>
      </c>
      <c r="J3113" s="3">
        <v>0</v>
      </c>
      <c r="K3113" s="3">
        <v>4000</v>
      </c>
    </row>
    <row r="3114" spans="1:11" x14ac:dyDescent="0.2">
      <c r="A3114" s="1" t="s">
        <v>4994</v>
      </c>
      <c r="B3114" s="1" t="s">
        <v>3897</v>
      </c>
      <c r="C3114" s="1"/>
      <c r="D3114" s="1"/>
      <c r="E3114" s="1"/>
      <c r="F3114" s="1"/>
      <c r="G3114" s="1"/>
      <c r="H3114" s="1" t="str">
        <f>"4902508163958"</f>
        <v>4902508163958</v>
      </c>
      <c r="I3114" s="3">
        <v>0</v>
      </c>
      <c r="J3114" s="3">
        <v>0</v>
      </c>
      <c r="K3114" s="3">
        <v>6800</v>
      </c>
    </row>
    <row r="3115" spans="1:11" x14ac:dyDescent="0.2">
      <c r="A3115" s="1" t="s">
        <v>4994</v>
      </c>
      <c r="B3115" s="1" t="s">
        <v>3898</v>
      </c>
      <c r="C3115" s="1"/>
      <c r="D3115" s="1"/>
      <c r="E3115" s="1"/>
      <c r="F3115" s="1"/>
      <c r="G3115" s="1"/>
      <c r="H3115" s="1" t="str">
        <f>"7794626999321"</f>
        <v>7794626999321</v>
      </c>
      <c r="I3115" s="3">
        <v>0</v>
      </c>
      <c r="J3115" s="3">
        <v>0</v>
      </c>
      <c r="K3115" s="3">
        <v>1500</v>
      </c>
    </row>
    <row r="3116" spans="1:11" x14ac:dyDescent="0.2">
      <c r="A3116" s="1" t="s">
        <v>4994</v>
      </c>
      <c r="B3116" s="1" t="s">
        <v>3899</v>
      </c>
      <c r="C3116" s="1"/>
      <c r="D3116" s="1"/>
      <c r="E3116" s="1"/>
      <c r="F3116" s="1"/>
      <c r="G3116" s="1"/>
      <c r="H3116" s="1" t="str">
        <f>"7702026176952"</f>
        <v>7702026176952</v>
      </c>
      <c r="I3116" s="3">
        <v>0</v>
      </c>
      <c r="J3116" s="3">
        <v>0</v>
      </c>
      <c r="K3116" s="3">
        <v>3000</v>
      </c>
    </row>
    <row r="3117" spans="1:11" x14ac:dyDescent="0.2">
      <c r="A3117" s="1" t="s">
        <v>4994</v>
      </c>
      <c r="B3117" s="1" t="s">
        <v>3900</v>
      </c>
      <c r="C3117" s="1"/>
      <c r="D3117" s="1"/>
      <c r="E3117" s="1"/>
      <c r="F3117" s="1"/>
      <c r="G3117" s="1"/>
      <c r="H3117" s="1" t="str">
        <f>"7806500962830"</f>
        <v>7806500962830</v>
      </c>
      <c r="I3117" s="3">
        <v>0</v>
      </c>
      <c r="J3117" s="3">
        <v>0</v>
      </c>
      <c r="K3117" s="3">
        <v>2000</v>
      </c>
    </row>
    <row r="3118" spans="1:11" x14ac:dyDescent="0.2">
      <c r="A3118" s="1" t="s">
        <v>4994</v>
      </c>
      <c r="B3118" s="1" t="s">
        <v>3901</v>
      </c>
      <c r="C3118" s="1"/>
      <c r="D3118" s="1"/>
      <c r="E3118" s="1"/>
      <c r="F3118" s="1"/>
      <c r="G3118" s="1"/>
      <c r="H3118" s="1" t="str">
        <f>"7891024038925"</f>
        <v>7891024038925</v>
      </c>
      <c r="I3118" s="3">
        <v>0</v>
      </c>
      <c r="J3118" s="3">
        <v>0</v>
      </c>
      <c r="K3118" s="3">
        <v>2000</v>
      </c>
    </row>
    <row r="3119" spans="1:11" x14ac:dyDescent="0.2">
      <c r="A3119" s="1" t="s">
        <v>4994</v>
      </c>
      <c r="B3119" s="1" t="s">
        <v>3902</v>
      </c>
      <c r="C3119" s="1"/>
      <c r="D3119" s="1"/>
      <c r="E3119" s="1"/>
      <c r="F3119" s="1"/>
      <c r="G3119" s="1"/>
      <c r="H3119" s="1" t="str">
        <f>"7800060139190"</f>
        <v>7800060139190</v>
      </c>
      <c r="I3119" s="3">
        <v>0</v>
      </c>
      <c r="J3119" s="3">
        <v>0</v>
      </c>
      <c r="K3119" s="3">
        <v>21000</v>
      </c>
    </row>
    <row r="3120" spans="1:11" x14ac:dyDescent="0.2">
      <c r="A3120" s="1" t="s">
        <v>4994</v>
      </c>
      <c r="B3120" s="1" t="s">
        <v>3903</v>
      </c>
      <c r="C3120" s="1"/>
      <c r="D3120" s="1"/>
      <c r="E3120" s="1"/>
      <c r="F3120" s="1"/>
      <c r="G3120" s="1"/>
      <c r="H3120" s="1" t="str">
        <f>"7800060138704"</f>
        <v>7800060138704</v>
      </c>
      <c r="I3120" s="3">
        <v>0</v>
      </c>
      <c r="J3120" s="3">
        <v>0</v>
      </c>
      <c r="K3120" s="3">
        <v>20000</v>
      </c>
    </row>
    <row r="3121" spans="1:11" x14ac:dyDescent="0.2">
      <c r="A3121" s="1" t="s">
        <v>4994</v>
      </c>
      <c r="B3121" s="1" t="s">
        <v>3904</v>
      </c>
      <c r="C3121" s="1"/>
      <c r="D3121" s="1"/>
      <c r="E3121" s="1"/>
      <c r="F3121" s="1"/>
      <c r="G3121" s="1"/>
      <c r="H3121" s="1" t="str">
        <f>"7800060138971"</f>
        <v>7800060138971</v>
      </c>
      <c r="I3121" s="3">
        <v>0</v>
      </c>
      <c r="J3121" s="3">
        <v>0</v>
      </c>
      <c r="K3121" s="3">
        <v>21000</v>
      </c>
    </row>
    <row r="3122" spans="1:11" x14ac:dyDescent="0.2">
      <c r="A3122" s="1" t="s">
        <v>4994</v>
      </c>
      <c r="B3122" s="1" t="s">
        <v>3905</v>
      </c>
      <c r="C3122" s="1"/>
      <c r="D3122" s="1"/>
      <c r="E3122" s="1"/>
      <c r="F3122" s="1"/>
      <c r="G3122" s="1"/>
      <c r="H3122" s="1" t="str">
        <f>"7804637360468"</f>
        <v>7804637360468</v>
      </c>
      <c r="I3122" s="3">
        <v>3</v>
      </c>
      <c r="J3122" s="3">
        <v>0</v>
      </c>
      <c r="K3122" s="3">
        <v>25000</v>
      </c>
    </row>
    <row r="3123" spans="1:11" x14ac:dyDescent="0.2">
      <c r="A3123" s="1" t="s">
        <v>4994</v>
      </c>
      <c r="B3123" s="1" t="s">
        <v>3906</v>
      </c>
      <c r="C3123" s="1"/>
      <c r="D3123" s="1"/>
      <c r="E3123" s="1"/>
      <c r="F3123" s="1"/>
      <c r="G3123" s="1"/>
      <c r="H3123" s="1" t="str">
        <f>"7800059007042"</f>
        <v>7800059007042</v>
      </c>
      <c r="I3123" s="3">
        <v>2</v>
      </c>
      <c r="J3123" s="3">
        <v>0</v>
      </c>
      <c r="K3123" s="3">
        <v>17900</v>
      </c>
    </row>
    <row r="3124" spans="1:11" x14ac:dyDescent="0.2">
      <c r="A3124" s="1" t="s">
        <v>4994</v>
      </c>
      <c r="B3124" s="1" t="s">
        <v>3907</v>
      </c>
      <c r="C3124" s="1"/>
      <c r="D3124" s="1"/>
      <c r="E3124" s="1"/>
      <c r="F3124" s="1"/>
      <c r="G3124" s="1"/>
      <c r="H3124" s="1" t="str">
        <f>"7804907995574"</f>
        <v>7804907995574</v>
      </c>
      <c r="I3124" s="3">
        <v>0</v>
      </c>
      <c r="J3124" s="3">
        <v>0</v>
      </c>
      <c r="K3124" s="3">
        <v>7000</v>
      </c>
    </row>
    <row r="3125" spans="1:11" x14ac:dyDescent="0.2">
      <c r="A3125" s="1" t="s">
        <v>4994</v>
      </c>
      <c r="B3125" s="1" t="s">
        <v>3908</v>
      </c>
      <c r="C3125" s="1"/>
      <c r="D3125" s="1"/>
      <c r="E3125" s="1"/>
      <c r="F3125" s="1"/>
      <c r="G3125" s="1"/>
      <c r="H3125" s="1" t="str">
        <f>"7500435120050"</f>
        <v>7500435120050</v>
      </c>
      <c r="I3125" s="3">
        <v>4</v>
      </c>
      <c r="J3125" s="3">
        <v>0</v>
      </c>
      <c r="K3125" s="3">
        <v>14000</v>
      </c>
    </row>
    <row r="3126" spans="1:11" x14ac:dyDescent="0.2">
      <c r="A3126" s="1" t="s">
        <v>4994</v>
      </c>
      <c r="B3126" s="1" t="s">
        <v>3909</v>
      </c>
      <c r="C3126" s="1"/>
      <c r="D3126" s="1"/>
      <c r="E3126" s="1"/>
      <c r="F3126" s="1"/>
      <c r="G3126" s="1"/>
      <c r="H3126" s="1" t="str">
        <f>"7500435120067"</f>
        <v>7500435120067</v>
      </c>
      <c r="I3126" s="3">
        <v>0</v>
      </c>
      <c r="J3126" s="3">
        <v>0</v>
      </c>
      <c r="K3126" s="3">
        <v>6500</v>
      </c>
    </row>
    <row r="3127" spans="1:11" x14ac:dyDescent="0.2">
      <c r="A3127" s="1" t="s">
        <v>4994</v>
      </c>
      <c r="B3127" s="1" t="s">
        <v>3910</v>
      </c>
      <c r="C3127" s="1"/>
      <c r="D3127" s="1"/>
      <c r="E3127" s="1"/>
      <c r="F3127" s="1"/>
      <c r="G3127" s="1"/>
      <c r="H3127" s="1" t="str">
        <f>"7800060138117"</f>
        <v>7800060138117</v>
      </c>
      <c r="I3127" s="3">
        <v>0</v>
      </c>
      <c r="J3127" s="3">
        <v>0</v>
      </c>
      <c r="K3127" s="3">
        <v>25000</v>
      </c>
    </row>
    <row r="3128" spans="1:11" x14ac:dyDescent="0.2">
      <c r="A3128" s="1" t="s">
        <v>4994</v>
      </c>
      <c r="B3128" s="1" t="s">
        <v>3911</v>
      </c>
      <c r="C3128" s="1"/>
      <c r="D3128" s="1"/>
      <c r="E3128" s="1"/>
      <c r="F3128" s="1"/>
      <c r="G3128" s="1"/>
      <c r="H3128" s="1" t="str">
        <f>"7800060138032"</f>
        <v>7800060138032</v>
      </c>
      <c r="I3128" s="3">
        <v>0</v>
      </c>
      <c r="J3128" s="3">
        <v>0</v>
      </c>
      <c r="K3128" s="3">
        <v>35000</v>
      </c>
    </row>
    <row r="3129" spans="1:11" x14ac:dyDescent="0.2">
      <c r="A3129" s="1" t="s">
        <v>4994</v>
      </c>
      <c r="B3129" s="1" t="s">
        <v>3912</v>
      </c>
      <c r="C3129" s="1"/>
      <c r="D3129" s="1"/>
      <c r="E3129" s="1"/>
      <c r="F3129" s="1"/>
      <c r="G3129" s="1"/>
      <c r="H3129" s="1" t="str">
        <f>"7804637360901"</f>
        <v>7804637360901</v>
      </c>
      <c r="I3129" s="3">
        <v>4</v>
      </c>
      <c r="J3129" s="3">
        <v>0</v>
      </c>
      <c r="K3129" s="3">
        <v>15000</v>
      </c>
    </row>
    <row r="3130" spans="1:11" x14ac:dyDescent="0.2">
      <c r="A3130" s="1" t="s">
        <v>4994</v>
      </c>
      <c r="B3130" s="1" t="s">
        <v>3913</v>
      </c>
      <c r="C3130" s="1"/>
      <c r="D3130" s="1"/>
      <c r="E3130" s="1"/>
      <c r="F3130" s="1"/>
      <c r="G3130" s="1"/>
      <c r="H3130" s="1" t="str">
        <f>"7800026016053"</f>
        <v>7800026016053</v>
      </c>
      <c r="I3130" s="3">
        <v>0</v>
      </c>
      <c r="J3130" s="3">
        <v>0</v>
      </c>
      <c r="K3130" s="3">
        <v>9000</v>
      </c>
    </row>
    <row r="3131" spans="1:11" x14ac:dyDescent="0.2">
      <c r="A3131" s="1" t="s">
        <v>4994</v>
      </c>
      <c r="B3131" s="1" t="s">
        <v>3915</v>
      </c>
      <c r="C3131" s="1"/>
      <c r="D3131" s="1"/>
      <c r="E3131" s="1"/>
      <c r="F3131" s="1"/>
      <c r="G3131" s="1"/>
      <c r="H3131" s="1" t="str">
        <f>"100382903883141"</f>
        <v>100382903883141</v>
      </c>
      <c r="I3131" s="3">
        <v>0</v>
      </c>
      <c r="J3131" s="3">
        <v>0</v>
      </c>
      <c r="K3131" s="3">
        <v>1000</v>
      </c>
    </row>
    <row r="3132" spans="1:11" x14ac:dyDescent="0.2">
      <c r="A3132" s="1" t="s">
        <v>4994</v>
      </c>
      <c r="B3132" s="1" t="s">
        <v>3916</v>
      </c>
      <c r="C3132" s="1"/>
      <c r="D3132" s="1"/>
      <c r="E3132" s="1"/>
      <c r="F3132" s="1"/>
      <c r="G3132" s="1"/>
      <c r="H3132" s="1" t="str">
        <f>"7803504003897"</f>
        <v>7803504003897</v>
      </c>
      <c r="I3132" s="3">
        <v>0</v>
      </c>
      <c r="J3132" s="3">
        <v>0</v>
      </c>
      <c r="K3132" s="3">
        <v>8000</v>
      </c>
    </row>
    <row r="3133" spans="1:11" x14ac:dyDescent="0.2">
      <c r="A3133" s="1" t="s">
        <v>4994</v>
      </c>
      <c r="B3133" s="1" t="s">
        <v>3917</v>
      </c>
      <c r="C3133" s="1"/>
      <c r="D3133" s="1"/>
      <c r="E3133" s="1"/>
      <c r="F3133" s="1"/>
      <c r="G3133" s="1"/>
      <c r="H3133" s="1" t="str">
        <f>"7804637360857"</f>
        <v>7804637360857</v>
      </c>
      <c r="I3133" s="3">
        <v>0</v>
      </c>
      <c r="J3133" s="3">
        <v>0</v>
      </c>
      <c r="K3133" s="3">
        <v>20000</v>
      </c>
    </row>
    <row r="3134" spans="1:11" x14ac:dyDescent="0.2">
      <c r="A3134" s="1" t="s">
        <v>4994</v>
      </c>
      <c r="B3134" s="1" t="s">
        <v>3918</v>
      </c>
      <c r="C3134" s="1"/>
      <c r="D3134" s="1"/>
      <c r="E3134" s="1"/>
      <c r="F3134" s="1"/>
      <c r="G3134" s="1"/>
      <c r="H3134" s="1" t="str">
        <f>"7804637360840"</f>
        <v>7804637360840</v>
      </c>
      <c r="I3134" s="3">
        <v>0</v>
      </c>
      <c r="J3134" s="3">
        <v>0</v>
      </c>
      <c r="K3134" s="3">
        <v>18500</v>
      </c>
    </row>
    <row r="3135" spans="1:11" x14ac:dyDescent="0.2">
      <c r="A3135" s="1" t="s">
        <v>4994</v>
      </c>
      <c r="B3135" s="1" t="s">
        <v>3919</v>
      </c>
      <c r="C3135" s="1"/>
      <c r="D3135" s="1"/>
      <c r="E3135" s="1"/>
      <c r="F3135" s="1"/>
      <c r="G3135" s="1"/>
      <c r="H3135" s="1" t="str">
        <f>"7891010245191"</f>
        <v>7891010245191</v>
      </c>
      <c r="I3135" s="3">
        <v>0</v>
      </c>
      <c r="J3135" s="3">
        <v>0</v>
      </c>
      <c r="K3135" s="3">
        <v>7500</v>
      </c>
    </row>
    <row r="3136" spans="1:11" x14ac:dyDescent="0.2">
      <c r="A3136" s="1" t="s">
        <v>4994</v>
      </c>
      <c r="B3136" s="1" t="s">
        <v>3921</v>
      </c>
      <c r="C3136" s="1"/>
      <c r="D3136" s="1"/>
      <c r="E3136" s="1"/>
      <c r="F3136" s="1"/>
      <c r="G3136" s="1"/>
      <c r="H3136" s="1" t="str">
        <f>"7800063325262"</f>
        <v>7800063325262</v>
      </c>
      <c r="I3136" s="3">
        <v>0</v>
      </c>
      <c r="J3136" s="3">
        <v>0</v>
      </c>
      <c r="K3136" s="3">
        <v>2500</v>
      </c>
    </row>
    <row r="3137" spans="1:11" x14ac:dyDescent="0.2">
      <c r="A3137" s="1" t="s">
        <v>4994</v>
      </c>
      <c r="B3137" s="1" t="s">
        <v>3922</v>
      </c>
      <c r="C3137" s="1"/>
      <c r="D3137" s="1"/>
      <c r="E3137" s="1"/>
      <c r="F3137" s="1"/>
      <c r="G3137" s="1"/>
      <c r="H3137" s="1" t="str">
        <f>"7804651937639"</f>
        <v>7804651937639</v>
      </c>
      <c r="I3137" s="3">
        <v>0</v>
      </c>
      <c r="J3137" s="3">
        <v>0</v>
      </c>
      <c r="K3137" s="3">
        <v>11500</v>
      </c>
    </row>
    <row r="3138" spans="1:11" x14ac:dyDescent="0.2">
      <c r="A3138" s="1" t="s">
        <v>4994</v>
      </c>
      <c r="B3138" s="1" t="s">
        <v>3923</v>
      </c>
      <c r="C3138" s="1"/>
      <c r="D3138" s="1"/>
      <c r="E3138" s="1"/>
      <c r="F3138" s="1"/>
      <c r="G3138" s="1"/>
      <c r="H3138" s="1" t="str">
        <f>"7804969128088"</f>
        <v>7804969128088</v>
      </c>
      <c r="I3138" s="3">
        <v>0</v>
      </c>
      <c r="J3138" s="3">
        <v>0</v>
      </c>
      <c r="K3138" s="3">
        <v>6000</v>
      </c>
    </row>
    <row r="3139" spans="1:11" x14ac:dyDescent="0.2">
      <c r="A3139" s="1" t="s">
        <v>4994</v>
      </c>
      <c r="B3139" s="1" t="s">
        <v>3924</v>
      </c>
      <c r="C3139" s="1"/>
      <c r="D3139" s="1"/>
      <c r="E3139" s="1"/>
      <c r="F3139" s="1"/>
      <c r="G3139" s="1"/>
      <c r="H3139" s="1" t="str">
        <f>"2010120022750"</f>
        <v>2010120022750</v>
      </c>
      <c r="I3139" s="3">
        <v>6</v>
      </c>
      <c r="J3139" s="3">
        <v>0</v>
      </c>
      <c r="K3139" s="3">
        <v>4000</v>
      </c>
    </row>
    <row r="3140" spans="1:11" x14ac:dyDescent="0.2">
      <c r="A3140" s="1" t="s">
        <v>4994</v>
      </c>
      <c r="B3140" s="1" t="s">
        <v>3925</v>
      </c>
      <c r="C3140" s="1"/>
      <c r="D3140" s="1"/>
      <c r="E3140" s="1"/>
      <c r="F3140" s="1"/>
      <c r="G3140" s="1"/>
      <c r="H3140" s="1" t="str">
        <f>"2010380022750"</f>
        <v>2010380022750</v>
      </c>
      <c r="I3140" s="3">
        <v>0</v>
      </c>
      <c r="J3140" s="3">
        <v>0</v>
      </c>
      <c r="K3140" s="3">
        <v>5000</v>
      </c>
    </row>
    <row r="3141" spans="1:11" x14ac:dyDescent="0.2">
      <c r="A3141" s="1" t="s">
        <v>4994</v>
      </c>
      <c r="B3141" s="1" t="s">
        <v>3926</v>
      </c>
      <c r="C3141" s="1"/>
      <c r="D3141" s="1"/>
      <c r="E3141" s="1"/>
      <c r="F3141" s="1"/>
      <c r="G3141" s="1"/>
      <c r="H3141" s="1" t="str">
        <f>"8903726208847"</f>
        <v>8903726208847</v>
      </c>
      <c r="I3141" s="3">
        <v>0</v>
      </c>
      <c r="J3141" s="3">
        <v>0</v>
      </c>
      <c r="K3141" s="3">
        <v>2800</v>
      </c>
    </row>
    <row r="3142" spans="1:11" x14ac:dyDescent="0.2">
      <c r="A3142" s="1" t="s">
        <v>4994</v>
      </c>
      <c r="B3142" s="1" t="s">
        <v>3927</v>
      </c>
      <c r="C3142" s="1"/>
      <c r="D3142" s="1"/>
      <c r="E3142" s="1"/>
      <c r="F3142" s="1"/>
      <c r="G3142" s="1"/>
      <c r="H3142" s="1" t="str">
        <f>"8903726351406"</f>
        <v>8903726351406</v>
      </c>
      <c r="I3142" s="3">
        <v>47</v>
      </c>
      <c r="J3142" s="3">
        <v>0</v>
      </c>
      <c r="K3142" s="3">
        <v>3000</v>
      </c>
    </row>
    <row r="3143" spans="1:11" x14ac:dyDescent="0.2">
      <c r="A3143" s="1" t="s">
        <v>4994</v>
      </c>
      <c r="B3143" s="1" t="s">
        <v>3929</v>
      </c>
      <c r="C3143" s="1"/>
      <c r="D3143" s="1"/>
      <c r="E3143" s="1"/>
      <c r="F3143" s="1"/>
      <c r="G3143" s="1"/>
      <c r="H3143" s="1" t="str">
        <f>"7804650880103"</f>
        <v>7804650880103</v>
      </c>
      <c r="I3143" s="3">
        <v>0</v>
      </c>
      <c r="J3143" s="3">
        <v>0</v>
      </c>
      <c r="K3143" s="3">
        <v>3000</v>
      </c>
    </row>
    <row r="3144" spans="1:11" x14ac:dyDescent="0.2">
      <c r="A3144" s="1" t="s">
        <v>4994</v>
      </c>
      <c r="B3144" s="1" t="s">
        <v>3930</v>
      </c>
      <c r="C3144" s="1"/>
      <c r="D3144" s="1"/>
      <c r="E3144" s="1"/>
      <c r="F3144" s="1"/>
      <c r="G3144" s="1"/>
      <c r="H3144" s="1" t="str">
        <f>"8903726308820"</f>
        <v>8903726308820</v>
      </c>
      <c r="I3144" s="3">
        <v>0</v>
      </c>
      <c r="J3144" s="3">
        <v>0</v>
      </c>
      <c r="K3144" s="3">
        <v>2000</v>
      </c>
    </row>
    <row r="3145" spans="1:11" x14ac:dyDescent="0.2">
      <c r="A3145" s="1" t="s">
        <v>4994</v>
      </c>
      <c r="B3145" s="1" t="s">
        <v>3931</v>
      </c>
      <c r="C3145" s="1"/>
      <c r="D3145" s="1"/>
      <c r="E3145" s="1"/>
      <c r="F3145" s="1"/>
      <c r="G3145" s="1"/>
      <c r="H3145" s="1" t="str">
        <f>"7800007806635"</f>
        <v>7800007806635</v>
      </c>
      <c r="I3145" s="3">
        <v>0</v>
      </c>
      <c r="J3145" s="3">
        <v>0</v>
      </c>
      <c r="K3145" s="3">
        <v>2000</v>
      </c>
    </row>
    <row r="3146" spans="1:11" x14ac:dyDescent="0.2">
      <c r="A3146" s="1" t="s">
        <v>4994</v>
      </c>
      <c r="B3146" s="1" t="s">
        <v>3934</v>
      </c>
      <c r="C3146" s="1"/>
      <c r="D3146" s="1"/>
      <c r="E3146" s="1"/>
      <c r="F3146" s="1"/>
      <c r="G3146" s="1"/>
      <c r="H3146" s="1" t="str">
        <f>"7800018162447"</f>
        <v>7800018162447</v>
      </c>
      <c r="I3146" s="3">
        <v>4</v>
      </c>
      <c r="J3146" s="3">
        <v>0</v>
      </c>
      <c r="K3146" s="3">
        <v>10000</v>
      </c>
    </row>
    <row r="3147" spans="1:11" x14ac:dyDescent="0.2">
      <c r="A3147" s="1" t="s">
        <v>4994</v>
      </c>
      <c r="B3147" s="1" t="s">
        <v>3935</v>
      </c>
      <c r="C3147" s="1"/>
      <c r="D3147" s="1"/>
      <c r="E3147" s="1"/>
      <c r="F3147" s="1"/>
      <c r="G3147" s="1"/>
      <c r="H3147" s="1" t="str">
        <f>"7800018158419"</f>
        <v>7800018158419</v>
      </c>
      <c r="I3147" s="3">
        <v>0</v>
      </c>
      <c r="J3147" s="3">
        <v>0</v>
      </c>
      <c r="K3147" s="3">
        <v>10000</v>
      </c>
    </row>
    <row r="3148" spans="1:11" x14ac:dyDescent="0.2">
      <c r="A3148" s="1" t="s">
        <v>4994</v>
      </c>
      <c r="B3148" s="1" t="s">
        <v>3936</v>
      </c>
      <c r="C3148" s="1"/>
      <c r="D3148" s="1"/>
      <c r="E3148" s="1"/>
      <c r="F3148" s="1"/>
      <c r="G3148" s="1"/>
      <c r="H3148" s="1" t="str">
        <f>"78026711"</f>
        <v>78026711</v>
      </c>
      <c r="I3148" s="3">
        <v>0</v>
      </c>
      <c r="J3148" s="3">
        <v>0</v>
      </c>
      <c r="K3148" s="3">
        <v>2500</v>
      </c>
    </row>
    <row r="3149" spans="1:11" x14ac:dyDescent="0.2">
      <c r="A3149" s="1" t="s">
        <v>4994</v>
      </c>
      <c r="B3149" s="1" t="s">
        <v>3937</v>
      </c>
      <c r="C3149" s="1"/>
      <c r="D3149" s="1"/>
      <c r="E3149" s="1"/>
      <c r="F3149" s="1"/>
      <c r="G3149" s="1"/>
      <c r="H3149" s="1" t="str">
        <f>"7892065356917"</f>
        <v>7892065356917</v>
      </c>
      <c r="I3149" s="3">
        <v>0</v>
      </c>
      <c r="J3149" s="3">
        <v>0</v>
      </c>
      <c r="K3149" s="3">
        <v>500</v>
      </c>
    </row>
    <row r="3150" spans="1:11" x14ac:dyDescent="0.2">
      <c r="A3150" s="1" t="s">
        <v>4994</v>
      </c>
      <c r="B3150" s="1" t="s">
        <v>3938</v>
      </c>
      <c r="C3150" s="1"/>
      <c r="D3150" s="1"/>
      <c r="E3150" s="1"/>
      <c r="F3150" s="1"/>
      <c r="G3150" s="1"/>
      <c r="H3150" s="1" t="str">
        <f>"8411061923221"</f>
        <v>8411061923221</v>
      </c>
      <c r="I3150" s="3">
        <v>0</v>
      </c>
      <c r="J3150" s="3">
        <v>0</v>
      </c>
      <c r="K3150" s="3">
        <v>19000</v>
      </c>
    </row>
    <row r="3151" spans="1:11" x14ac:dyDescent="0.2">
      <c r="A3151" s="1" t="s">
        <v>4994</v>
      </c>
      <c r="B3151" s="1" t="s">
        <v>3939</v>
      </c>
      <c r="C3151" s="1"/>
      <c r="D3151" s="1"/>
      <c r="E3151" s="1"/>
      <c r="F3151" s="1"/>
      <c r="G3151" s="1"/>
      <c r="H3151" s="1" t="str">
        <f>"8411061582350"</f>
        <v>8411061582350</v>
      </c>
      <c r="I3151" s="3">
        <v>0</v>
      </c>
      <c r="J3151" s="3">
        <v>0</v>
      </c>
      <c r="K3151" s="3">
        <v>10750</v>
      </c>
    </row>
    <row r="3152" spans="1:11" x14ac:dyDescent="0.2">
      <c r="A3152" s="1" t="s">
        <v>4994</v>
      </c>
      <c r="B3152" s="1" t="s">
        <v>3940</v>
      </c>
      <c r="C3152" s="1"/>
      <c r="D3152" s="1"/>
      <c r="E3152" s="1"/>
      <c r="F3152" s="1"/>
      <c r="G3152" s="1"/>
      <c r="H3152" s="1" t="str">
        <f>"4895184037210"</f>
        <v>4895184037210</v>
      </c>
      <c r="I3152" s="3">
        <v>0</v>
      </c>
      <c r="J3152" s="3">
        <v>0</v>
      </c>
      <c r="K3152" s="3">
        <v>2000</v>
      </c>
    </row>
    <row r="3153" spans="1:11" x14ac:dyDescent="0.2">
      <c r="A3153" s="1" t="s">
        <v>4994</v>
      </c>
      <c r="B3153" s="1" t="s">
        <v>3942</v>
      </c>
      <c r="C3153" s="1"/>
      <c r="D3153" s="1"/>
      <c r="E3153" s="1"/>
      <c r="F3153" s="1"/>
      <c r="G3153" s="1"/>
      <c r="H3153" s="1" t="str">
        <f>"7612412200027"</f>
        <v>7612412200027</v>
      </c>
      <c r="I3153" s="3">
        <v>0</v>
      </c>
      <c r="J3153" s="3">
        <v>0</v>
      </c>
      <c r="K3153" s="3">
        <v>3500</v>
      </c>
    </row>
    <row r="3154" spans="1:11" x14ac:dyDescent="0.2">
      <c r="A3154" s="1" t="s">
        <v>4994</v>
      </c>
      <c r="B3154" s="1" t="s">
        <v>3943</v>
      </c>
      <c r="C3154" s="1"/>
      <c r="D3154" s="1"/>
      <c r="E3154" s="1"/>
      <c r="F3154" s="1"/>
      <c r="G3154" s="1"/>
      <c r="H3154" s="1" t="str">
        <f>"7804920006424"</f>
        <v>7804920006424</v>
      </c>
      <c r="I3154" s="3">
        <v>0</v>
      </c>
      <c r="J3154" s="3">
        <v>0</v>
      </c>
      <c r="K3154" s="3">
        <v>4000</v>
      </c>
    </row>
    <row r="3155" spans="1:11" x14ac:dyDescent="0.2">
      <c r="A3155" s="1" t="s">
        <v>4994</v>
      </c>
      <c r="B3155" s="1" t="s">
        <v>3944</v>
      </c>
      <c r="C3155" s="1"/>
      <c r="D3155" s="1"/>
      <c r="E3155" s="1"/>
      <c r="F3155" s="1"/>
      <c r="G3155" s="1"/>
      <c r="H3155" s="1" t="str">
        <f>"7804920006820"</f>
        <v>7804920006820</v>
      </c>
      <c r="I3155" s="3">
        <v>0</v>
      </c>
      <c r="J3155" s="3">
        <v>0</v>
      </c>
      <c r="K3155" s="3">
        <v>4000</v>
      </c>
    </row>
    <row r="3156" spans="1:11" x14ac:dyDescent="0.2">
      <c r="A3156" s="1" t="s">
        <v>4994</v>
      </c>
      <c r="B3156" s="1" t="s">
        <v>3945</v>
      </c>
      <c r="C3156" s="1"/>
      <c r="D3156" s="1"/>
      <c r="E3156" s="1"/>
      <c r="F3156" s="1"/>
      <c r="G3156" s="1"/>
      <c r="H3156" s="1" t="str">
        <f>"7804920006837"</f>
        <v>7804920006837</v>
      </c>
      <c r="I3156" s="3">
        <v>0</v>
      </c>
      <c r="J3156" s="3">
        <v>0</v>
      </c>
      <c r="K3156" s="3">
        <v>3500</v>
      </c>
    </row>
    <row r="3157" spans="1:11" x14ac:dyDescent="0.2">
      <c r="A3157" s="1" t="s">
        <v>4994</v>
      </c>
      <c r="B3157" s="1" t="s">
        <v>3946</v>
      </c>
      <c r="C3157" s="1"/>
      <c r="D3157" s="1"/>
      <c r="E3157" s="1"/>
      <c r="F3157" s="1"/>
      <c r="G3157" s="1"/>
      <c r="H3157" s="1" t="str">
        <f>"7804920006431"</f>
        <v>7804920006431</v>
      </c>
      <c r="I3157" s="3">
        <v>0</v>
      </c>
      <c r="J3157" s="3">
        <v>0</v>
      </c>
      <c r="K3157" s="3">
        <v>4000</v>
      </c>
    </row>
    <row r="3158" spans="1:11" x14ac:dyDescent="0.2">
      <c r="A3158" s="1" t="s">
        <v>4994</v>
      </c>
      <c r="B3158" s="1" t="s">
        <v>3947</v>
      </c>
      <c r="C3158" s="1"/>
      <c r="D3158" s="1"/>
      <c r="E3158" s="1"/>
      <c r="F3158" s="1"/>
      <c r="G3158" s="1"/>
      <c r="H3158" s="1" t="str">
        <f>"7804907972209"</f>
        <v>7804907972209</v>
      </c>
      <c r="I3158" s="3">
        <v>0</v>
      </c>
      <c r="J3158" s="3">
        <v>0</v>
      </c>
      <c r="K3158" s="3">
        <v>3000</v>
      </c>
    </row>
    <row r="3159" spans="1:11" x14ac:dyDescent="0.2">
      <c r="A3159" s="1" t="s">
        <v>4994</v>
      </c>
      <c r="B3159" s="1" t="s">
        <v>3948</v>
      </c>
      <c r="C3159" s="1"/>
      <c r="D3159" s="1"/>
      <c r="E3159" s="1"/>
      <c r="F3159" s="1"/>
      <c r="G3159" s="1"/>
      <c r="H3159" s="1" t="str">
        <f>"7804907972223"</f>
        <v>7804907972223</v>
      </c>
      <c r="I3159" s="3">
        <v>0</v>
      </c>
      <c r="J3159" s="3">
        <v>0</v>
      </c>
      <c r="K3159" s="3">
        <v>3000</v>
      </c>
    </row>
    <row r="3160" spans="1:11" x14ac:dyDescent="0.2">
      <c r="A3160" s="1" t="s">
        <v>4994</v>
      </c>
      <c r="B3160" s="1" t="s">
        <v>3949</v>
      </c>
      <c r="C3160" s="1"/>
      <c r="D3160" s="1"/>
      <c r="E3160" s="1"/>
      <c r="F3160" s="1"/>
      <c r="G3160" s="1"/>
      <c r="H3160" s="1" t="str">
        <f>"7804907972407"</f>
        <v>7804907972407</v>
      </c>
      <c r="I3160" s="3">
        <v>0</v>
      </c>
      <c r="J3160" s="3">
        <v>0</v>
      </c>
      <c r="K3160" s="3">
        <v>2500</v>
      </c>
    </row>
    <row r="3161" spans="1:11" x14ac:dyDescent="0.2">
      <c r="A3161" s="1" t="s">
        <v>4994</v>
      </c>
      <c r="B3161" s="1" t="s">
        <v>3950</v>
      </c>
      <c r="C3161" s="1"/>
      <c r="D3161" s="1"/>
      <c r="E3161" s="1"/>
      <c r="F3161" s="1"/>
      <c r="G3161" s="1"/>
      <c r="H3161" s="1" t="str">
        <f>"7804656600286"</f>
        <v>7804656600286</v>
      </c>
      <c r="I3161" s="3">
        <v>0</v>
      </c>
      <c r="J3161" s="3">
        <v>0</v>
      </c>
      <c r="K3161" s="3">
        <v>16000</v>
      </c>
    </row>
    <row r="3162" spans="1:11" x14ac:dyDescent="0.2">
      <c r="A3162" s="1" t="s">
        <v>4994</v>
      </c>
      <c r="B3162" s="1" t="s">
        <v>3951</v>
      </c>
      <c r="C3162" s="1"/>
      <c r="D3162" s="1"/>
      <c r="E3162" s="1"/>
      <c r="F3162" s="1"/>
      <c r="G3162" s="1"/>
      <c r="H3162" s="1" t="str">
        <f>"7804656600743"</f>
        <v>7804656600743</v>
      </c>
      <c r="I3162" s="3">
        <v>0</v>
      </c>
      <c r="J3162" s="3">
        <v>0</v>
      </c>
      <c r="K3162" s="3">
        <v>17000</v>
      </c>
    </row>
    <row r="3163" spans="1:11" x14ac:dyDescent="0.2">
      <c r="A3163" s="1" t="s">
        <v>4994</v>
      </c>
      <c r="B3163" s="1" t="s">
        <v>3952</v>
      </c>
      <c r="C3163" s="1"/>
      <c r="D3163" s="1"/>
      <c r="E3163" s="1"/>
      <c r="F3163" s="1"/>
      <c r="G3163" s="1"/>
      <c r="H3163" s="1" t="str">
        <f>"7804656600255"</f>
        <v>7804656600255</v>
      </c>
      <c r="I3163" s="3">
        <v>0</v>
      </c>
      <c r="J3163" s="3">
        <v>0</v>
      </c>
      <c r="K3163" s="3">
        <v>16000</v>
      </c>
    </row>
    <row r="3164" spans="1:11" x14ac:dyDescent="0.2">
      <c r="A3164" s="1" t="s">
        <v>4994</v>
      </c>
      <c r="B3164" s="1" t="s">
        <v>3953</v>
      </c>
      <c r="C3164" s="1"/>
      <c r="D3164" s="1"/>
      <c r="E3164" s="1"/>
      <c r="F3164" s="1"/>
      <c r="G3164" s="1"/>
      <c r="H3164" s="1" t="str">
        <f>"7784391077706"</f>
        <v>7784391077706</v>
      </c>
      <c r="I3164" s="3">
        <v>0</v>
      </c>
      <c r="J3164" s="3">
        <v>0</v>
      </c>
      <c r="K3164" s="3">
        <v>1500</v>
      </c>
    </row>
    <row r="3165" spans="1:11" x14ac:dyDescent="0.2">
      <c r="A3165" s="1" t="s">
        <v>4994</v>
      </c>
      <c r="B3165" s="1" t="s">
        <v>3954</v>
      </c>
      <c r="C3165" s="1"/>
      <c r="D3165" s="1"/>
      <c r="E3165" s="1"/>
      <c r="F3165" s="1"/>
      <c r="G3165" s="1"/>
      <c r="H3165" s="1" t="str">
        <f>"6956452380174"</f>
        <v>6956452380174</v>
      </c>
      <c r="I3165" s="3">
        <v>0</v>
      </c>
      <c r="J3165" s="3">
        <v>0</v>
      </c>
      <c r="K3165" s="3">
        <v>8000</v>
      </c>
    </row>
    <row r="3166" spans="1:11" x14ac:dyDescent="0.2">
      <c r="A3166" s="1" t="s">
        <v>4994</v>
      </c>
      <c r="B3166" s="1" t="s">
        <v>3955</v>
      </c>
      <c r="C3166" s="1"/>
      <c r="D3166" s="1"/>
      <c r="E3166" s="1"/>
      <c r="F3166" s="1"/>
      <c r="G3166" s="1"/>
      <c r="H3166" s="1" t="str">
        <f>"7806130003699"</f>
        <v>7806130003699</v>
      </c>
      <c r="I3166" s="3">
        <v>0</v>
      </c>
      <c r="J3166" s="3">
        <v>0</v>
      </c>
      <c r="K3166" s="3">
        <v>3800</v>
      </c>
    </row>
    <row r="3167" spans="1:11" x14ac:dyDescent="0.2">
      <c r="A3167" s="1" t="s">
        <v>4994</v>
      </c>
      <c r="B3167" s="1" t="s">
        <v>3956</v>
      </c>
      <c r="C3167" s="1"/>
      <c r="D3167" s="1"/>
      <c r="E3167" s="1"/>
      <c r="F3167" s="1"/>
      <c r="G3167" s="1"/>
      <c r="H3167" s="1" t="str">
        <f>"7804656850247"</f>
        <v>7804656850247</v>
      </c>
      <c r="I3167" s="3">
        <v>0</v>
      </c>
      <c r="J3167" s="3">
        <v>0</v>
      </c>
      <c r="K3167" s="3">
        <v>6000</v>
      </c>
    </row>
    <row r="3168" spans="1:11" x14ac:dyDescent="0.2">
      <c r="A3168" s="1" t="s">
        <v>4994</v>
      </c>
      <c r="B3168" s="1" t="s">
        <v>3957</v>
      </c>
      <c r="C3168" s="1"/>
      <c r="D3168" s="1"/>
      <c r="E3168" s="1"/>
      <c r="F3168" s="1"/>
      <c r="G3168" s="1"/>
      <c r="H3168" s="1" t="str">
        <f>"7804656850476"</f>
        <v>7804656850476</v>
      </c>
      <c r="I3168" s="3">
        <v>0</v>
      </c>
      <c r="J3168" s="3">
        <v>0</v>
      </c>
      <c r="K3168" s="3">
        <v>5900</v>
      </c>
    </row>
    <row r="3169" spans="1:11" x14ac:dyDescent="0.2">
      <c r="A3169" s="1" t="s">
        <v>4994</v>
      </c>
      <c r="B3169" s="1" t="s">
        <v>3958</v>
      </c>
      <c r="C3169" s="1"/>
      <c r="D3169" s="1"/>
      <c r="E3169" s="1"/>
      <c r="F3169" s="1"/>
      <c r="G3169" s="1"/>
      <c r="H3169" s="1" t="str">
        <f>"7804656850025"</f>
        <v>7804656850025</v>
      </c>
      <c r="I3169" s="3">
        <v>0</v>
      </c>
      <c r="J3169" s="3">
        <v>0</v>
      </c>
      <c r="K3169" s="3">
        <v>6000</v>
      </c>
    </row>
    <row r="3170" spans="1:11" x14ac:dyDescent="0.2">
      <c r="A3170" s="1" t="s">
        <v>4994</v>
      </c>
      <c r="B3170" s="1" t="s">
        <v>3959</v>
      </c>
      <c r="C3170" s="1"/>
      <c r="D3170" s="1"/>
      <c r="E3170" s="1"/>
      <c r="F3170" s="1"/>
      <c r="G3170" s="1"/>
      <c r="H3170" s="1" t="str">
        <f>"7804656850049"</f>
        <v>7804656850049</v>
      </c>
      <c r="I3170" s="3">
        <v>0</v>
      </c>
      <c r="J3170" s="3">
        <v>0</v>
      </c>
      <c r="K3170" s="3">
        <v>6000</v>
      </c>
    </row>
    <row r="3171" spans="1:11" x14ac:dyDescent="0.2">
      <c r="A3171" s="1" t="s">
        <v>4994</v>
      </c>
      <c r="B3171" s="1" t="s">
        <v>3960</v>
      </c>
      <c r="C3171" s="1"/>
      <c r="D3171" s="1"/>
      <c r="E3171" s="1"/>
      <c r="F3171" s="1"/>
      <c r="G3171" s="1"/>
      <c r="H3171" s="1" t="str">
        <f>"7804656850186"</f>
        <v>7804656850186</v>
      </c>
      <c r="I3171" s="3">
        <v>0</v>
      </c>
      <c r="J3171" s="3">
        <v>0</v>
      </c>
      <c r="K3171" s="3">
        <v>5000</v>
      </c>
    </row>
    <row r="3172" spans="1:11" x14ac:dyDescent="0.2">
      <c r="A3172" s="1" t="s">
        <v>4994</v>
      </c>
      <c r="B3172" s="1" t="s">
        <v>3961</v>
      </c>
      <c r="C3172" s="1"/>
      <c r="D3172" s="1"/>
      <c r="E3172" s="1"/>
      <c r="F3172" s="1"/>
      <c r="G3172" s="1"/>
      <c r="H3172" s="1" t="str">
        <f>"7804656850148"</f>
        <v>7804656850148</v>
      </c>
      <c r="I3172" s="3">
        <v>0</v>
      </c>
      <c r="J3172" s="3">
        <v>0</v>
      </c>
      <c r="K3172" s="3">
        <v>3500</v>
      </c>
    </row>
    <row r="3173" spans="1:11" x14ac:dyDescent="0.2">
      <c r="A3173" s="1" t="s">
        <v>4994</v>
      </c>
      <c r="B3173" s="1" t="s">
        <v>3962</v>
      </c>
      <c r="C3173" s="1"/>
      <c r="D3173" s="1"/>
      <c r="E3173" s="1"/>
      <c r="F3173" s="1"/>
      <c r="G3173" s="1"/>
      <c r="H3173" s="1" t="str">
        <f>"7804656850155"</f>
        <v>7804656850155</v>
      </c>
      <c r="I3173" s="3">
        <v>0</v>
      </c>
      <c r="J3173" s="3">
        <v>0</v>
      </c>
      <c r="K3173" s="3">
        <v>3500</v>
      </c>
    </row>
    <row r="3174" spans="1:11" x14ac:dyDescent="0.2">
      <c r="A3174" s="1" t="s">
        <v>4994</v>
      </c>
      <c r="B3174" s="1" t="s">
        <v>3963</v>
      </c>
      <c r="C3174" s="1"/>
      <c r="D3174" s="1"/>
      <c r="E3174" s="1"/>
      <c r="F3174" s="1"/>
      <c r="G3174" s="1"/>
      <c r="H3174" s="1" t="str">
        <f>"7804656850131"</f>
        <v>7804656850131</v>
      </c>
      <c r="I3174" s="3">
        <v>0</v>
      </c>
      <c r="J3174" s="3">
        <v>0</v>
      </c>
      <c r="K3174" s="3">
        <v>3500</v>
      </c>
    </row>
    <row r="3175" spans="1:11" x14ac:dyDescent="0.2">
      <c r="A3175" s="1" t="s">
        <v>4994</v>
      </c>
      <c r="B3175" s="1" t="s">
        <v>3964</v>
      </c>
      <c r="C3175" s="1"/>
      <c r="D3175" s="1"/>
      <c r="E3175" s="1"/>
      <c r="F3175" s="1"/>
      <c r="G3175" s="1"/>
      <c r="H3175" s="1" t="str">
        <f>"9002490100070"</f>
        <v>9002490100070</v>
      </c>
      <c r="I3175" s="3">
        <v>28</v>
      </c>
      <c r="J3175" s="3">
        <v>0</v>
      </c>
      <c r="K3175" s="3">
        <v>2000</v>
      </c>
    </row>
    <row r="3176" spans="1:11" x14ac:dyDescent="0.2">
      <c r="A3176" s="1" t="s">
        <v>4994</v>
      </c>
      <c r="B3176" s="1" t="s">
        <v>3965</v>
      </c>
      <c r="C3176" s="1"/>
      <c r="D3176" s="1"/>
      <c r="E3176" s="1"/>
      <c r="F3176" s="1"/>
      <c r="G3176" s="1"/>
      <c r="H3176" s="1" t="str">
        <f>"9002490214852"</f>
        <v>9002490214852</v>
      </c>
      <c r="I3176" s="3">
        <v>14</v>
      </c>
      <c r="J3176" s="3">
        <v>0</v>
      </c>
      <c r="K3176" s="3">
        <v>2000</v>
      </c>
    </row>
    <row r="3177" spans="1:11" x14ac:dyDescent="0.2">
      <c r="A3177" s="1" t="s">
        <v>4994</v>
      </c>
      <c r="B3177" s="1" t="s">
        <v>3966</v>
      </c>
      <c r="C3177" s="1"/>
      <c r="D3177" s="1"/>
      <c r="E3177" s="1"/>
      <c r="F3177" s="1"/>
      <c r="G3177" s="1"/>
      <c r="H3177" s="1" t="str">
        <f>"90446245"</f>
        <v>90446245</v>
      </c>
      <c r="I3177" s="3">
        <v>10</v>
      </c>
      <c r="J3177" s="3">
        <v>0</v>
      </c>
      <c r="K3177" s="3">
        <v>2000</v>
      </c>
    </row>
    <row r="3178" spans="1:11" x14ac:dyDescent="0.2">
      <c r="A3178" s="1" t="s">
        <v>4994</v>
      </c>
      <c r="B3178" s="1" t="s">
        <v>3967</v>
      </c>
      <c r="C3178" s="1"/>
      <c r="D3178" s="1"/>
      <c r="E3178" s="1"/>
      <c r="F3178" s="1"/>
      <c r="G3178" s="1"/>
      <c r="H3178" s="1" t="str">
        <f>"90446849"</f>
        <v>90446849</v>
      </c>
      <c r="I3178" s="3">
        <v>25</v>
      </c>
      <c r="J3178" s="3">
        <v>0</v>
      </c>
      <c r="K3178" s="3">
        <v>2000</v>
      </c>
    </row>
    <row r="3179" spans="1:11" x14ac:dyDescent="0.2">
      <c r="A3179" s="1" t="s">
        <v>4994</v>
      </c>
      <c r="B3179" s="1" t="s">
        <v>3968</v>
      </c>
      <c r="C3179" s="1"/>
      <c r="D3179" s="1"/>
      <c r="E3179" s="1"/>
      <c r="F3179" s="1"/>
      <c r="G3179" s="1"/>
      <c r="H3179" s="1" t="str">
        <f>"90424496"</f>
        <v>90424496</v>
      </c>
      <c r="I3179" s="3">
        <v>16</v>
      </c>
      <c r="J3179" s="3">
        <v>0</v>
      </c>
      <c r="K3179" s="3">
        <v>2000</v>
      </c>
    </row>
    <row r="3180" spans="1:11" x14ac:dyDescent="0.2">
      <c r="A3180" s="1" t="s">
        <v>4994</v>
      </c>
      <c r="B3180" s="1" t="s">
        <v>3969</v>
      </c>
      <c r="C3180" s="1"/>
      <c r="D3180" s="1"/>
      <c r="E3180" s="1"/>
      <c r="F3180" s="1"/>
      <c r="G3180" s="1"/>
      <c r="H3180" s="1" t="str">
        <f>"7804667110026"</f>
        <v>7804667110026</v>
      </c>
      <c r="I3180" s="3">
        <v>0</v>
      </c>
      <c r="J3180" s="3">
        <v>0</v>
      </c>
      <c r="K3180" s="3">
        <v>6500</v>
      </c>
    </row>
    <row r="3181" spans="1:11" x14ac:dyDescent="0.2">
      <c r="A3181" s="1" t="s">
        <v>4994</v>
      </c>
      <c r="B3181" s="1" t="s">
        <v>3970</v>
      </c>
      <c r="C3181" s="1"/>
      <c r="D3181" s="1"/>
      <c r="E3181" s="1"/>
      <c r="F3181" s="1"/>
      <c r="G3181" s="1"/>
      <c r="H3181" s="1" t="str">
        <f>"7800007804877"</f>
        <v>7800007804877</v>
      </c>
      <c r="I3181" s="3">
        <v>50</v>
      </c>
      <c r="J3181" s="3">
        <v>0</v>
      </c>
      <c r="K3181" s="3">
        <v>4000</v>
      </c>
    </row>
    <row r="3182" spans="1:11" x14ac:dyDescent="0.2">
      <c r="A3182" s="1" t="s">
        <v>4994</v>
      </c>
      <c r="B3182" s="1" t="s">
        <v>3971</v>
      </c>
      <c r="C3182" s="1"/>
      <c r="D3182" s="1"/>
      <c r="E3182" s="1"/>
      <c r="F3182" s="1"/>
      <c r="G3182" s="1"/>
      <c r="H3182" s="1" t="str">
        <f>"7793640992691"</f>
        <v>7793640992691</v>
      </c>
      <c r="I3182" s="3">
        <v>14</v>
      </c>
      <c r="J3182" s="3">
        <v>0</v>
      </c>
      <c r="K3182" s="3">
        <v>4000</v>
      </c>
    </row>
    <row r="3183" spans="1:11" x14ac:dyDescent="0.2">
      <c r="A3183" s="1" t="s">
        <v>4994</v>
      </c>
      <c r="B3183" s="1" t="s">
        <v>3972</v>
      </c>
      <c r="C3183" s="1"/>
      <c r="D3183" s="1"/>
      <c r="E3183" s="1"/>
      <c r="F3183" s="1"/>
      <c r="G3183" s="1"/>
      <c r="H3183" s="1" t="str">
        <f>"7804625951890"</f>
        <v>7804625951890</v>
      </c>
      <c r="I3183" s="3">
        <v>0</v>
      </c>
      <c r="J3183" s="3">
        <v>0</v>
      </c>
      <c r="K3183" s="3">
        <v>17000</v>
      </c>
    </row>
    <row r="3184" spans="1:11" x14ac:dyDescent="0.2">
      <c r="A3184" s="1" t="s">
        <v>4994</v>
      </c>
      <c r="B3184" s="1" t="s">
        <v>3973</v>
      </c>
      <c r="C3184" s="1"/>
      <c r="D3184" s="1"/>
      <c r="E3184" s="1"/>
      <c r="F3184" s="1"/>
      <c r="G3184" s="1"/>
      <c r="H3184" s="1" t="str">
        <f>"7730969301025"</f>
        <v>7730969301025</v>
      </c>
      <c r="I3184" s="3">
        <v>0</v>
      </c>
      <c r="J3184" s="3">
        <v>0</v>
      </c>
      <c r="K3184" s="3">
        <v>4500</v>
      </c>
    </row>
    <row r="3185" spans="1:11" x14ac:dyDescent="0.2">
      <c r="A3185" s="1" t="s">
        <v>4994</v>
      </c>
      <c r="B3185" s="1" t="s">
        <v>3974</v>
      </c>
      <c r="C3185" s="1"/>
      <c r="D3185" s="1"/>
      <c r="E3185" s="1"/>
      <c r="F3185" s="1"/>
      <c r="G3185" s="1"/>
      <c r="H3185" s="1" t="str">
        <f>"7730969301018"</f>
        <v>7730969301018</v>
      </c>
      <c r="I3185" s="3">
        <v>33</v>
      </c>
      <c r="J3185" s="3">
        <v>0</v>
      </c>
      <c r="K3185" s="3">
        <v>5500</v>
      </c>
    </row>
    <row r="3186" spans="1:11" x14ac:dyDescent="0.2">
      <c r="A3186" s="1" t="s">
        <v>4994</v>
      </c>
      <c r="B3186" s="1" t="s">
        <v>3975</v>
      </c>
      <c r="C3186" s="1"/>
      <c r="D3186" s="1"/>
      <c r="E3186" s="1"/>
      <c r="F3186" s="1"/>
      <c r="G3186" s="1"/>
      <c r="H3186" s="1" t="str">
        <f>"7730969301001"</f>
        <v>7730969301001</v>
      </c>
      <c r="I3186" s="3">
        <v>34</v>
      </c>
      <c r="J3186" s="3">
        <v>0</v>
      </c>
      <c r="K3186" s="3">
        <v>6000</v>
      </c>
    </row>
    <row r="3187" spans="1:11" x14ac:dyDescent="0.2">
      <c r="A3187" s="1" t="s">
        <v>4994</v>
      </c>
      <c r="B3187" s="1" t="s">
        <v>3976</v>
      </c>
      <c r="C3187" s="1"/>
      <c r="D3187" s="1"/>
      <c r="E3187" s="1"/>
      <c r="F3187" s="1"/>
      <c r="G3187" s="1"/>
      <c r="H3187" s="1" t="str">
        <f>"3337875694469"</f>
        <v>3337875694469</v>
      </c>
      <c r="I3187" s="3">
        <v>0</v>
      </c>
      <c r="J3187" s="3">
        <v>0</v>
      </c>
      <c r="K3187" s="3">
        <v>39000</v>
      </c>
    </row>
    <row r="3188" spans="1:11" x14ac:dyDescent="0.2">
      <c r="A3188" s="1" t="s">
        <v>4994</v>
      </c>
      <c r="B3188" s="1" t="s">
        <v>3977</v>
      </c>
      <c r="C3188" s="1"/>
      <c r="D3188" s="1"/>
      <c r="E3188" s="1"/>
      <c r="F3188" s="1"/>
      <c r="G3188" s="1"/>
      <c r="H3188" s="1" t="str">
        <f>"737186550974"</f>
        <v>737186550974</v>
      </c>
      <c r="I3188" s="3">
        <v>0</v>
      </c>
      <c r="J3188" s="3">
        <v>0</v>
      </c>
      <c r="K3188" s="3">
        <v>4000</v>
      </c>
    </row>
    <row r="3189" spans="1:11" x14ac:dyDescent="0.2">
      <c r="A3189" s="1" t="s">
        <v>4994</v>
      </c>
      <c r="B3189" s="1" t="s">
        <v>3980</v>
      </c>
      <c r="C3189" s="1"/>
      <c r="D3189" s="1"/>
      <c r="E3189" s="1"/>
      <c r="F3189" s="1"/>
      <c r="G3189" s="1"/>
      <c r="H3189" s="1" t="str">
        <f>"737186233303"</f>
        <v>737186233303</v>
      </c>
      <c r="I3189" s="3">
        <v>0</v>
      </c>
      <c r="J3189" s="3">
        <v>0</v>
      </c>
      <c r="K3189" s="3">
        <v>4500</v>
      </c>
    </row>
    <row r="3190" spans="1:11" x14ac:dyDescent="0.2">
      <c r="A3190" s="1" t="s">
        <v>4994</v>
      </c>
      <c r="B3190" s="1" t="s">
        <v>3981</v>
      </c>
      <c r="C3190" s="1"/>
      <c r="D3190" s="1"/>
      <c r="E3190" s="1"/>
      <c r="F3190" s="1"/>
      <c r="G3190" s="1"/>
      <c r="H3190" s="1" t="str">
        <f>"7800028842346"</f>
        <v>7800028842346</v>
      </c>
      <c r="I3190" s="3">
        <v>3</v>
      </c>
      <c r="J3190" s="3">
        <v>0</v>
      </c>
      <c r="K3190" s="3">
        <v>17500</v>
      </c>
    </row>
    <row r="3191" spans="1:11" x14ac:dyDescent="0.2">
      <c r="A3191" s="1" t="s">
        <v>4994</v>
      </c>
      <c r="B3191" s="1" t="s">
        <v>3983</v>
      </c>
      <c r="C3191" s="1"/>
      <c r="D3191" s="1"/>
      <c r="E3191" s="1"/>
      <c r="F3191" s="1"/>
      <c r="G3191" s="1"/>
      <c r="H3191" s="1" t="str">
        <f>"310119033340"</f>
        <v>310119033340</v>
      </c>
      <c r="I3191" s="3">
        <v>11</v>
      </c>
      <c r="J3191" s="3">
        <v>0</v>
      </c>
      <c r="K3191" s="3">
        <v>9500</v>
      </c>
    </row>
    <row r="3192" spans="1:11" x14ac:dyDescent="0.2">
      <c r="A3192" s="1" t="s">
        <v>4994</v>
      </c>
      <c r="B3192" s="1" t="s">
        <v>3984</v>
      </c>
      <c r="C3192" s="1"/>
      <c r="D3192" s="1"/>
      <c r="E3192" s="1"/>
      <c r="F3192" s="1"/>
      <c r="G3192" s="1"/>
      <c r="H3192" s="1" t="str">
        <f>"7898466609430"</f>
        <v>7898466609430</v>
      </c>
      <c r="I3192" s="3">
        <v>0</v>
      </c>
      <c r="J3192" s="3">
        <v>0</v>
      </c>
      <c r="K3192" s="3">
        <v>10000</v>
      </c>
    </row>
    <row r="3193" spans="1:11" x14ac:dyDescent="0.2">
      <c r="A3193" s="1" t="s">
        <v>4994</v>
      </c>
      <c r="B3193" s="1" t="s">
        <v>3985</v>
      </c>
      <c r="C3193" s="1"/>
      <c r="D3193" s="1"/>
      <c r="E3193" s="1"/>
      <c r="F3193" s="1"/>
      <c r="G3193" s="1"/>
      <c r="H3193" s="1" t="str">
        <f>"7898466606934"</f>
        <v>7898466606934</v>
      </c>
      <c r="I3193" s="3">
        <v>0</v>
      </c>
      <c r="J3193" s="3">
        <v>0</v>
      </c>
      <c r="K3193" s="3">
        <v>13500</v>
      </c>
    </row>
    <row r="3194" spans="1:11" x14ac:dyDescent="0.2">
      <c r="A3194" s="1" t="s">
        <v>4994</v>
      </c>
      <c r="B3194" s="1" t="s">
        <v>3986</v>
      </c>
      <c r="C3194" s="1"/>
      <c r="D3194" s="1"/>
      <c r="E3194" s="1"/>
      <c r="F3194" s="1"/>
      <c r="G3194" s="1"/>
      <c r="H3194" s="1" t="str">
        <f>"7898466608457"</f>
        <v>7898466608457</v>
      </c>
      <c r="I3194" s="3">
        <v>0</v>
      </c>
      <c r="J3194" s="3">
        <v>0</v>
      </c>
      <c r="K3194" s="3">
        <v>12000</v>
      </c>
    </row>
    <row r="3195" spans="1:11" x14ac:dyDescent="0.2">
      <c r="A3195" s="1" t="s">
        <v>4994</v>
      </c>
      <c r="B3195" s="1" t="s">
        <v>3987</v>
      </c>
      <c r="C3195" s="1"/>
      <c r="D3195" s="1"/>
      <c r="E3195" s="1"/>
      <c r="F3195" s="1"/>
      <c r="G3195" s="1"/>
      <c r="H3195" s="1" t="str">
        <f>"7800038046178"</f>
        <v>7800038046178</v>
      </c>
      <c r="I3195" s="3">
        <v>25</v>
      </c>
      <c r="J3195" s="3">
        <v>0</v>
      </c>
      <c r="K3195" s="3">
        <v>4000</v>
      </c>
    </row>
    <row r="3196" spans="1:11" x14ac:dyDescent="0.2">
      <c r="A3196" s="1" t="s">
        <v>4994</v>
      </c>
      <c r="B3196" s="1" t="s">
        <v>3988</v>
      </c>
      <c r="C3196" s="1"/>
      <c r="D3196" s="1"/>
      <c r="E3196" s="1"/>
      <c r="F3196" s="1"/>
      <c r="G3196" s="1"/>
      <c r="H3196" s="1" t="str">
        <f>"7790520025401"</f>
        <v>7790520025401</v>
      </c>
      <c r="I3196" s="3">
        <v>0</v>
      </c>
      <c r="J3196" s="3">
        <v>0</v>
      </c>
      <c r="K3196" s="3">
        <v>7500</v>
      </c>
    </row>
    <row r="3197" spans="1:11" x14ac:dyDescent="0.2">
      <c r="A3197" s="1" t="s">
        <v>4994</v>
      </c>
      <c r="B3197" s="1" t="s">
        <v>3989</v>
      </c>
      <c r="C3197" s="1"/>
      <c r="D3197" s="1"/>
      <c r="E3197" s="1"/>
      <c r="F3197" s="1"/>
      <c r="G3197" s="1"/>
      <c r="H3197" s="1" t="str">
        <f>"7790520025395"</f>
        <v>7790520025395</v>
      </c>
      <c r="I3197" s="3">
        <v>0</v>
      </c>
      <c r="J3197" s="3">
        <v>0</v>
      </c>
      <c r="K3197" s="3">
        <v>6500</v>
      </c>
    </row>
    <row r="3198" spans="1:11" x14ac:dyDescent="0.2">
      <c r="A3198" s="1" t="s">
        <v>4994</v>
      </c>
      <c r="B3198" s="1" t="s">
        <v>3990</v>
      </c>
      <c r="C3198" s="1"/>
      <c r="D3198" s="1"/>
      <c r="E3198" s="1"/>
      <c r="F3198" s="1"/>
      <c r="G3198" s="1"/>
      <c r="H3198" s="1" t="str">
        <f>"7800038046192"</f>
        <v>7800038046192</v>
      </c>
      <c r="I3198" s="3">
        <v>7</v>
      </c>
      <c r="J3198" s="3">
        <v>0</v>
      </c>
      <c r="K3198" s="3">
        <v>4000</v>
      </c>
    </row>
    <row r="3199" spans="1:11" x14ac:dyDescent="0.2">
      <c r="A3199" s="1" t="s">
        <v>4994</v>
      </c>
      <c r="B3199" s="1" t="s">
        <v>3991</v>
      </c>
      <c r="C3199" s="1"/>
      <c r="D3199" s="1"/>
      <c r="E3199" s="1"/>
      <c r="F3199" s="1"/>
      <c r="G3199" s="1"/>
      <c r="H3199" s="1" t="str">
        <f>"7800038046307"</f>
        <v>7800038046307</v>
      </c>
      <c r="I3199" s="3">
        <v>6</v>
      </c>
      <c r="J3199" s="3">
        <v>0</v>
      </c>
      <c r="K3199" s="3">
        <v>5500</v>
      </c>
    </row>
    <row r="3200" spans="1:11" x14ac:dyDescent="0.2">
      <c r="A3200" s="1" t="s">
        <v>4994</v>
      </c>
      <c r="B3200" s="1" t="s">
        <v>3992</v>
      </c>
      <c r="C3200" s="1"/>
      <c r="D3200" s="1"/>
      <c r="E3200" s="1"/>
      <c r="F3200" s="1"/>
      <c r="G3200" s="1"/>
      <c r="H3200" s="1" t="str">
        <f>"7800038000859"</f>
        <v>7800038000859</v>
      </c>
      <c r="I3200" s="3">
        <v>40</v>
      </c>
      <c r="J3200" s="3">
        <v>0</v>
      </c>
      <c r="K3200" s="3">
        <v>3000</v>
      </c>
    </row>
    <row r="3201" spans="1:11" x14ac:dyDescent="0.2">
      <c r="A3201" s="1" t="s">
        <v>4994</v>
      </c>
      <c r="B3201" s="1" t="s">
        <v>3993</v>
      </c>
      <c r="C3201" s="1"/>
      <c r="D3201" s="1"/>
      <c r="E3201" s="1"/>
      <c r="F3201" s="1"/>
      <c r="G3201" s="1"/>
      <c r="H3201" s="1" t="str">
        <f>"901000100014"</f>
        <v>901000100014</v>
      </c>
      <c r="I3201" s="3">
        <v>0</v>
      </c>
      <c r="J3201" s="3">
        <v>0</v>
      </c>
      <c r="K3201" s="3">
        <v>6000</v>
      </c>
    </row>
    <row r="3202" spans="1:11" x14ac:dyDescent="0.2">
      <c r="A3202" s="1" t="s">
        <v>4994</v>
      </c>
      <c r="B3202" s="1" t="s">
        <v>3995</v>
      </c>
      <c r="C3202" s="1"/>
      <c r="D3202" s="1"/>
      <c r="E3202" s="1"/>
      <c r="F3202" s="1"/>
      <c r="G3202" s="1"/>
      <c r="H3202" s="1" t="str">
        <f>"7804945007826"</f>
        <v>7804945007826</v>
      </c>
      <c r="I3202" s="3">
        <v>4</v>
      </c>
      <c r="J3202" s="3">
        <v>0</v>
      </c>
      <c r="K3202" s="3">
        <v>2500</v>
      </c>
    </row>
    <row r="3203" spans="1:11" x14ac:dyDescent="0.2">
      <c r="A3203" s="1" t="s">
        <v>4994</v>
      </c>
      <c r="B3203" s="1" t="s">
        <v>3996</v>
      </c>
      <c r="C3203" s="1"/>
      <c r="D3203" s="1"/>
      <c r="E3203" s="1"/>
      <c r="F3203" s="1"/>
      <c r="G3203" s="1"/>
      <c r="H3203" s="1" t="str">
        <f>"7800007485694"</f>
        <v>7800007485694</v>
      </c>
      <c r="I3203" s="3">
        <v>0</v>
      </c>
      <c r="J3203" s="3">
        <v>0</v>
      </c>
      <c r="K3203" s="3">
        <v>3000</v>
      </c>
    </row>
    <row r="3204" spans="1:11" x14ac:dyDescent="0.2">
      <c r="A3204" s="1" t="s">
        <v>4994</v>
      </c>
      <c r="B3204" s="1" t="s">
        <v>4001</v>
      </c>
      <c r="C3204" s="1"/>
      <c r="D3204" s="1"/>
      <c r="E3204" s="1"/>
      <c r="F3204" s="1"/>
      <c r="G3204" s="1"/>
      <c r="H3204" s="1" t="str">
        <f>"7800038045997"</f>
        <v>7800038045997</v>
      </c>
      <c r="I3204" s="3">
        <v>0</v>
      </c>
      <c r="J3204" s="3">
        <v>0</v>
      </c>
      <c r="K3204" s="3">
        <v>16000</v>
      </c>
    </row>
    <row r="3205" spans="1:11" x14ac:dyDescent="0.2">
      <c r="A3205" s="1" t="s">
        <v>4994</v>
      </c>
      <c r="B3205" s="1" t="s">
        <v>4002</v>
      </c>
      <c r="C3205" s="1"/>
      <c r="D3205" s="1"/>
      <c r="E3205" s="1"/>
      <c r="F3205" s="1"/>
      <c r="G3205" s="1"/>
      <c r="H3205" s="1" t="str">
        <f>"7509552840322"</f>
        <v>7509552840322</v>
      </c>
      <c r="I3205" s="3">
        <v>0</v>
      </c>
      <c r="J3205" s="3">
        <v>0</v>
      </c>
      <c r="K3205" s="3">
        <v>14000</v>
      </c>
    </row>
    <row r="3206" spans="1:11" x14ac:dyDescent="0.2">
      <c r="A3206" s="1" t="s">
        <v>4994</v>
      </c>
      <c r="B3206" s="1" t="s">
        <v>4003</v>
      </c>
      <c r="C3206" s="1"/>
      <c r="D3206" s="1"/>
      <c r="E3206" s="1"/>
      <c r="F3206" s="1"/>
      <c r="G3206" s="1"/>
      <c r="H3206" s="1" t="str">
        <f>"7501027232311"</f>
        <v>7501027232311</v>
      </c>
      <c r="I3206" s="3">
        <v>3</v>
      </c>
      <c r="J3206" s="3">
        <v>0</v>
      </c>
      <c r="K3206" s="3">
        <v>12000</v>
      </c>
    </row>
    <row r="3207" spans="1:11" x14ac:dyDescent="0.2">
      <c r="A3207" s="1" t="s">
        <v>4994</v>
      </c>
      <c r="B3207" s="1" t="s">
        <v>4004</v>
      </c>
      <c r="C3207" s="1"/>
      <c r="D3207" s="1"/>
      <c r="E3207" s="1"/>
      <c r="F3207" s="1"/>
      <c r="G3207" s="1"/>
      <c r="H3207" s="1" t="str">
        <f>"7509552907971"</f>
        <v>7509552907971</v>
      </c>
      <c r="I3207" s="3">
        <v>0</v>
      </c>
      <c r="J3207" s="3">
        <v>0</v>
      </c>
      <c r="K3207" s="3">
        <v>9000</v>
      </c>
    </row>
    <row r="3208" spans="1:11" x14ac:dyDescent="0.2">
      <c r="A3208" s="1" t="s">
        <v>4994</v>
      </c>
      <c r="B3208" s="1" t="s">
        <v>4005</v>
      </c>
      <c r="C3208" s="1"/>
      <c r="D3208" s="1"/>
      <c r="E3208" s="1"/>
      <c r="F3208" s="1"/>
      <c r="G3208" s="1"/>
      <c r="H3208" s="1" t="str">
        <f>"3600524057336"</f>
        <v>3600524057336</v>
      </c>
      <c r="I3208" s="3">
        <v>0</v>
      </c>
      <c r="J3208" s="3">
        <v>0</v>
      </c>
      <c r="K3208" s="3">
        <v>18000</v>
      </c>
    </row>
    <row r="3209" spans="1:11" x14ac:dyDescent="0.2">
      <c r="A3209" s="1" t="s">
        <v>4994</v>
      </c>
      <c r="B3209" s="1" t="s">
        <v>4006</v>
      </c>
      <c r="C3209" s="1"/>
      <c r="D3209" s="1"/>
      <c r="E3209" s="1"/>
      <c r="F3209" s="1"/>
      <c r="G3209" s="1"/>
      <c r="H3209" s="1" t="str">
        <f>"7506110681823"</f>
        <v>7506110681823</v>
      </c>
      <c r="I3209" s="3">
        <v>0</v>
      </c>
      <c r="J3209" s="3">
        <v>0</v>
      </c>
      <c r="K3209" s="3">
        <v>11000</v>
      </c>
    </row>
    <row r="3210" spans="1:11" x14ac:dyDescent="0.2">
      <c r="A3210" s="1" t="s">
        <v>4994</v>
      </c>
      <c r="B3210" s="1" t="s">
        <v>4007</v>
      </c>
      <c r="C3210" s="1"/>
      <c r="D3210" s="1"/>
      <c r="E3210" s="1"/>
      <c r="F3210" s="1"/>
      <c r="G3210" s="1"/>
      <c r="H3210" s="1" t="str">
        <f>"7804918441336"</f>
        <v>7804918441336</v>
      </c>
      <c r="I3210" s="3">
        <v>21</v>
      </c>
      <c r="J3210" s="3">
        <v>0</v>
      </c>
      <c r="K3210" s="3">
        <v>7000</v>
      </c>
    </row>
    <row r="3211" spans="1:11" x14ac:dyDescent="0.2">
      <c r="A3211" s="1" t="s">
        <v>4994</v>
      </c>
      <c r="B3211" s="1" t="s">
        <v>4008</v>
      </c>
      <c r="C3211" s="1"/>
      <c r="D3211" s="1"/>
      <c r="E3211" s="1"/>
      <c r="F3211" s="1"/>
      <c r="G3211" s="1"/>
      <c r="H3211" s="1" t="str">
        <f>"7804918441466"</f>
        <v>7804918441466</v>
      </c>
      <c r="I3211" s="3">
        <v>0</v>
      </c>
      <c r="J3211" s="3">
        <v>0</v>
      </c>
      <c r="K3211" s="3">
        <v>7500</v>
      </c>
    </row>
    <row r="3212" spans="1:11" x14ac:dyDescent="0.2">
      <c r="A3212" s="1" t="s">
        <v>4994</v>
      </c>
      <c r="B3212" s="1" t="s">
        <v>4009</v>
      </c>
      <c r="C3212" s="1"/>
      <c r="D3212" s="1"/>
      <c r="E3212" s="1"/>
      <c r="F3212" s="1"/>
      <c r="G3212" s="1"/>
      <c r="H3212" s="1" t="str">
        <f>"75029982"</f>
        <v>75029982</v>
      </c>
      <c r="I3212" s="3">
        <v>4</v>
      </c>
      <c r="J3212" s="3">
        <v>0</v>
      </c>
      <c r="K3212" s="3">
        <v>2500</v>
      </c>
    </row>
    <row r="3213" spans="1:11" x14ac:dyDescent="0.2">
      <c r="A3213" s="1" t="s">
        <v>4994</v>
      </c>
      <c r="B3213" s="1" t="s">
        <v>4010</v>
      </c>
      <c r="C3213" s="1"/>
      <c r="D3213" s="1"/>
      <c r="E3213" s="1"/>
      <c r="F3213" s="1"/>
      <c r="G3213" s="1"/>
      <c r="H3213" s="1" t="str">
        <f>"78004498"</f>
        <v>78004498</v>
      </c>
      <c r="I3213" s="3">
        <v>4</v>
      </c>
      <c r="J3213" s="3">
        <v>0</v>
      </c>
      <c r="K3213" s="3">
        <v>3000</v>
      </c>
    </row>
    <row r="3214" spans="1:11" x14ac:dyDescent="0.2">
      <c r="A3214" s="1" t="s">
        <v>4994</v>
      </c>
      <c r="B3214" s="1" t="s">
        <v>4011</v>
      </c>
      <c r="C3214" s="1"/>
      <c r="D3214" s="1"/>
      <c r="E3214" s="1"/>
      <c r="F3214" s="1"/>
      <c r="G3214" s="1"/>
      <c r="H3214" s="1" t="str">
        <f>"7805000784027"</f>
        <v>7805000784027</v>
      </c>
      <c r="I3214" s="3">
        <v>0</v>
      </c>
      <c r="J3214" s="3">
        <v>0</v>
      </c>
      <c r="K3214" s="3">
        <v>2500</v>
      </c>
    </row>
    <row r="3215" spans="1:11" x14ac:dyDescent="0.2">
      <c r="A3215" s="1" t="s">
        <v>4994</v>
      </c>
      <c r="B3215" s="1" t="s">
        <v>4012</v>
      </c>
      <c r="C3215" s="1"/>
      <c r="D3215" s="1"/>
      <c r="E3215" s="1"/>
      <c r="F3215" s="1"/>
      <c r="G3215" s="1"/>
      <c r="H3215" s="1" t="str">
        <f>"7791293049540"</f>
        <v>7791293049540</v>
      </c>
      <c r="I3215" s="3">
        <v>20</v>
      </c>
      <c r="J3215" s="3">
        <v>0</v>
      </c>
      <c r="K3215" s="3">
        <v>2500</v>
      </c>
    </row>
    <row r="3216" spans="1:11" x14ac:dyDescent="0.2">
      <c r="A3216" s="1" t="s">
        <v>4994</v>
      </c>
      <c r="B3216" s="1" t="s">
        <v>4013</v>
      </c>
      <c r="C3216" s="1"/>
      <c r="D3216" s="1"/>
      <c r="E3216" s="1"/>
      <c r="F3216" s="1"/>
      <c r="G3216" s="1"/>
      <c r="H3216" s="1" t="str">
        <f>"079400110695"</f>
        <v>079400110695</v>
      </c>
      <c r="I3216" s="3">
        <v>4</v>
      </c>
      <c r="J3216" s="3">
        <v>0</v>
      </c>
      <c r="K3216" s="3">
        <v>5000</v>
      </c>
    </row>
    <row r="3217" spans="1:11" x14ac:dyDescent="0.2">
      <c r="A3217" s="1" t="s">
        <v>4994</v>
      </c>
      <c r="B3217" s="1" t="s">
        <v>4014</v>
      </c>
      <c r="C3217" s="1"/>
      <c r="D3217" s="1"/>
      <c r="E3217" s="1"/>
      <c r="F3217" s="1"/>
      <c r="G3217" s="1"/>
      <c r="H3217" s="1" t="str">
        <f>"7891150068735"</f>
        <v>7891150068735</v>
      </c>
      <c r="I3217" s="3">
        <v>0</v>
      </c>
      <c r="J3217" s="3">
        <v>0</v>
      </c>
      <c r="K3217" s="3">
        <v>3800</v>
      </c>
    </row>
    <row r="3218" spans="1:11" x14ac:dyDescent="0.2">
      <c r="A3218" s="1" t="s">
        <v>4994</v>
      </c>
      <c r="B3218" s="1" t="s">
        <v>4015</v>
      </c>
      <c r="C3218" s="1"/>
      <c r="D3218" s="1"/>
      <c r="E3218" s="1"/>
      <c r="F3218" s="1"/>
      <c r="G3218" s="1"/>
      <c r="H3218" s="1" t="str">
        <f>"79400052926"</f>
        <v>79400052926</v>
      </c>
      <c r="I3218" s="3">
        <v>0</v>
      </c>
      <c r="J3218" s="3">
        <v>0</v>
      </c>
      <c r="K3218" s="3">
        <v>4000</v>
      </c>
    </row>
    <row r="3219" spans="1:11" x14ac:dyDescent="0.2">
      <c r="A3219" s="1" t="s">
        <v>4994</v>
      </c>
      <c r="B3219" s="1" t="s">
        <v>4016</v>
      </c>
      <c r="C3219" s="1"/>
      <c r="D3219" s="1"/>
      <c r="E3219" s="1"/>
      <c r="F3219" s="1"/>
      <c r="G3219" s="1"/>
      <c r="H3219" s="1" t="str">
        <f>"079400052926"</f>
        <v>079400052926</v>
      </c>
      <c r="I3219" s="3">
        <v>9</v>
      </c>
      <c r="J3219" s="3">
        <v>0</v>
      </c>
      <c r="K3219" s="3">
        <v>4800</v>
      </c>
    </row>
    <row r="3220" spans="1:11" x14ac:dyDescent="0.2">
      <c r="A3220" s="1" t="s">
        <v>4994</v>
      </c>
      <c r="B3220" s="1" t="s">
        <v>4017</v>
      </c>
      <c r="C3220" s="1"/>
      <c r="D3220" s="1"/>
      <c r="E3220" s="1"/>
      <c r="F3220" s="1"/>
      <c r="G3220" s="1"/>
      <c r="H3220" s="1" t="str">
        <f>"79400110695"</f>
        <v>79400110695</v>
      </c>
      <c r="I3220" s="3">
        <v>0</v>
      </c>
      <c r="J3220" s="3">
        <v>0</v>
      </c>
      <c r="K3220" s="3">
        <v>5000</v>
      </c>
    </row>
    <row r="3221" spans="1:11" x14ac:dyDescent="0.2">
      <c r="A3221" s="1" t="s">
        <v>4994</v>
      </c>
      <c r="B3221" s="1" t="s">
        <v>4018</v>
      </c>
      <c r="C3221" s="1"/>
      <c r="D3221" s="1"/>
      <c r="E3221" s="1"/>
      <c r="F3221" s="1"/>
      <c r="G3221" s="1"/>
      <c r="H3221" s="1" t="str">
        <f>"079400476692"</f>
        <v>079400476692</v>
      </c>
      <c r="I3221" s="3">
        <v>18</v>
      </c>
      <c r="J3221" s="3">
        <v>0</v>
      </c>
      <c r="K3221" s="3">
        <v>5000</v>
      </c>
    </row>
    <row r="3222" spans="1:11" x14ac:dyDescent="0.2">
      <c r="A3222" s="1" t="s">
        <v>4994</v>
      </c>
      <c r="B3222" s="1" t="s">
        <v>4019</v>
      </c>
      <c r="C3222" s="1"/>
      <c r="D3222" s="1"/>
      <c r="E3222" s="1"/>
      <c r="F3222" s="1"/>
      <c r="G3222" s="1"/>
      <c r="H3222" s="1" t="str">
        <f>"079400300546"</f>
        <v>079400300546</v>
      </c>
      <c r="I3222" s="3">
        <v>9</v>
      </c>
      <c r="J3222" s="3">
        <v>0</v>
      </c>
      <c r="K3222" s="3">
        <v>4000</v>
      </c>
    </row>
    <row r="3223" spans="1:11" x14ac:dyDescent="0.2">
      <c r="A3223" s="1" t="s">
        <v>4994</v>
      </c>
      <c r="B3223" s="1" t="s">
        <v>4020</v>
      </c>
      <c r="C3223" s="1"/>
      <c r="D3223" s="1"/>
      <c r="E3223" s="1"/>
      <c r="F3223" s="1"/>
      <c r="G3223" s="1"/>
      <c r="H3223" s="1" t="str">
        <f>"7891150064300"</f>
        <v>7891150064300</v>
      </c>
      <c r="I3223" s="3">
        <v>0</v>
      </c>
      <c r="J3223" s="3">
        <v>0</v>
      </c>
      <c r="K3223" s="3">
        <v>5000</v>
      </c>
    </row>
    <row r="3224" spans="1:11" x14ac:dyDescent="0.2">
      <c r="A3224" s="1" t="s">
        <v>4994</v>
      </c>
      <c r="B3224" s="1" t="s">
        <v>4021</v>
      </c>
      <c r="C3224" s="1"/>
      <c r="D3224" s="1"/>
      <c r="E3224" s="1"/>
      <c r="F3224" s="1"/>
      <c r="G3224" s="1"/>
      <c r="H3224" s="1" t="str">
        <f>"079400052919"</f>
        <v>079400052919</v>
      </c>
      <c r="I3224" s="3">
        <v>35</v>
      </c>
      <c r="J3224" s="3">
        <v>0</v>
      </c>
      <c r="K3224" s="3">
        <v>3800</v>
      </c>
    </row>
    <row r="3225" spans="1:11" x14ac:dyDescent="0.2">
      <c r="A3225" s="1" t="s">
        <v>4994</v>
      </c>
      <c r="B3225" s="1" t="s">
        <v>4022</v>
      </c>
      <c r="C3225" s="1"/>
      <c r="D3225" s="1"/>
      <c r="E3225" s="1"/>
      <c r="F3225" s="1"/>
      <c r="G3225" s="1"/>
      <c r="H3225" s="1" t="str">
        <f>"79400052919"</f>
        <v>79400052919</v>
      </c>
      <c r="I3225" s="3">
        <v>0</v>
      </c>
      <c r="J3225" s="3">
        <v>0</v>
      </c>
      <c r="K3225" s="3">
        <v>4000</v>
      </c>
    </row>
    <row r="3226" spans="1:11" x14ac:dyDescent="0.2">
      <c r="A3226" s="1" t="s">
        <v>4994</v>
      </c>
      <c r="B3226" s="1" t="s">
        <v>4023</v>
      </c>
      <c r="C3226" s="1"/>
      <c r="D3226" s="1"/>
      <c r="E3226" s="1"/>
      <c r="F3226" s="1"/>
      <c r="G3226" s="1"/>
      <c r="H3226" s="1" t="str">
        <f>"79400300546"</f>
        <v>79400300546</v>
      </c>
      <c r="I3226" s="3">
        <v>0</v>
      </c>
      <c r="J3226" s="3">
        <v>0</v>
      </c>
      <c r="K3226" s="3">
        <v>4000</v>
      </c>
    </row>
    <row r="3227" spans="1:11" x14ac:dyDescent="0.2">
      <c r="A3227" s="1" t="s">
        <v>4994</v>
      </c>
      <c r="B3227" s="1" t="s">
        <v>4024</v>
      </c>
      <c r="C3227" s="1"/>
      <c r="D3227" s="1"/>
      <c r="E3227" s="1"/>
      <c r="F3227" s="1"/>
      <c r="G3227" s="1"/>
      <c r="H3227" s="1" t="str">
        <f>"079400301161"</f>
        <v>079400301161</v>
      </c>
      <c r="I3227" s="3">
        <v>2</v>
      </c>
      <c r="J3227" s="3">
        <v>0</v>
      </c>
      <c r="K3227" s="3">
        <v>4000</v>
      </c>
    </row>
    <row r="3228" spans="1:11" x14ac:dyDescent="0.2">
      <c r="A3228" s="1" t="s">
        <v>4994</v>
      </c>
      <c r="B3228" s="1" t="s">
        <v>4025</v>
      </c>
      <c r="C3228" s="1"/>
      <c r="D3228" s="1"/>
      <c r="E3228" s="1"/>
      <c r="F3228" s="1"/>
      <c r="G3228" s="1"/>
      <c r="H3228" s="1" t="str">
        <f>"75024956"</f>
        <v>75024956</v>
      </c>
      <c r="I3228" s="3">
        <v>1</v>
      </c>
      <c r="J3228" s="3">
        <v>0</v>
      </c>
      <c r="K3228" s="3">
        <v>2500</v>
      </c>
    </row>
    <row r="3229" spans="1:11" x14ac:dyDescent="0.2">
      <c r="A3229" s="1" t="s">
        <v>4994</v>
      </c>
      <c r="B3229" s="1" t="s">
        <v>4026</v>
      </c>
      <c r="C3229" s="1"/>
      <c r="D3229" s="1"/>
      <c r="E3229" s="1"/>
      <c r="F3229" s="1"/>
      <c r="G3229" s="1"/>
      <c r="H3229" s="1" t="str">
        <f>"7791293049465"</f>
        <v>7791293049465</v>
      </c>
      <c r="I3229" s="3">
        <v>10</v>
      </c>
      <c r="J3229" s="3">
        <v>0</v>
      </c>
      <c r="K3229" s="3">
        <v>2500</v>
      </c>
    </row>
    <row r="3230" spans="1:11" x14ac:dyDescent="0.2">
      <c r="A3230" s="1" t="s">
        <v>4994</v>
      </c>
      <c r="B3230" s="1" t="s">
        <v>4027</v>
      </c>
      <c r="C3230" s="1"/>
      <c r="D3230" s="1"/>
      <c r="E3230" s="1"/>
      <c r="F3230" s="1"/>
      <c r="G3230" s="1"/>
      <c r="H3230" s="1" t="str">
        <f>"75028978"</f>
        <v>75028978</v>
      </c>
      <c r="I3230" s="3">
        <v>2</v>
      </c>
      <c r="J3230" s="3">
        <v>0</v>
      </c>
      <c r="K3230" s="3">
        <v>2500</v>
      </c>
    </row>
    <row r="3231" spans="1:11" x14ac:dyDescent="0.2">
      <c r="A3231" s="1" t="s">
        <v>4994</v>
      </c>
      <c r="B3231" s="1" t="s">
        <v>4028</v>
      </c>
      <c r="C3231" s="1"/>
      <c r="D3231" s="1"/>
      <c r="E3231" s="1"/>
      <c r="F3231" s="1"/>
      <c r="G3231" s="1"/>
      <c r="H3231" s="1" t="str">
        <f>"7791293041773"</f>
        <v>7791293041773</v>
      </c>
      <c r="I3231" s="3">
        <v>5</v>
      </c>
      <c r="J3231" s="3">
        <v>0</v>
      </c>
      <c r="K3231" s="3">
        <v>3850</v>
      </c>
    </row>
    <row r="3232" spans="1:11" x14ac:dyDescent="0.2">
      <c r="A3232" s="1" t="s">
        <v>4994</v>
      </c>
      <c r="B3232" s="1" t="s">
        <v>4029</v>
      </c>
      <c r="C3232" s="1"/>
      <c r="D3232" s="1"/>
      <c r="E3232" s="1"/>
      <c r="F3232" s="1"/>
      <c r="G3232" s="1"/>
      <c r="H3232" s="1" t="str">
        <f>"7791293049489"</f>
        <v>7791293049489</v>
      </c>
      <c r="I3232" s="3">
        <v>14</v>
      </c>
      <c r="J3232" s="3">
        <v>0</v>
      </c>
      <c r="K3232" s="3">
        <v>3000</v>
      </c>
    </row>
    <row r="3233" spans="1:11" x14ac:dyDescent="0.2">
      <c r="A3233" s="1" t="s">
        <v>4994</v>
      </c>
      <c r="B3233" s="1" t="s">
        <v>4030</v>
      </c>
      <c r="C3233" s="1"/>
      <c r="D3233" s="1"/>
      <c r="E3233" s="1"/>
      <c r="F3233" s="1"/>
      <c r="G3233" s="1"/>
      <c r="H3233" s="1" t="str">
        <f>"7791293049601"</f>
        <v>7791293049601</v>
      </c>
      <c r="I3233" s="3">
        <v>7</v>
      </c>
      <c r="J3233" s="3">
        <v>0</v>
      </c>
      <c r="K3233" s="3">
        <v>3000</v>
      </c>
    </row>
    <row r="3234" spans="1:11" x14ac:dyDescent="0.2">
      <c r="A3234" s="1" t="s">
        <v>4994</v>
      </c>
      <c r="B3234" s="1" t="s">
        <v>4031</v>
      </c>
      <c r="C3234" s="1"/>
      <c r="D3234" s="1"/>
      <c r="E3234" s="1"/>
      <c r="F3234" s="1"/>
      <c r="G3234" s="1"/>
      <c r="H3234" s="1" t="str">
        <f>"5702150150424"</f>
        <v>5702150150424</v>
      </c>
      <c r="I3234" s="3">
        <v>0</v>
      </c>
      <c r="J3234" s="3">
        <v>0</v>
      </c>
      <c r="K3234" s="3">
        <v>65000</v>
      </c>
    </row>
    <row r="3235" spans="1:11" x14ac:dyDescent="0.2">
      <c r="A3235" s="1" t="s">
        <v>4994</v>
      </c>
      <c r="B3235" s="1" t="s">
        <v>4032</v>
      </c>
      <c r="C3235" s="1"/>
      <c r="D3235" s="1"/>
      <c r="E3235" s="1"/>
      <c r="F3235" s="1"/>
      <c r="G3235" s="1"/>
      <c r="H3235" s="1" t="str">
        <f>"2000341103505"</f>
        <v>2000341103505</v>
      </c>
      <c r="I3235" s="3">
        <v>0</v>
      </c>
      <c r="J3235" s="3">
        <v>0</v>
      </c>
      <c r="K3235" s="3">
        <v>6000</v>
      </c>
    </row>
    <row r="3236" spans="1:11" x14ac:dyDescent="0.2">
      <c r="A3236" s="1" t="s">
        <v>4994</v>
      </c>
      <c r="B3236" s="1" t="s">
        <v>4033</v>
      </c>
      <c r="C3236" s="1"/>
      <c r="D3236" s="1"/>
      <c r="E3236" s="1"/>
      <c r="F3236" s="1"/>
      <c r="G3236" s="1"/>
      <c r="H3236" s="1" t="str">
        <f>"2000110423056"</f>
        <v>2000110423056</v>
      </c>
      <c r="I3236" s="3">
        <v>0</v>
      </c>
      <c r="J3236" s="3">
        <v>0</v>
      </c>
      <c r="K3236" s="3">
        <v>4000</v>
      </c>
    </row>
    <row r="3237" spans="1:11" x14ac:dyDescent="0.2">
      <c r="A3237" s="1" t="s">
        <v>4994</v>
      </c>
      <c r="B3237" s="1" t="s">
        <v>4034</v>
      </c>
      <c r="C3237" s="1"/>
      <c r="D3237" s="1"/>
      <c r="E3237" s="1"/>
      <c r="F3237" s="1"/>
      <c r="G3237" s="1"/>
      <c r="H3237" s="1" t="str">
        <f>"7800026002421"</f>
        <v>7800026002421</v>
      </c>
      <c r="I3237" s="3">
        <v>0</v>
      </c>
      <c r="J3237" s="3">
        <v>0</v>
      </c>
      <c r="K3237" s="3">
        <v>14000</v>
      </c>
    </row>
    <row r="3238" spans="1:11" x14ac:dyDescent="0.2">
      <c r="A3238" s="1" t="s">
        <v>4994</v>
      </c>
      <c r="B3238" s="1" t="s">
        <v>4035</v>
      </c>
      <c r="C3238" s="1"/>
      <c r="D3238" s="1"/>
      <c r="E3238" s="1"/>
      <c r="F3238" s="1"/>
      <c r="G3238" s="1"/>
      <c r="H3238" s="1" t="str">
        <f>"7804918441442"</f>
        <v>7804918441442</v>
      </c>
      <c r="I3238" s="3">
        <v>0</v>
      </c>
      <c r="J3238" s="3">
        <v>0</v>
      </c>
      <c r="K3238" s="3">
        <v>6500</v>
      </c>
    </row>
    <row r="3239" spans="1:11" x14ac:dyDescent="0.2">
      <c r="A3239" s="1" t="s">
        <v>4994</v>
      </c>
      <c r="B3239" s="1" t="s">
        <v>4036</v>
      </c>
      <c r="C3239" s="1"/>
      <c r="D3239" s="1"/>
      <c r="E3239" s="1"/>
      <c r="F3239" s="1"/>
      <c r="G3239" s="1"/>
      <c r="H3239" s="1" t="str">
        <f>"7804918402948"</f>
        <v>7804918402948</v>
      </c>
      <c r="I3239" s="3">
        <v>0</v>
      </c>
      <c r="J3239" s="3">
        <v>0</v>
      </c>
      <c r="K3239" s="3">
        <v>6000</v>
      </c>
    </row>
    <row r="3240" spans="1:11" x14ac:dyDescent="0.2">
      <c r="A3240" s="1" t="s">
        <v>4994</v>
      </c>
      <c r="B3240" s="1" t="s">
        <v>4037</v>
      </c>
      <c r="C3240" s="1"/>
      <c r="D3240" s="1"/>
      <c r="E3240" s="1"/>
      <c r="F3240" s="1"/>
      <c r="G3240" s="1"/>
      <c r="H3240" s="1" t="str">
        <f>"7804918441459"</f>
        <v>7804918441459</v>
      </c>
      <c r="I3240" s="3">
        <v>0</v>
      </c>
      <c r="J3240" s="3">
        <v>0</v>
      </c>
      <c r="K3240" s="3">
        <v>4000</v>
      </c>
    </row>
    <row r="3241" spans="1:11" x14ac:dyDescent="0.2">
      <c r="A3241" s="1" t="s">
        <v>4994</v>
      </c>
      <c r="B3241" s="1" t="s">
        <v>4039</v>
      </c>
      <c r="C3241" s="1"/>
      <c r="D3241" s="1"/>
      <c r="E3241" s="1"/>
      <c r="F3241" s="1"/>
      <c r="G3241" s="1"/>
      <c r="H3241" s="1" t="str">
        <f>"7804918403679"</f>
        <v>7804918403679</v>
      </c>
      <c r="I3241" s="3">
        <v>0</v>
      </c>
      <c r="J3241" s="3">
        <v>0</v>
      </c>
      <c r="K3241" s="3">
        <v>8500</v>
      </c>
    </row>
    <row r="3242" spans="1:11" x14ac:dyDescent="0.2">
      <c r="A3242" s="1" t="s">
        <v>4994</v>
      </c>
      <c r="B3242" s="1" t="s">
        <v>4040</v>
      </c>
      <c r="C3242" s="1"/>
      <c r="D3242" s="1"/>
      <c r="E3242" s="1"/>
      <c r="F3242" s="1"/>
      <c r="G3242" s="1"/>
      <c r="H3242" s="1" t="str">
        <f>"7804918403686"</f>
        <v>7804918403686</v>
      </c>
      <c r="I3242" s="3">
        <v>0</v>
      </c>
      <c r="J3242" s="3">
        <v>0</v>
      </c>
      <c r="K3242" s="3">
        <v>5500</v>
      </c>
    </row>
    <row r="3243" spans="1:11" x14ac:dyDescent="0.2">
      <c r="A3243" s="1" t="s">
        <v>4994</v>
      </c>
      <c r="B3243" s="1" t="s">
        <v>4041</v>
      </c>
      <c r="C3243" s="1"/>
      <c r="D3243" s="1"/>
      <c r="E3243" s="1"/>
      <c r="F3243" s="1"/>
      <c r="G3243" s="1"/>
      <c r="H3243" s="1" t="str">
        <f>"7804650310914"</f>
        <v>7804650310914</v>
      </c>
      <c r="I3243" s="3">
        <v>4</v>
      </c>
      <c r="J3243" s="3">
        <v>0</v>
      </c>
      <c r="K3243" s="3">
        <v>15000</v>
      </c>
    </row>
    <row r="3244" spans="1:11" x14ac:dyDescent="0.2">
      <c r="A3244" s="1" t="s">
        <v>4994</v>
      </c>
      <c r="B3244" s="1" t="s">
        <v>4043</v>
      </c>
      <c r="C3244" s="1"/>
      <c r="D3244" s="1"/>
      <c r="E3244" s="1"/>
      <c r="F3244" s="1"/>
      <c r="G3244" s="1"/>
      <c r="H3244" s="1" t="str">
        <f>"7800018159300"</f>
        <v>7800018159300</v>
      </c>
      <c r="I3244" s="3">
        <v>0</v>
      </c>
      <c r="J3244" s="3">
        <v>0</v>
      </c>
      <c r="K3244" s="3">
        <v>63000</v>
      </c>
    </row>
    <row r="3245" spans="1:11" x14ac:dyDescent="0.2">
      <c r="A3245" s="1" t="s">
        <v>4994</v>
      </c>
      <c r="B3245" s="1" t="s">
        <v>4044</v>
      </c>
      <c r="C3245" s="1"/>
      <c r="D3245" s="1"/>
      <c r="E3245" s="1"/>
      <c r="F3245" s="1"/>
      <c r="G3245" s="1"/>
      <c r="H3245" s="1" t="str">
        <f>"7800062001846"</f>
        <v>7800062001846</v>
      </c>
      <c r="I3245" s="3">
        <v>0</v>
      </c>
      <c r="J3245" s="3">
        <v>0</v>
      </c>
      <c r="K3245" s="3">
        <v>1500</v>
      </c>
    </row>
    <row r="3246" spans="1:11" x14ac:dyDescent="0.2">
      <c r="A3246" s="1" t="s">
        <v>4994</v>
      </c>
      <c r="B3246" s="1" t="s">
        <v>4045</v>
      </c>
      <c r="C3246" s="1"/>
      <c r="D3246" s="1"/>
      <c r="E3246" s="1"/>
      <c r="F3246" s="1"/>
      <c r="G3246" s="1"/>
      <c r="H3246" s="1" t="str">
        <f>"7800007806864"</f>
        <v>7800007806864</v>
      </c>
      <c r="I3246" s="3">
        <v>3</v>
      </c>
      <c r="J3246" s="3">
        <v>0</v>
      </c>
      <c r="K3246" s="3">
        <v>27000</v>
      </c>
    </row>
    <row r="3247" spans="1:11" x14ac:dyDescent="0.2">
      <c r="A3247" s="1" t="s">
        <v>4994</v>
      </c>
      <c r="B3247" s="1" t="s">
        <v>4046</v>
      </c>
      <c r="C3247" s="1"/>
      <c r="D3247" s="1"/>
      <c r="E3247" s="1"/>
      <c r="F3247" s="1"/>
      <c r="G3247" s="1"/>
      <c r="H3247" s="1" t="str">
        <f>"7804612010296"</f>
        <v>7804612010296</v>
      </c>
      <c r="I3247" s="3">
        <v>0</v>
      </c>
      <c r="J3247" s="3">
        <v>0</v>
      </c>
      <c r="K3247" s="3">
        <v>17000</v>
      </c>
    </row>
    <row r="3248" spans="1:11" x14ac:dyDescent="0.2">
      <c r="A3248" s="1" t="s">
        <v>4994</v>
      </c>
      <c r="B3248" s="1" t="s">
        <v>4047</v>
      </c>
      <c r="C3248" s="1"/>
      <c r="D3248" s="1"/>
      <c r="E3248" s="1"/>
      <c r="F3248" s="1"/>
      <c r="G3248" s="1"/>
      <c r="H3248" s="1" t="str">
        <f>"7800028081110"</f>
        <v>7800028081110</v>
      </c>
      <c r="I3248" s="3">
        <v>0</v>
      </c>
      <c r="J3248" s="3">
        <v>0</v>
      </c>
      <c r="K3248" s="3">
        <v>15000</v>
      </c>
    </row>
    <row r="3249" spans="1:11" x14ac:dyDescent="0.2">
      <c r="A3249" s="1" t="s">
        <v>4994</v>
      </c>
      <c r="B3249" s="1" t="s">
        <v>4048</v>
      </c>
      <c r="C3249" s="1"/>
      <c r="D3249" s="1"/>
      <c r="E3249" s="1"/>
      <c r="F3249" s="1"/>
      <c r="G3249" s="1"/>
      <c r="H3249" s="1" t="str">
        <f>"7795373030602"</f>
        <v>7795373030602</v>
      </c>
      <c r="I3249" s="3">
        <v>3</v>
      </c>
      <c r="J3249" s="3">
        <v>0</v>
      </c>
      <c r="K3249" s="3">
        <v>9500</v>
      </c>
    </row>
    <row r="3250" spans="1:11" x14ac:dyDescent="0.2">
      <c r="A3250" s="1" t="s">
        <v>4994</v>
      </c>
      <c r="B3250" s="1" t="s">
        <v>4049</v>
      </c>
      <c r="C3250" s="1"/>
      <c r="D3250" s="1"/>
      <c r="E3250" s="1"/>
      <c r="F3250" s="1"/>
      <c r="G3250" s="1"/>
      <c r="H3250" s="1" t="str">
        <f>"7804640561210"</f>
        <v>7804640561210</v>
      </c>
      <c r="I3250" s="3">
        <v>0</v>
      </c>
      <c r="J3250" s="3">
        <v>0</v>
      </c>
      <c r="K3250" s="3">
        <v>6000</v>
      </c>
    </row>
    <row r="3251" spans="1:11" x14ac:dyDescent="0.2">
      <c r="A3251" s="1" t="s">
        <v>4994</v>
      </c>
      <c r="B3251" s="1" t="s">
        <v>4050</v>
      </c>
      <c r="C3251" s="1"/>
      <c r="D3251" s="1"/>
      <c r="E3251" s="1"/>
      <c r="F3251" s="1"/>
      <c r="G3251" s="1"/>
      <c r="H3251" s="1" t="str">
        <f>"7803504002357"</f>
        <v>7803504002357</v>
      </c>
      <c r="I3251" s="3">
        <v>0</v>
      </c>
      <c r="J3251" s="3">
        <v>0</v>
      </c>
      <c r="K3251" s="3">
        <v>8000</v>
      </c>
    </row>
    <row r="3252" spans="1:11" x14ac:dyDescent="0.2">
      <c r="A3252" s="1" t="s">
        <v>4994</v>
      </c>
      <c r="B3252" s="1" t="s">
        <v>4051</v>
      </c>
      <c r="C3252" s="1"/>
      <c r="D3252" s="1"/>
      <c r="E3252" s="1"/>
      <c r="F3252" s="1"/>
      <c r="G3252" s="1"/>
      <c r="H3252" s="1" t="str">
        <f>"7800063330396"</f>
        <v>7800063330396</v>
      </c>
      <c r="I3252" s="3">
        <v>0</v>
      </c>
      <c r="J3252" s="3">
        <v>0</v>
      </c>
      <c r="K3252" s="3">
        <v>3500</v>
      </c>
    </row>
    <row r="3253" spans="1:11" x14ac:dyDescent="0.2">
      <c r="A3253" s="1" t="s">
        <v>4994</v>
      </c>
      <c r="B3253" s="1" t="s">
        <v>4052</v>
      </c>
      <c r="C3253" s="1"/>
      <c r="D3253" s="1"/>
      <c r="E3253" s="1"/>
      <c r="F3253" s="1"/>
      <c r="G3253" s="1"/>
      <c r="H3253" s="1" t="str">
        <f>"7800060113985"</f>
        <v>7800060113985</v>
      </c>
      <c r="I3253" s="3">
        <v>2</v>
      </c>
      <c r="J3253" s="3">
        <v>0</v>
      </c>
      <c r="K3253" s="3">
        <v>13000</v>
      </c>
    </row>
    <row r="3254" spans="1:11" x14ac:dyDescent="0.2">
      <c r="A3254" s="1" t="s">
        <v>4994</v>
      </c>
      <c r="B3254" s="1" t="s">
        <v>4053</v>
      </c>
      <c r="C3254" s="1"/>
      <c r="D3254" s="1"/>
      <c r="E3254" s="1"/>
      <c r="F3254" s="1"/>
      <c r="G3254" s="1"/>
      <c r="H3254" s="1" t="str">
        <f>"7800007809728"</f>
        <v>7800007809728</v>
      </c>
      <c r="I3254" s="3">
        <v>82</v>
      </c>
      <c r="J3254" s="3">
        <v>0</v>
      </c>
      <c r="K3254" s="3">
        <v>3500</v>
      </c>
    </row>
    <row r="3255" spans="1:11" x14ac:dyDescent="0.2">
      <c r="A3255" s="1" t="s">
        <v>4994</v>
      </c>
      <c r="B3255" s="1" t="s">
        <v>4054</v>
      </c>
      <c r="C3255" s="1"/>
      <c r="D3255" s="1"/>
      <c r="E3255" s="1"/>
      <c r="F3255" s="1"/>
      <c r="G3255" s="1"/>
      <c r="H3255" s="1" t="str">
        <f>"7800007616036"</f>
        <v>7800007616036</v>
      </c>
      <c r="I3255" s="3">
        <v>0</v>
      </c>
      <c r="J3255" s="3">
        <v>0</v>
      </c>
      <c r="K3255" s="3">
        <v>3500</v>
      </c>
    </row>
    <row r="3256" spans="1:11" x14ac:dyDescent="0.2">
      <c r="A3256" s="1" t="s">
        <v>4994</v>
      </c>
      <c r="B3256" s="1" t="s">
        <v>4056</v>
      </c>
      <c r="C3256" s="1"/>
      <c r="D3256" s="1"/>
      <c r="E3256" s="1"/>
      <c r="F3256" s="1"/>
      <c r="G3256" s="1"/>
      <c r="H3256" s="1" t="str">
        <f>"7804606510641"</f>
        <v>7804606510641</v>
      </c>
      <c r="I3256" s="3">
        <v>0</v>
      </c>
      <c r="J3256" s="3">
        <v>0</v>
      </c>
      <c r="K3256" s="3">
        <v>7000</v>
      </c>
    </row>
    <row r="3257" spans="1:11" x14ac:dyDescent="0.2">
      <c r="A3257" s="1" t="s">
        <v>4994</v>
      </c>
      <c r="B3257" s="1" t="s">
        <v>4057</v>
      </c>
      <c r="C3257" s="1"/>
      <c r="D3257" s="1"/>
      <c r="E3257" s="1"/>
      <c r="F3257" s="1"/>
      <c r="G3257" s="1"/>
      <c r="H3257" s="1" t="str">
        <f>"7804606510665"</f>
        <v>7804606510665</v>
      </c>
      <c r="I3257" s="3">
        <v>0</v>
      </c>
      <c r="J3257" s="3">
        <v>0</v>
      </c>
      <c r="K3257" s="3">
        <v>11000</v>
      </c>
    </row>
    <row r="3258" spans="1:11" x14ac:dyDescent="0.2">
      <c r="A3258" s="1" t="s">
        <v>4994</v>
      </c>
      <c r="B3258" s="1" t="s">
        <v>4058</v>
      </c>
      <c r="C3258" s="1"/>
      <c r="D3258" s="1"/>
      <c r="E3258" s="1"/>
      <c r="F3258" s="1"/>
      <c r="G3258" s="1"/>
      <c r="H3258" s="1" t="str">
        <f>"7804651290260"</f>
        <v>7804651290260</v>
      </c>
      <c r="I3258" s="3">
        <v>0</v>
      </c>
      <c r="J3258" s="3">
        <v>0</v>
      </c>
      <c r="K3258" s="3">
        <v>11000</v>
      </c>
    </row>
    <row r="3259" spans="1:11" x14ac:dyDescent="0.2">
      <c r="A3259" s="1" t="s">
        <v>4994</v>
      </c>
      <c r="B3259" s="1" t="s">
        <v>4059</v>
      </c>
      <c r="C3259" s="1"/>
      <c r="D3259" s="1"/>
      <c r="E3259" s="1"/>
      <c r="F3259" s="1"/>
      <c r="G3259" s="1"/>
      <c r="H3259" s="1" t="str">
        <f>"7804677770760"</f>
        <v>7804677770760</v>
      </c>
      <c r="I3259" s="3">
        <v>0</v>
      </c>
      <c r="J3259" s="3">
        <v>0</v>
      </c>
      <c r="K3259" s="3">
        <v>14000</v>
      </c>
    </row>
    <row r="3260" spans="1:11" x14ac:dyDescent="0.2">
      <c r="A3260" s="1" t="s">
        <v>4994</v>
      </c>
      <c r="B3260" s="1" t="s">
        <v>4060</v>
      </c>
      <c r="C3260" s="1"/>
      <c r="D3260" s="1"/>
      <c r="E3260" s="1"/>
      <c r="F3260" s="1"/>
      <c r="G3260" s="1"/>
      <c r="H3260" s="1" t="str">
        <f>"7804667110446"</f>
        <v>7804667110446</v>
      </c>
      <c r="I3260" s="3">
        <v>5</v>
      </c>
      <c r="J3260" s="3">
        <v>0</v>
      </c>
      <c r="K3260" s="3">
        <v>8000</v>
      </c>
    </row>
    <row r="3261" spans="1:11" x14ac:dyDescent="0.2">
      <c r="A3261" s="1" t="s">
        <v>4994</v>
      </c>
      <c r="B3261" s="1" t="s">
        <v>4061</v>
      </c>
      <c r="C3261" s="1"/>
      <c r="D3261" s="1"/>
      <c r="E3261" s="1"/>
      <c r="F3261" s="1"/>
      <c r="G3261" s="1"/>
      <c r="H3261" s="1" t="str">
        <f>"7804667110392"</f>
        <v>7804667110392</v>
      </c>
      <c r="I3261" s="3">
        <v>0</v>
      </c>
      <c r="J3261" s="3">
        <v>0</v>
      </c>
      <c r="K3261" s="3">
        <v>15000</v>
      </c>
    </row>
    <row r="3262" spans="1:11" x14ac:dyDescent="0.2">
      <c r="A3262" s="1" t="s">
        <v>4994</v>
      </c>
      <c r="B3262" s="1" t="s">
        <v>4062</v>
      </c>
      <c r="C3262" s="1"/>
      <c r="D3262" s="1"/>
      <c r="E3262" s="1"/>
      <c r="F3262" s="1"/>
      <c r="G3262" s="1"/>
      <c r="H3262" s="1" t="str">
        <f>"7804667110385"</f>
        <v>7804667110385</v>
      </c>
      <c r="I3262" s="3">
        <v>1</v>
      </c>
      <c r="J3262" s="3">
        <v>0</v>
      </c>
      <c r="K3262" s="3">
        <v>15000</v>
      </c>
    </row>
    <row r="3263" spans="1:11" x14ac:dyDescent="0.2">
      <c r="A3263" s="1" t="s">
        <v>4994</v>
      </c>
      <c r="B3263" s="1" t="s">
        <v>4063</v>
      </c>
      <c r="C3263" s="1"/>
      <c r="D3263" s="1"/>
      <c r="E3263" s="1"/>
      <c r="F3263" s="1"/>
      <c r="G3263" s="1"/>
      <c r="H3263" s="1" t="str">
        <f>"7800060163652"</f>
        <v>7800060163652</v>
      </c>
      <c r="I3263" s="3">
        <v>0</v>
      </c>
      <c r="J3263" s="3">
        <v>0</v>
      </c>
      <c r="K3263" s="3">
        <v>21000</v>
      </c>
    </row>
    <row r="3264" spans="1:11" x14ac:dyDescent="0.2">
      <c r="A3264" s="1" t="s">
        <v>4994</v>
      </c>
      <c r="B3264" s="1" t="s">
        <v>4064</v>
      </c>
      <c r="C3264" s="1"/>
      <c r="D3264" s="1"/>
      <c r="E3264" s="1"/>
      <c r="F3264" s="1"/>
      <c r="G3264" s="1"/>
      <c r="H3264" s="1" t="str">
        <f>"8437024105091"</f>
        <v>8437024105091</v>
      </c>
      <c r="I3264" s="3">
        <v>0</v>
      </c>
      <c r="J3264" s="3">
        <v>0</v>
      </c>
      <c r="K3264" s="3">
        <v>29380</v>
      </c>
    </row>
    <row r="3265" spans="1:11" x14ac:dyDescent="0.2">
      <c r="A3265" s="1" t="s">
        <v>4994</v>
      </c>
      <c r="B3265" s="1" t="s">
        <v>4065</v>
      </c>
      <c r="C3265" s="1"/>
      <c r="D3265" s="1"/>
      <c r="E3265" s="1"/>
      <c r="F3265" s="1"/>
      <c r="G3265" s="1"/>
      <c r="H3265" s="1" t="str">
        <f>"8437024105107"</f>
        <v>8437024105107</v>
      </c>
      <c r="I3265" s="3">
        <v>0</v>
      </c>
      <c r="J3265" s="3">
        <v>0</v>
      </c>
      <c r="K3265" s="3">
        <v>18000</v>
      </c>
    </row>
    <row r="3266" spans="1:11" x14ac:dyDescent="0.2">
      <c r="A3266" s="1" t="s">
        <v>4994</v>
      </c>
      <c r="B3266" s="1" t="s">
        <v>4066</v>
      </c>
      <c r="C3266" s="1"/>
      <c r="D3266" s="1"/>
      <c r="E3266" s="1"/>
      <c r="F3266" s="1"/>
      <c r="G3266" s="1"/>
      <c r="H3266" s="1" t="str">
        <f>"8437024105084"</f>
        <v>8437024105084</v>
      </c>
      <c r="I3266" s="3">
        <v>0</v>
      </c>
      <c r="J3266" s="3">
        <v>0</v>
      </c>
      <c r="K3266" s="3">
        <v>9000</v>
      </c>
    </row>
    <row r="3267" spans="1:11" x14ac:dyDescent="0.2">
      <c r="A3267" s="1" t="s">
        <v>4994</v>
      </c>
      <c r="B3267" s="1" t="s">
        <v>4067</v>
      </c>
      <c r="C3267" s="1"/>
      <c r="D3267" s="1"/>
      <c r="E3267" s="1"/>
      <c r="F3267" s="1"/>
      <c r="G3267" s="1"/>
      <c r="H3267" s="1" t="str">
        <f>"5056227204597"</f>
        <v>5056227204597</v>
      </c>
      <c r="I3267" s="3">
        <v>0</v>
      </c>
      <c r="J3267" s="3">
        <v>0</v>
      </c>
      <c r="K3267" s="3">
        <v>33000</v>
      </c>
    </row>
    <row r="3268" spans="1:11" x14ac:dyDescent="0.2">
      <c r="A3268" s="1" t="s">
        <v>4994</v>
      </c>
      <c r="B3268" s="1" t="s">
        <v>4068</v>
      </c>
      <c r="C3268" s="1"/>
      <c r="D3268" s="1"/>
      <c r="E3268" s="1"/>
      <c r="F3268" s="1"/>
      <c r="G3268" s="1"/>
      <c r="H3268" s="1" t="str">
        <f>"5056227204603"</f>
        <v>5056227204603</v>
      </c>
      <c r="I3268" s="3">
        <v>0</v>
      </c>
      <c r="J3268" s="3">
        <v>0</v>
      </c>
      <c r="K3268" s="3">
        <v>55000</v>
      </c>
    </row>
    <row r="3269" spans="1:11" x14ac:dyDescent="0.2">
      <c r="A3269" s="1" t="s">
        <v>4994</v>
      </c>
      <c r="B3269" s="1" t="s">
        <v>4069</v>
      </c>
      <c r="C3269" s="1"/>
      <c r="D3269" s="1"/>
      <c r="E3269" s="1"/>
      <c r="F3269" s="1"/>
      <c r="G3269" s="1"/>
      <c r="H3269" s="1" t="str">
        <f>"7801001003006"</f>
        <v>7801001003006</v>
      </c>
      <c r="I3269" s="3">
        <v>0</v>
      </c>
      <c r="J3269" s="3">
        <v>0</v>
      </c>
      <c r="K3269" s="3">
        <v>6000</v>
      </c>
    </row>
    <row r="3270" spans="1:11" x14ac:dyDescent="0.2">
      <c r="A3270" s="1" t="s">
        <v>4994</v>
      </c>
      <c r="B3270" s="1" t="s">
        <v>4070</v>
      </c>
      <c r="C3270" s="1"/>
      <c r="D3270" s="1"/>
      <c r="E3270" s="1"/>
      <c r="F3270" s="1"/>
      <c r="G3270" s="1"/>
      <c r="H3270" s="1" t="str">
        <f>"1103202015380"</f>
        <v>1103202015380</v>
      </c>
      <c r="I3270" s="3">
        <v>0</v>
      </c>
      <c r="J3270" s="3">
        <v>0</v>
      </c>
      <c r="K3270" s="3">
        <v>8000</v>
      </c>
    </row>
    <row r="3271" spans="1:11" x14ac:dyDescent="0.2">
      <c r="A3271" s="1" t="s">
        <v>4994</v>
      </c>
      <c r="B3271" s="1" t="s">
        <v>4071</v>
      </c>
      <c r="C3271" s="1"/>
      <c r="D3271" s="1"/>
      <c r="E3271" s="1"/>
      <c r="F3271" s="1"/>
      <c r="G3271" s="1"/>
      <c r="H3271" s="1" t="str">
        <f>"7802589463176"</f>
        <v>7802589463176</v>
      </c>
      <c r="I3271" s="3">
        <v>0</v>
      </c>
      <c r="J3271" s="3">
        <v>0</v>
      </c>
      <c r="K3271" s="3">
        <v>3500</v>
      </c>
    </row>
    <row r="3272" spans="1:11" x14ac:dyDescent="0.2">
      <c r="A3272" s="1" t="s">
        <v>4994</v>
      </c>
      <c r="B3272" s="1" t="s">
        <v>4072</v>
      </c>
      <c r="C3272" s="1"/>
      <c r="D3272" s="1"/>
      <c r="E3272" s="1"/>
      <c r="F3272" s="1"/>
      <c r="G3272" s="1"/>
      <c r="H3272" s="1" t="str">
        <f>"4005808257621"</f>
        <v>4005808257621</v>
      </c>
      <c r="I3272" s="3">
        <v>0</v>
      </c>
      <c r="J3272" s="3">
        <v>0</v>
      </c>
      <c r="K3272" s="3">
        <v>3580</v>
      </c>
    </row>
    <row r="3273" spans="1:11" x14ac:dyDescent="0.2">
      <c r="A3273" s="1" t="s">
        <v>4994</v>
      </c>
      <c r="B3273" s="1" t="s">
        <v>4076</v>
      </c>
      <c r="C3273" s="1"/>
      <c r="D3273" s="1"/>
      <c r="E3273" s="1"/>
      <c r="F3273" s="1"/>
      <c r="G3273" s="1"/>
      <c r="H3273" s="1" t="str">
        <f>"7800006002700"</f>
        <v>7800006002700</v>
      </c>
      <c r="I3273" s="3">
        <v>14</v>
      </c>
      <c r="J3273" s="3">
        <v>0</v>
      </c>
      <c r="K3273" s="3">
        <v>15000</v>
      </c>
    </row>
    <row r="3274" spans="1:11" x14ac:dyDescent="0.2">
      <c r="A3274" s="1" t="s">
        <v>4994</v>
      </c>
      <c r="B3274" s="1" t="s">
        <v>4077</v>
      </c>
      <c r="C3274" s="1"/>
      <c r="D3274" s="1"/>
      <c r="E3274" s="1"/>
      <c r="F3274" s="1"/>
      <c r="G3274" s="1"/>
      <c r="H3274" s="1" t="str">
        <f>"8901463130216"</f>
        <v>8901463130216</v>
      </c>
      <c r="I3274" s="3">
        <v>0</v>
      </c>
      <c r="J3274" s="3">
        <v>0</v>
      </c>
      <c r="K3274" s="3">
        <v>6000</v>
      </c>
    </row>
    <row r="3275" spans="1:11" x14ac:dyDescent="0.2">
      <c r="A3275" s="1" t="s">
        <v>4994</v>
      </c>
      <c r="B3275" s="1" t="s">
        <v>4078</v>
      </c>
      <c r="C3275" s="1"/>
      <c r="D3275" s="1"/>
      <c r="E3275" s="1"/>
      <c r="F3275" s="1"/>
      <c r="G3275" s="1"/>
      <c r="H3275" s="1" t="str">
        <f>"8903726193372"</f>
        <v>8903726193372</v>
      </c>
      <c r="I3275" s="3">
        <v>0</v>
      </c>
      <c r="J3275" s="3">
        <v>0</v>
      </c>
      <c r="K3275" s="3">
        <v>2500</v>
      </c>
    </row>
    <row r="3276" spans="1:11" x14ac:dyDescent="0.2">
      <c r="A3276" s="1" t="s">
        <v>4994</v>
      </c>
      <c r="B3276" s="1" t="s">
        <v>4081</v>
      </c>
      <c r="C3276" s="1"/>
      <c r="D3276" s="1"/>
      <c r="E3276" s="1"/>
      <c r="F3276" s="1"/>
      <c r="G3276" s="1"/>
      <c r="H3276" s="1" t="str">
        <f>"8903726172322"</f>
        <v>8903726172322</v>
      </c>
      <c r="I3276" s="3">
        <v>0</v>
      </c>
      <c r="J3276" s="3">
        <v>0</v>
      </c>
      <c r="K3276" s="3">
        <v>3500</v>
      </c>
    </row>
    <row r="3277" spans="1:11" x14ac:dyDescent="0.2">
      <c r="A3277" s="1" t="s">
        <v>4994</v>
      </c>
      <c r="B3277" s="1" t="s">
        <v>4082</v>
      </c>
      <c r="C3277" s="1"/>
      <c r="D3277" s="1"/>
      <c r="E3277" s="1"/>
      <c r="F3277" s="1"/>
      <c r="G3277" s="1"/>
      <c r="H3277" s="1" t="str">
        <f>"8437020503273"</f>
        <v>8437020503273</v>
      </c>
      <c r="I3277" s="3">
        <v>0</v>
      </c>
      <c r="J3277" s="3">
        <v>0</v>
      </c>
      <c r="K3277" s="3">
        <v>24000</v>
      </c>
    </row>
    <row r="3278" spans="1:11" x14ac:dyDescent="0.2">
      <c r="A3278" s="1" t="s">
        <v>4994</v>
      </c>
      <c r="B3278" s="1" t="s">
        <v>4083</v>
      </c>
      <c r="C3278" s="1"/>
      <c r="D3278" s="1"/>
      <c r="E3278" s="1"/>
      <c r="F3278" s="1"/>
      <c r="G3278" s="1"/>
      <c r="H3278" s="1" t="str">
        <f>"8437020503266"</f>
        <v>8437020503266</v>
      </c>
      <c r="I3278" s="3">
        <v>0</v>
      </c>
      <c r="J3278" s="3">
        <v>0</v>
      </c>
      <c r="K3278" s="3">
        <v>29000</v>
      </c>
    </row>
    <row r="3279" spans="1:11" x14ac:dyDescent="0.2">
      <c r="A3279" s="1" t="s">
        <v>4994</v>
      </c>
      <c r="B3279" s="1" t="s">
        <v>4084</v>
      </c>
      <c r="C3279" s="1"/>
      <c r="D3279" s="1"/>
      <c r="E3279" s="1"/>
      <c r="F3279" s="1"/>
      <c r="G3279" s="1"/>
      <c r="H3279" s="1" t="str">
        <f>"7804612010616"</f>
        <v>7804612010616</v>
      </c>
      <c r="I3279" s="3">
        <v>2</v>
      </c>
      <c r="J3279" s="3">
        <v>0</v>
      </c>
      <c r="K3279" s="3">
        <v>15000</v>
      </c>
    </row>
    <row r="3280" spans="1:11" x14ac:dyDescent="0.2">
      <c r="A3280" s="1" t="s">
        <v>4994</v>
      </c>
      <c r="B3280" s="1" t="s">
        <v>4085</v>
      </c>
      <c r="C3280" s="1"/>
      <c r="D3280" s="1"/>
      <c r="E3280" s="1"/>
      <c r="F3280" s="1"/>
      <c r="G3280" s="1"/>
      <c r="H3280" s="1" t="str">
        <f>"7800060167643"</f>
        <v>7800060167643</v>
      </c>
      <c r="I3280" s="3">
        <v>0</v>
      </c>
      <c r="J3280" s="3">
        <v>0</v>
      </c>
      <c r="K3280" s="3">
        <v>8000</v>
      </c>
    </row>
    <row r="3281" spans="1:11" x14ac:dyDescent="0.2">
      <c r="A3281" s="1" t="s">
        <v>4994</v>
      </c>
      <c r="B3281" s="1" t="s">
        <v>4086</v>
      </c>
      <c r="C3281" s="1"/>
      <c r="D3281" s="1"/>
      <c r="E3281" s="1"/>
      <c r="F3281" s="1"/>
      <c r="G3281" s="1"/>
      <c r="H3281" s="1" t="str">
        <f>"7809591401790"</f>
        <v>7809591401790</v>
      </c>
      <c r="I3281" s="3">
        <v>0</v>
      </c>
      <c r="J3281" s="3">
        <v>0</v>
      </c>
      <c r="K3281" s="3">
        <v>14000</v>
      </c>
    </row>
    <row r="3282" spans="1:11" x14ac:dyDescent="0.2">
      <c r="A3282" s="1" t="s">
        <v>4994</v>
      </c>
      <c r="B3282" s="1" t="s">
        <v>4087</v>
      </c>
      <c r="C3282" s="1"/>
      <c r="D3282" s="1"/>
      <c r="E3282" s="1"/>
      <c r="F3282" s="1"/>
      <c r="G3282" s="1"/>
      <c r="H3282" s="1" t="str">
        <f>"7809591402476"</f>
        <v>7809591402476</v>
      </c>
      <c r="I3282" s="3">
        <v>10</v>
      </c>
      <c r="J3282" s="3">
        <v>0</v>
      </c>
      <c r="K3282" s="3">
        <v>14000</v>
      </c>
    </row>
    <row r="3283" spans="1:11" x14ac:dyDescent="0.2">
      <c r="A3283" s="1" t="s">
        <v>4994</v>
      </c>
      <c r="B3283" s="1" t="s">
        <v>4088</v>
      </c>
      <c r="C3283" s="1"/>
      <c r="D3283" s="1"/>
      <c r="E3283" s="1"/>
      <c r="F3283" s="1"/>
      <c r="G3283" s="1"/>
      <c r="H3283" s="1" t="str">
        <f>"7800068011030"</f>
        <v>7800068011030</v>
      </c>
      <c r="I3283" s="3">
        <v>0</v>
      </c>
      <c r="J3283" s="3">
        <v>0</v>
      </c>
      <c r="K3283" s="3">
        <v>11000</v>
      </c>
    </row>
    <row r="3284" spans="1:11" x14ac:dyDescent="0.2">
      <c r="A3284" s="1" t="s">
        <v>4994</v>
      </c>
      <c r="B3284" s="1" t="s">
        <v>4089</v>
      </c>
      <c r="C3284" s="1"/>
      <c r="D3284" s="1"/>
      <c r="E3284" s="1"/>
      <c r="F3284" s="1"/>
      <c r="G3284" s="1"/>
      <c r="H3284" s="1" t="str">
        <f>"7800060180239"</f>
        <v>7800060180239</v>
      </c>
      <c r="I3284" s="3">
        <v>1</v>
      </c>
      <c r="J3284" s="3">
        <v>0</v>
      </c>
      <c r="K3284" s="3">
        <v>23000</v>
      </c>
    </row>
    <row r="3285" spans="1:11" x14ac:dyDescent="0.2">
      <c r="A3285" s="1" t="s">
        <v>4994</v>
      </c>
      <c r="B3285" s="1" t="s">
        <v>4090</v>
      </c>
      <c r="C3285" s="1"/>
      <c r="D3285" s="1"/>
      <c r="E3285" s="1"/>
      <c r="F3285" s="1"/>
      <c r="G3285" s="1"/>
      <c r="H3285" s="1" t="str">
        <f>"75986419694630"</f>
        <v>75986419694630</v>
      </c>
      <c r="I3285" s="3">
        <v>16</v>
      </c>
      <c r="J3285" s="3">
        <v>0</v>
      </c>
      <c r="K3285" s="3">
        <v>6000</v>
      </c>
    </row>
    <row r="3286" spans="1:11" x14ac:dyDescent="0.2">
      <c r="A3286" s="1" t="s">
        <v>4994</v>
      </c>
      <c r="B3286" s="1" t="s">
        <v>4091</v>
      </c>
      <c r="C3286" s="1"/>
      <c r="D3286" s="1"/>
      <c r="E3286" s="1"/>
      <c r="F3286" s="1"/>
      <c r="G3286" s="1"/>
      <c r="H3286" s="1" t="str">
        <f>"7501035907508"</f>
        <v>7501035907508</v>
      </c>
      <c r="I3286" s="3">
        <v>6</v>
      </c>
      <c r="J3286" s="3">
        <v>0</v>
      </c>
      <c r="K3286" s="3">
        <v>2500</v>
      </c>
    </row>
    <row r="3287" spans="1:11" x14ac:dyDescent="0.2">
      <c r="A3287" s="1" t="s">
        <v>4994</v>
      </c>
      <c r="B3287" s="1" t="s">
        <v>4092</v>
      </c>
      <c r="C3287" s="1"/>
      <c r="D3287" s="1"/>
      <c r="E3287" s="1"/>
      <c r="F3287" s="1"/>
      <c r="G3287" s="1"/>
      <c r="H3287" s="1" t="str">
        <f>"2000341103529"</f>
        <v>2000341103529</v>
      </c>
      <c r="I3287" s="3">
        <v>0</v>
      </c>
      <c r="J3287" s="3">
        <v>0</v>
      </c>
      <c r="K3287" s="3">
        <v>5000</v>
      </c>
    </row>
    <row r="3288" spans="1:11" x14ac:dyDescent="0.2">
      <c r="A3288" s="1" t="s">
        <v>4994</v>
      </c>
      <c r="B3288" s="1" t="s">
        <v>4093</v>
      </c>
      <c r="C3288" s="1"/>
      <c r="D3288" s="1"/>
      <c r="E3288" s="1"/>
      <c r="F3288" s="1"/>
      <c r="G3288" s="1"/>
      <c r="H3288" s="1" t="str">
        <f>"7806545000016"</f>
        <v>7806545000016</v>
      </c>
      <c r="I3288" s="3">
        <v>0</v>
      </c>
      <c r="J3288" s="3">
        <v>0</v>
      </c>
      <c r="K3288" s="3">
        <v>3500</v>
      </c>
    </row>
    <row r="3289" spans="1:11" x14ac:dyDescent="0.2">
      <c r="A3289" s="1" t="s">
        <v>4994</v>
      </c>
      <c r="B3289" s="1" t="s">
        <v>4094</v>
      </c>
      <c r="C3289" s="1"/>
      <c r="D3289" s="1"/>
      <c r="E3289" s="1"/>
      <c r="F3289" s="1"/>
      <c r="G3289" s="1"/>
      <c r="H3289" s="1" t="str">
        <f>"7805633012139"</f>
        <v>7805633012139</v>
      </c>
      <c r="I3289" s="3">
        <v>88</v>
      </c>
      <c r="J3289" s="3">
        <v>0</v>
      </c>
      <c r="K3289" s="3">
        <v>4500</v>
      </c>
    </row>
    <row r="3290" spans="1:11" x14ac:dyDescent="0.2">
      <c r="A3290" s="1" t="s">
        <v>4994</v>
      </c>
      <c r="B3290" s="1" t="s">
        <v>4095</v>
      </c>
      <c r="C3290" s="1"/>
      <c r="D3290" s="1"/>
      <c r="E3290" s="1"/>
      <c r="F3290" s="1"/>
      <c r="G3290" s="1"/>
      <c r="H3290" s="1" t="str">
        <f>"7800044000300"</f>
        <v>7800044000300</v>
      </c>
      <c r="I3290" s="3">
        <v>0</v>
      </c>
      <c r="J3290" s="3">
        <v>0</v>
      </c>
      <c r="K3290" s="3">
        <v>1000</v>
      </c>
    </row>
    <row r="3291" spans="1:11" x14ac:dyDescent="0.2">
      <c r="A3291" s="1" t="s">
        <v>4994</v>
      </c>
      <c r="B3291" s="1" t="s">
        <v>4096</v>
      </c>
      <c r="C3291" s="1"/>
      <c r="D3291" s="1"/>
      <c r="E3291" s="1"/>
      <c r="F3291" s="1"/>
      <c r="G3291" s="1"/>
      <c r="H3291" s="1" t="str">
        <f>"7800068015830"</f>
        <v>7800068015830</v>
      </c>
      <c r="I3291" s="3">
        <v>2</v>
      </c>
      <c r="J3291" s="3">
        <v>0</v>
      </c>
      <c r="K3291" s="3">
        <v>9500</v>
      </c>
    </row>
    <row r="3292" spans="1:11" x14ac:dyDescent="0.2">
      <c r="A3292" s="1" t="s">
        <v>4994</v>
      </c>
      <c r="B3292" s="1" t="s">
        <v>4097</v>
      </c>
      <c r="C3292" s="1"/>
      <c r="D3292" s="1"/>
      <c r="E3292" s="1"/>
      <c r="F3292" s="1"/>
      <c r="G3292" s="1"/>
      <c r="H3292" s="1" t="str">
        <f>"9559166613957"</f>
        <v>9559166613957</v>
      </c>
      <c r="I3292" s="3">
        <v>0</v>
      </c>
      <c r="J3292" s="3">
        <v>0</v>
      </c>
      <c r="K3292" s="3">
        <v>1500</v>
      </c>
    </row>
    <row r="3293" spans="1:11" x14ac:dyDescent="0.2">
      <c r="A3293" s="1" t="s">
        <v>4994</v>
      </c>
      <c r="B3293" s="1" t="s">
        <v>4100</v>
      </c>
      <c r="C3293" s="1"/>
      <c r="D3293" s="1"/>
      <c r="E3293" s="1"/>
      <c r="F3293" s="1"/>
      <c r="G3293" s="1"/>
      <c r="H3293" s="1" t="str">
        <f>"7805357001426"</f>
        <v>7805357001426</v>
      </c>
      <c r="I3293" s="3">
        <v>1</v>
      </c>
      <c r="J3293" s="3">
        <v>0</v>
      </c>
      <c r="K3293" s="3">
        <v>500</v>
      </c>
    </row>
    <row r="3294" spans="1:11" x14ac:dyDescent="0.2">
      <c r="A3294" s="1" t="s">
        <v>4994</v>
      </c>
      <c r="B3294" s="1" t="s">
        <v>4101</v>
      </c>
      <c r="C3294" s="1"/>
      <c r="D3294" s="1"/>
      <c r="E3294" s="1"/>
      <c r="F3294" s="1"/>
      <c r="G3294" s="1"/>
      <c r="H3294" s="1" t="str">
        <f>"7800041048275"</f>
        <v>7800041048275</v>
      </c>
      <c r="I3294" s="3">
        <v>25</v>
      </c>
      <c r="J3294" s="3">
        <v>0</v>
      </c>
      <c r="K3294" s="3">
        <v>5000</v>
      </c>
    </row>
    <row r="3295" spans="1:11" x14ac:dyDescent="0.2">
      <c r="A3295" s="1" t="s">
        <v>4994</v>
      </c>
      <c r="B3295" s="1" t="s">
        <v>4102</v>
      </c>
      <c r="C3295" s="1"/>
      <c r="D3295" s="1"/>
      <c r="E3295" s="1"/>
      <c r="F3295" s="1"/>
      <c r="G3295" s="1"/>
      <c r="H3295" s="1" t="str">
        <f>"7800063480022"</f>
        <v>7800063480022</v>
      </c>
      <c r="I3295" s="3">
        <v>298</v>
      </c>
      <c r="J3295" s="3">
        <v>0</v>
      </c>
      <c r="K3295" s="3">
        <v>2000</v>
      </c>
    </row>
    <row r="3296" spans="1:11" x14ac:dyDescent="0.2">
      <c r="A3296" s="1" t="s">
        <v>4994</v>
      </c>
      <c r="B3296" s="1" t="s">
        <v>4103</v>
      </c>
      <c r="C3296" s="1"/>
      <c r="D3296" s="1"/>
      <c r="E3296" s="1"/>
      <c r="F3296" s="1"/>
      <c r="G3296" s="1"/>
      <c r="H3296" s="1" t="str">
        <f>"7804620835980"</f>
        <v>7804620835980</v>
      </c>
      <c r="I3296" s="3">
        <v>14</v>
      </c>
      <c r="J3296" s="3">
        <v>0</v>
      </c>
      <c r="K3296" s="3">
        <v>2000</v>
      </c>
    </row>
    <row r="3297" spans="1:11" x14ac:dyDescent="0.2">
      <c r="A3297" s="1" t="s">
        <v>4994</v>
      </c>
      <c r="B3297" s="1" t="s">
        <v>4104</v>
      </c>
      <c r="C3297" s="1"/>
      <c r="D3297" s="1"/>
      <c r="E3297" s="1"/>
      <c r="F3297" s="1"/>
      <c r="G3297" s="1"/>
      <c r="H3297" s="1" t="str">
        <f>"7800063000831"</f>
        <v>7800063000831</v>
      </c>
      <c r="I3297" s="3">
        <v>5</v>
      </c>
      <c r="J3297" s="3">
        <v>0</v>
      </c>
      <c r="K3297" s="3">
        <v>1500</v>
      </c>
    </row>
    <row r="3298" spans="1:11" x14ac:dyDescent="0.2">
      <c r="A3298" s="1" t="s">
        <v>4994</v>
      </c>
      <c r="B3298" s="1" t="s">
        <v>4106</v>
      </c>
      <c r="C3298" s="1"/>
      <c r="D3298" s="1"/>
      <c r="E3298" s="1"/>
      <c r="F3298" s="1"/>
      <c r="G3298" s="1"/>
      <c r="H3298" s="1" t="str">
        <f>"7795373015135"</f>
        <v>7795373015135</v>
      </c>
      <c r="I3298" s="3">
        <v>0</v>
      </c>
      <c r="J3298" s="3">
        <v>0</v>
      </c>
      <c r="K3298" s="3">
        <v>16500</v>
      </c>
    </row>
    <row r="3299" spans="1:11" x14ac:dyDescent="0.2">
      <c r="A3299" s="1" t="s">
        <v>4994</v>
      </c>
      <c r="B3299" s="1" t="s">
        <v>4107</v>
      </c>
      <c r="C3299" s="1"/>
      <c r="D3299" s="1"/>
      <c r="E3299" s="1"/>
      <c r="F3299" s="1"/>
      <c r="G3299" s="1"/>
      <c r="H3299" s="1" t="str">
        <f>"7800014020307"</f>
        <v>7800014020307</v>
      </c>
      <c r="I3299" s="3">
        <v>0</v>
      </c>
      <c r="J3299" s="3">
        <v>0</v>
      </c>
      <c r="K3299" s="3">
        <v>135000</v>
      </c>
    </row>
    <row r="3300" spans="1:11" x14ac:dyDescent="0.2">
      <c r="A3300" s="1" t="s">
        <v>4994</v>
      </c>
      <c r="B3300" s="1" t="s">
        <v>4108</v>
      </c>
      <c r="C3300" s="1"/>
      <c r="D3300" s="1"/>
      <c r="E3300" s="1"/>
      <c r="F3300" s="1"/>
      <c r="G3300" s="1"/>
      <c r="H3300" s="1" t="str">
        <f>"4987188509067"</f>
        <v>4987188509067</v>
      </c>
      <c r="I3300" s="3">
        <v>79</v>
      </c>
      <c r="J3300" s="3">
        <v>0</v>
      </c>
      <c r="K3300" s="3">
        <v>2500</v>
      </c>
    </row>
    <row r="3301" spans="1:11" x14ac:dyDescent="0.2">
      <c r="A3301" s="1" t="s">
        <v>4994</v>
      </c>
      <c r="B3301" s="1" t="s">
        <v>4111</v>
      </c>
      <c r="C3301" s="1"/>
      <c r="D3301" s="1"/>
      <c r="E3301" s="1"/>
      <c r="F3301" s="1"/>
      <c r="G3301" s="1"/>
      <c r="H3301" s="1" t="str">
        <f>"2000341103550"</f>
        <v>2000341103550</v>
      </c>
      <c r="I3301" s="3">
        <v>0</v>
      </c>
      <c r="J3301" s="3">
        <v>0</v>
      </c>
      <c r="K3301" s="3">
        <v>6000</v>
      </c>
    </row>
    <row r="3302" spans="1:11" x14ac:dyDescent="0.2">
      <c r="A3302" s="1" t="s">
        <v>4994</v>
      </c>
      <c r="B3302" s="1" t="s">
        <v>4112</v>
      </c>
      <c r="C3302" s="1"/>
      <c r="D3302" s="1"/>
      <c r="E3302" s="1"/>
      <c r="F3302" s="1"/>
      <c r="G3302" s="1"/>
      <c r="H3302" s="1" t="str">
        <f>"7805357004229"</f>
        <v>7805357004229</v>
      </c>
      <c r="I3302" s="3">
        <v>0</v>
      </c>
      <c r="J3302" s="3">
        <v>0</v>
      </c>
      <c r="K3302" s="3">
        <v>750</v>
      </c>
    </row>
    <row r="3303" spans="1:11" x14ac:dyDescent="0.2">
      <c r="A3303" s="1" t="s">
        <v>4994</v>
      </c>
      <c r="B3303" s="1" t="s">
        <v>4113</v>
      </c>
      <c r="C3303" s="1"/>
      <c r="D3303" s="1"/>
      <c r="E3303" s="1"/>
      <c r="F3303" s="1"/>
      <c r="G3303" s="1"/>
      <c r="H3303" s="1" t="str">
        <f>"7800001005355"</f>
        <v>7800001005355</v>
      </c>
      <c r="I3303" s="3">
        <v>3</v>
      </c>
      <c r="J3303" s="3">
        <v>0</v>
      </c>
      <c r="K3303" s="3">
        <v>55000</v>
      </c>
    </row>
    <row r="3304" spans="1:11" x14ac:dyDescent="0.2">
      <c r="A3304" s="1" t="s">
        <v>4994</v>
      </c>
      <c r="B3304" s="1" t="s">
        <v>4114</v>
      </c>
      <c r="C3304" s="1"/>
      <c r="D3304" s="1"/>
      <c r="E3304" s="1"/>
      <c r="F3304" s="1"/>
      <c r="G3304" s="1"/>
      <c r="H3304" s="1" t="str">
        <f>"7806130014008"</f>
        <v>7806130014008</v>
      </c>
      <c r="I3304" s="3">
        <v>0</v>
      </c>
      <c r="J3304" s="3">
        <v>0</v>
      </c>
      <c r="K3304" s="3">
        <v>250</v>
      </c>
    </row>
    <row r="3305" spans="1:11" x14ac:dyDescent="0.2">
      <c r="A3305" s="1" t="s">
        <v>4994</v>
      </c>
      <c r="B3305" s="1" t="s">
        <v>4115</v>
      </c>
      <c r="C3305" s="1"/>
      <c r="D3305" s="1"/>
      <c r="E3305" s="1"/>
      <c r="F3305" s="1"/>
      <c r="G3305" s="1"/>
      <c r="H3305" s="1" t="str">
        <f>"6939663924504"</f>
        <v>6939663924504</v>
      </c>
      <c r="I3305" s="3">
        <v>0</v>
      </c>
      <c r="J3305" s="3">
        <v>0</v>
      </c>
      <c r="K3305" s="3">
        <v>17000</v>
      </c>
    </row>
    <row r="3306" spans="1:11" x14ac:dyDescent="0.2">
      <c r="A3306" s="1" t="s">
        <v>4994</v>
      </c>
      <c r="B3306" s="1" t="s">
        <v>4116</v>
      </c>
      <c r="C3306" s="1"/>
      <c r="D3306" s="1"/>
      <c r="E3306" s="1"/>
      <c r="F3306" s="1"/>
      <c r="G3306" s="1"/>
      <c r="H3306" s="1" t="str">
        <f>"000002901114"</f>
        <v>000002901114</v>
      </c>
      <c r="I3306" s="3">
        <v>51</v>
      </c>
      <c r="J3306" s="3">
        <v>0</v>
      </c>
      <c r="K3306" s="3">
        <v>2000</v>
      </c>
    </row>
    <row r="3307" spans="1:11" x14ac:dyDescent="0.2">
      <c r="A3307" s="1" t="s">
        <v>4994</v>
      </c>
      <c r="B3307" s="1" t="s">
        <v>4117</v>
      </c>
      <c r="C3307" s="1"/>
      <c r="D3307" s="1"/>
      <c r="E3307" s="1"/>
      <c r="F3307" s="1"/>
      <c r="G3307" s="1"/>
      <c r="H3307" s="1" t="str">
        <f>"000002901152"</f>
        <v>000002901152</v>
      </c>
      <c r="I3307" s="3">
        <v>0</v>
      </c>
      <c r="J3307" s="3">
        <v>0</v>
      </c>
      <c r="K3307" s="3">
        <v>3500</v>
      </c>
    </row>
    <row r="3308" spans="1:11" x14ac:dyDescent="0.2">
      <c r="A3308" s="1" t="s">
        <v>4994</v>
      </c>
      <c r="B3308" s="1" t="s">
        <v>4118</v>
      </c>
      <c r="C3308" s="1"/>
      <c r="D3308" s="1"/>
      <c r="E3308" s="1"/>
      <c r="F3308" s="1"/>
      <c r="G3308" s="1"/>
      <c r="H3308" s="1" t="str">
        <f>"6939663904063"</f>
        <v>6939663904063</v>
      </c>
      <c r="I3308" s="3">
        <v>0</v>
      </c>
      <c r="J3308" s="3">
        <v>0</v>
      </c>
      <c r="K3308" s="3">
        <v>30000</v>
      </c>
    </row>
    <row r="3309" spans="1:11" x14ac:dyDescent="0.2">
      <c r="A3309" s="1" t="s">
        <v>4994</v>
      </c>
      <c r="B3309" s="1" t="s">
        <v>4119</v>
      </c>
      <c r="C3309" s="1"/>
      <c r="D3309" s="1"/>
      <c r="E3309" s="1"/>
      <c r="F3309" s="1"/>
      <c r="G3309" s="1"/>
      <c r="H3309" s="1" t="str">
        <f>"6950996004138"</f>
        <v>6950996004138</v>
      </c>
      <c r="I3309" s="3">
        <v>45</v>
      </c>
      <c r="J3309" s="3">
        <v>0</v>
      </c>
      <c r="K3309" s="3">
        <v>1500</v>
      </c>
    </row>
    <row r="3310" spans="1:11" x14ac:dyDescent="0.2">
      <c r="A3310" s="1" t="s">
        <v>4994</v>
      </c>
      <c r="B3310" s="1" t="s">
        <v>4120</v>
      </c>
      <c r="C3310" s="1"/>
      <c r="D3310" s="1"/>
      <c r="E3310" s="1"/>
      <c r="F3310" s="1"/>
      <c r="G3310" s="1"/>
      <c r="H3310" s="1" t="str">
        <f>"6950996004152"</f>
        <v>6950996004152</v>
      </c>
      <c r="I3310" s="3">
        <v>0</v>
      </c>
      <c r="J3310" s="3">
        <v>0</v>
      </c>
      <c r="K3310" s="3">
        <v>2000</v>
      </c>
    </row>
    <row r="3311" spans="1:11" x14ac:dyDescent="0.2">
      <c r="A3311" s="1" t="s">
        <v>4994</v>
      </c>
      <c r="B3311" s="1" t="s">
        <v>4121</v>
      </c>
      <c r="C3311" s="1"/>
      <c r="D3311" s="1"/>
      <c r="E3311" s="1"/>
      <c r="F3311" s="1"/>
      <c r="G3311" s="1"/>
      <c r="H3311" s="1" t="str">
        <f>"2901121"</f>
        <v>2901121</v>
      </c>
      <c r="I3311" s="3">
        <v>0</v>
      </c>
      <c r="J3311" s="3">
        <v>0</v>
      </c>
      <c r="K3311" s="3">
        <v>6000</v>
      </c>
    </row>
    <row r="3312" spans="1:11" x14ac:dyDescent="0.2">
      <c r="A3312" s="1" t="s">
        <v>4994</v>
      </c>
      <c r="B3312" s="1" t="s">
        <v>4122</v>
      </c>
      <c r="C3312" s="1"/>
      <c r="D3312" s="1"/>
      <c r="E3312" s="1"/>
      <c r="F3312" s="1"/>
      <c r="G3312" s="1"/>
      <c r="H3312" s="1" t="str">
        <f>"000002901107"</f>
        <v>000002901107</v>
      </c>
      <c r="I3312" s="3">
        <v>28</v>
      </c>
      <c r="J3312" s="3">
        <v>0</v>
      </c>
      <c r="K3312" s="3">
        <v>1500</v>
      </c>
    </row>
    <row r="3313" spans="1:11" x14ac:dyDescent="0.2">
      <c r="A3313" s="1" t="s">
        <v>4994</v>
      </c>
      <c r="B3313" s="1" t="s">
        <v>4123</v>
      </c>
      <c r="C3313" s="1"/>
      <c r="D3313" s="1"/>
      <c r="E3313" s="1"/>
      <c r="F3313" s="1"/>
      <c r="G3313" s="1"/>
      <c r="H3313" s="1" t="str">
        <f>"6970221767577"</f>
        <v>6970221767577</v>
      </c>
      <c r="I3313" s="3">
        <v>0</v>
      </c>
      <c r="J3313" s="3">
        <v>0</v>
      </c>
      <c r="K3313" s="3">
        <v>12500</v>
      </c>
    </row>
    <row r="3314" spans="1:11" x14ac:dyDescent="0.2">
      <c r="A3314" s="1" t="s">
        <v>4994</v>
      </c>
      <c r="B3314" s="1" t="s">
        <v>4124</v>
      </c>
      <c r="C3314" s="1"/>
      <c r="D3314" s="1"/>
      <c r="E3314" s="1"/>
      <c r="F3314" s="1"/>
      <c r="G3314" s="1"/>
      <c r="H3314" s="1" t="str">
        <f>"7502214739620"</f>
        <v>7502214739620</v>
      </c>
      <c r="I3314" s="3">
        <v>0</v>
      </c>
      <c r="J3314" s="3">
        <v>0</v>
      </c>
      <c r="K3314" s="3">
        <v>1500</v>
      </c>
    </row>
    <row r="3315" spans="1:11" x14ac:dyDescent="0.2">
      <c r="A3315" s="1" t="s">
        <v>4994</v>
      </c>
      <c r="B3315" s="1" t="s">
        <v>4125</v>
      </c>
      <c r="C3315" s="1"/>
      <c r="D3315" s="1"/>
      <c r="E3315" s="1"/>
      <c r="F3315" s="1"/>
      <c r="G3315" s="1"/>
      <c r="H3315" s="1" t="str">
        <f>"7751827001246"</f>
        <v>7751827001246</v>
      </c>
      <c r="I3315" s="3">
        <v>0</v>
      </c>
      <c r="J3315" s="3">
        <v>0</v>
      </c>
      <c r="K3315" s="3">
        <v>6000</v>
      </c>
    </row>
    <row r="3316" spans="1:11" x14ac:dyDescent="0.2">
      <c r="A3316" s="1" t="s">
        <v>4994</v>
      </c>
      <c r="B3316" s="1" t="s">
        <v>4126</v>
      </c>
      <c r="C3316" s="1"/>
      <c r="D3316" s="1"/>
      <c r="E3316" s="1"/>
      <c r="F3316" s="1"/>
      <c r="G3316" s="1"/>
      <c r="H3316" s="1" t="str">
        <f>"7591066712011"</f>
        <v>7591066712011</v>
      </c>
      <c r="I3316" s="3">
        <v>0</v>
      </c>
      <c r="J3316" s="3">
        <v>0</v>
      </c>
      <c r="K3316" s="3">
        <v>3000</v>
      </c>
    </row>
    <row r="3317" spans="1:11" x14ac:dyDescent="0.2">
      <c r="A3317" s="1" t="s">
        <v>4994</v>
      </c>
      <c r="B3317" s="1" t="s">
        <v>4127</v>
      </c>
      <c r="C3317" s="1"/>
      <c r="D3317" s="1"/>
      <c r="E3317" s="1"/>
      <c r="F3317" s="1"/>
      <c r="G3317" s="1"/>
      <c r="H3317" s="1" t="str">
        <f>"7500435143196"</f>
        <v>7500435143196</v>
      </c>
      <c r="I3317" s="3">
        <v>0</v>
      </c>
      <c r="J3317" s="3">
        <v>0</v>
      </c>
      <c r="K3317" s="3">
        <v>2500</v>
      </c>
    </row>
    <row r="3318" spans="1:11" x14ac:dyDescent="0.2">
      <c r="A3318" s="1" t="s">
        <v>4994</v>
      </c>
      <c r="B3318" s="1" t="s">
        <v>4128</v>
      </c>
      <c r="C3318" s="1"/>
      <c r="D3318" s="1"/>
      <c r="E3318" s="1"/>
      <c r="F3318" s="1"/>
      <c r="G3318" s="1"/>
      <c r="H3318" s="1" t="str">
        <f>"7500435129367"</f>
        <v>7500435129367</v>
      </c>
      <c r="I3318" s="3">
        <v>0</v>
      </c>
      <c r="J3318" s="3">
        <v>0</v>
      </c>
      <c r="K3318" s="3">
        <v>2500</v>
      </c>
    </row>
    <row r="3319" spans="1:11" x14ac:dyDescent="0.2">
      <c r="A3319" s="1" t="s">
        <v>4994</v>
      </c>
      <c r="B3319" s="1" t="s">
        <v>4129</v>
      </c>
      <c r="C3319" s="1"/>
      <c r="D3319" s="1"/>
      <c r="E3319" s="1"/>
      <c r="F3319" s="1"/>
      <c r="G3319" s="1"/>
      <c r="H3319" s="1" t="str">
        <f>"7500435213417"</f>
        <v>7500435213417</v>
      </c>
      <c r="I3319" s="3">
        <v>0</v>
      </c>
      <c r="J3319" s="3">
        <v>0</v>
      </c>
      <c r="K3319" s="3">
        <v>2500</v>
      </c>
    </row>
    <row r="3320" spans="1:11" x14ac:dyDescent="0.2">
      <c r="A3320" s="1" t="s">
        <v>4994</v>
      </c>
      <c r="B3320" s="1" t="s">
        <v>4144</v>
      </c>
      <c r="C3320" s="1"/>
      <c r="D3320" s="1"/>
      <c r="E3320" s="1"/>
      <c r="F3320" s="1"/>
      <c r="G3320" s="1"/>
      <c r="H3320" s="1" t="str">
        <f>"5854020624648"</f>
        <v>5854020624648</v>
      </c>
      <c r="I3320" s="3">
        <v>6</v>
      </c>
      <c r="J3320" s="3">
        <v>0</v>
      </c>
      <c r="K3320" s="3">
        <v>4000</v>
      </c>
    </row>
    <row r="3321" spans="1:11" x14ac:dyDescent="0.2">
      <c r="A3321" s="1" t="s">
        <v>4994</v>
      </c>
      <c r="B3321" s="1" t="s">
        <v>4149</v>
      </c>
      <c r="C3321" s="1"/>
      <c r="D3321" s="1"/>
      <c r="E3321" s="1"/>
      <c r="F3321" s="1"/>
      <c r="G3321" s="1"/>
      <c r="H3321" s="1" t="str">
        <f>"7805633002727"</f>
        <v>7805633002727</v>
      </c>
      <c r="I3321" s="3">
        <v>0</v>
      </c>
      <c r="J3321" s="3">
        <v>0</v>
      </c>
      <c r="K3321" s="3">
        <v>1500</v>
      </c>
    </row>
    <row r="3322" spans="1:11" x14ac:dyDescent="0.2">
      <c r="A3322" s="1" t="s">
        <v>4994</v>
      </c>
      <c r="B3322" s="1" t="s">
        <v>4150</v>
      </c>
      <c r="C3322" s="1"/>
      <c r="D3322" s="1"/>
      <c r="E3322" s="1"/>
      <c r="F3322" s="1"/>
      <c r="G3322" s="1"/>
      <c r="H3322" s="1" t="str">
        <f>"7805633002734"</f>
        <v>7805633002734</v>
      </c>
      <c r="I3322" s="3">
        <v>0</v>
      </c>
      <c r="J3322" s="3">
        <v>0</v>
      </c>
      <c r="K3322" s="3">
        <v>1500</v>
      </c>
    </row>
    <row r="3323" spans="1:11" x14ac:dyDescent="0.2">
      <c r="A3323" s="1" t="s">
        <v>4994</v>
      </c>
      <c r="B3323" s="1" t="s">
        <v>4151</v>
      </c>
      <c r="C3323" s="1"/>
      <c r="D3323" s="1"/>
      <c r="E3323" s="1"/>
      <c r="F3323" s="1"/>
      <c r="G3323" s="1"/>
      <c r="H3323" s="1" t="str">
        <f>"7805633014539"</f>
        <v>7805633014539</v>
      </c>
      <c r="I3323" s="3">
        <v>0</v>
      </c>
      <c r="J3323" s="3">
        <v>0</v>
      </c>
      <c r="K3323" s="3">
        <v>1500</v>
      </c>
    </row>
    <row r="3324" spans="1:11" x14ac:dyDescent="0.2">
      <c r="A3324" s="1" t="s">
        <v>4994</v>
      </c>
      <c r="B3324" s="1" t="s">
        <v>4152</v>
      </c>
      <c r="C3324" s="1"/>
      <c r="D3324" s="1"/>
      <c r="E3324" s="1"/>
      <c r="F3324" s="1"/>
      <c r="G3324" s="1"/>
      <c r="H3324" s="1" t="str">
        <f>"7702006301572"</f>
        <v>7702006301572</v>
      </c>
      <c r="I3324" s="3">
        <v>0</v>
      </c>
      <c r="J3324" s="3">
        <v>0</v>
      </c>
      <c r="K3324" s="3">
        <v>2000</v>
      </c>
    </row>
    <row r="3325" spans="1:11" x14ac:dyDescent="0.2">
      <c r="A3325" s="1" t="s">
        <v>4994</v>
      </c>
      <c r="B3325" s="1" t="s">
        <v>4153</v>
      </c>
      <c r="C3325" s="1"/>
      <c r="D3325" s="1"/>
      <c r="E3325" s="1"/>
      <c r="F3325" s="1"/>
      <c r="G3325" s="1"/>
      <c r="H3325" s="1" t="str">
        <f>"7791293047980"</f>
        <v>7791293047980</v>
      </c>
      <c r="I3325" s="3">
        <v>0</v>
      </c>
      <c r="J3325" s="3">
        <v>0</v>
      </c>
      <c r="K3325" s="3">
        <v>2000</v>
      </c>
    </row>
    <row r="3326" spans="1:11" x14ac:dyDescent="0.2">
      <c r="A3326" s="1" t="s">
        <v>4994</v>
      </c>
      <c r="B3326" s="1" t="s">
        <v>4154</v>
      </c>
      <c r="C3326" s="1"/>
      <c r="D3326" s="1"/>
      <c r="E3326" s="1"/>
      <c r="F3326" s="1"/>
      <c r="G3326" s="1"/>
      <c r="H3326" s="1" t="str">
        <f>"7791293045962"</f>
        <v>7791293045962</v>
      </c>
      <c r="I3326" s="3">
        <v>0</v>
      </c>
      <c r="J3326" s="3">
        <v>0</v>
      </c>
      <c r="K3326" s="3">
        <v>2000</v>
      </c>
    </row>
    <row r="3327" spans="1:11" x14ac:dyDescent="0.2">
      <c r="A3327" s="1" t="s">
        <v>4994</v>
      </c>
      <c r="B3327" s="1" t="s">
        <v>4155</v>
      </c>
      <c r="C3327" s="1"/>
      <c r="D3327" s="1"/>
      <c r="E3327" s="1"/>
      <c r="F3327" s="1"/>
      <c r="G3327" s="1"/>
      <c r="H3327" s="1" t="str">
        <f>"7791293051468"</f>
        <v>7791293051468</v>
      </c>
      <c r="I3327" s="3">
        <v>0</v>
      </c>
      <c r="J3327" s="3">
        <v>0</v>
      </c>
      <c r="K3327" s="3">
        <v>2000</v>
      </c>
    </row>
    <row r="3328" spans="1:11" x14ac:dyDescent="0.2">
      <c r="A3328" s="1" t="s">
        <v>4994</v>
      </c>
      <c r="B3328" s="1" t="s">
        <v>4156</v>
      </c>
      <c r="C3328" s="1"/>
      <c r="D3328" s="1"/>
      <c r="E3328" s="1"/>
      <c r="F3328" s="1"/>
      <c r="G3328" s="1"/>
      <c r="H3328" s="1" t="str">
        <f>"7791293049731"</f>
        <v>7791293049731</v>
      </c>
      <c r="I3328" s="3">
        <v>0</v>
      </c>
      <c r="J3328" s="3">
        <v>0</v>
      </c>
      <c r="K3328" s="3">
        <v>2000</v>
      </c>
    </row>
    <row r="3329" spans="1:11" x14ac:dyDescent="0.2">
      <c r="A3329" s="1" t="s">
        <v>4994</v>
      </c>
      <c r="B3329" s="1" t="s">
        <v>4157</v>
      </c>
      <c r="C3329" s="1"/>
      <c r="D3329" s="1"/>
      <c r="E3329" s="1"/>
      <c r="F3329" s="1"/>
      <c r="G3329" s="1"/>
      <c r="H3329" s="1" t="str">
        <f>"7791293046464"</f>
        <v>7791293046464</v>
      </c>
      <c r="I3329" s="3">
        <v>0</v>
      </c>
      <c r="J3329" s="3">
        <v>0</v>
      </c>
      <c r="K3329" s="3">
        <v>2000</v>
      </c>
    </row>
    <row r="3330" spans="1:11" x14ac:dyDescent="0.2">
      <c r="A3330" s="1" t="s">
        <v>4994</v>
      </c>
      <c r="B3330" s="1" t="s">
        <v>4158</v>
      </c>
      <c r="C3330" s="1"/>
      <c r="D3330" s="1"/>
      <c r="E3330" s="1"/>
      <c r="F3330" s="1"/>
      <c r="G3330" s="1"/>
      <c r="H3330" s="1" t="str">
        <f>"7791293051482"</f>
        <v>7791293051482</v>
      </c>
      <c r="I3330" s="3">
        <v>6</v>
      </c>
      <c r="J3330" s="3">
        <v>0</v>
      </c>
      <c r="K3330" s="3">
        <v>2000</v>
      </c>
    </row>
    <row r="3331" spans="1:11" x14ac:dyDescent="0.2">
      <c r="A3331" s="1" t="s">
        <v>4994</v>
      </c>
      <c r="B3331" s="1" t="s">
        <v>4159</v>
      </c>
      <c r="C3331" s="1"/>
      <c r="D3331" s="1"/>
      <c r="E3331" s="1"/>
      <c r="F3331" s="1"/>
      <c r="G3331" s="1"/>
      <c r="H3331" s="1" t="str">
        <f>"7791293045979"</f>
        <v>7791293045979</v>
      </c>
      <c r="I3331" s="3">
        <v>0</v>
      </c>
      <c r="J3331" s="3">
        <v>0</v>
      </c>
      <c r="K3331" s="3">
        <v>2000</v>
      </c>
    </row>
    <row r="3332" spans="1:11" x14ac:dyDescent="0.2">
      <c r="A3332" s="1" t="s">
        <v>4994</v>
      </c>
      <c r="B3332" s="1" t="s">
        <v>4163</v>
      </c>
      <c r="C3332" s="1"/>
      <c r="D3332" s="1"/>
      <c r="E3332" s="1"/>
      <c r="F3332" s="1"/>
      <c r="G3332" s="1"/>
      <c r="H3332" s="1" t="str">
        <f>"7805357001983"</f>
        <v>7805357001983</v>
      </c>
      <c r="I3332" s="3">
        <v>0</v>
      </c>
      <c r="J3332" s="3">
        <v>0</v>
      </c>
      <c r="K3332" s="3">
        <v>600</v>
      </c>
    </row>
    <row r="3333" spans="1:11" x14ac:dyDescent="0.2">
      <c r="A3333" s="1" t="s">
        <v>4994</v>
      </c>
      <c r="B3333" s="1" t="s">
        <v>4164</v>
      </c>
      <c r="C3333" s="1"/>
      <c r="D3333" s="1"/>
      <c r="E3333" s="1"/>
      <c r="F3333" s="1"/>
      <c r="G3333" s="1"/>
      <c r="H3333" s="1" t="str">
        <f>"7808718200735"</f>
        <v>7808718200735</v>
      </c>
      <c r="I3333" s="3">
        <v>2</v>
      </c>
      <c r="J3333" s="3">
        <v>0</v>
      </c>
      <c r="K3333" s="3">
        <v>4000</v>
      </c>
    </row>
    <row r="3334" spans="1:11" x14ac:dyDescent="0.2">
      <c r="A3334" s="1" t="s">
        <v>4994</v>
      </c>
      <c r="B3334" s="1" t="s">
        <v>4165</v>
      </c>
      <c r="C3334" s="1"/>
      <c r="D3334" s="1"/>
      <c r="E3334" s="1"/>
      <c r="F3334" s="1"/>
      <c r="G3334" s="1"/>
      <c r="H3334" s="1" t="str">
        <f>"8715200813061"</f>
        <v>8715200813061</v>
      </c>
      <c r="I3334" s="3">
        <v>0</v>
      </c>
      <c r="J3334" s="3">
        <v>0</v>
      </c>
      <c r="K3334" s="3">
        <v>11000</v>
      </c>
    </row>
    <row r="3335" spans="1:11" x14ac:dyDescent="0.2">
      <c r="A3335" s="1" t="s">
        <v>4994</v>
      </c>
      <c r="B3335" s="1" t="s">
        <v>4166</v>
      </c>
      <c r="C3335" s="1"/>
      <c r="D3335" s="1"/>
      <c r="E3335" s="1"/>
      <c r="F3335" s="1"/>
      <c r="G3335" s="1"/>
      <c r="H3335" s="1" t="str">
        <f>"7896009498091"</f>
        <v>7896009498091</v>
      </c>
      <c r="I3335" s="3">
        <v>2</v>
      </c>
      <c r="J3335" s="3">
        <v>0</v>
      </c>
      <c r="K3335" s="3">
        <v>5500</v>
      </c>
    </row>
    <row r="3336" spans="1:11" x14ac:dyDescent="0.2">
      <c r="A3336" s="1" t="s">
        <v>4994</v>
      </c>
      <c r="B3336" s="1" t="s">
        <v>4167</v>
      </c>
      <c r="C3336" s="1"/>
      <c r="D3336" s="1"/>
      <c r="E3336" s="1"/>
      <c r="F3336" s="1"/>
      <c r="G3336" s="1"/>
      <c r="H3336" s="1" t="str">
        <f>"7896009498589"</f>
        <v>7896009498589</v>
      </c>
      <c r="I3336" s="3">
        <v>2</v>
      </c>
      <c r="J3336" s="3">
        <v>0</v>
      </c>
      <c r="K3336" s="3">
        <v>6500</v>
      </c>
    </row>
    <row r="3337" spans="1:11" x14ac:dyDescent="0.2">
      <c r="A3337" s="1" t="s">
        <v>4994</v>
      </c>
      <c r="B3337" s="1" t="s">
        <v>4168</v>
      </c>
      <c r="C3337" s="1"/>
      <c r="D3337" s="1"/>
      <c r="E3337" s="1"/>
      <c r="F3337" s="1"/>
      <c r="G3337" s="1"/>
      <c r="H3337" s="1" t="str">
        <f>"7896015520045"</f>
        <v>7896015520045</v>
      </c>
      <c r="I3337" s="3">
        <v>5</v>
      </c>
      <c r="J3337" s="3">
        <v>0</v>
      </c>
      <c r="K3337" s="3">
        <v>6500</v>
      </c>
    </row>
    <row r="3338" spans="1:11" x14ac:dyDescent="0.2">
      <c r="A3338" s="1" t="s">
        <v>4994</v>
      </c>
      <c r="B3338" s="1" t="s">
        <v>4169</v>
      </c>
      <c r="C3338" s="1"/>
      <c r="D3338" s="1"/>
      <c r="E3338" s="1"/>
      <c r="F3338" s="1"/>
      <c r="G3338" s="1"/>
      <c r="H3338" s="1" t="str">
        <f>"7896015591823"</f>
        <v>7896015591823</v>
      </c>
      <c r="I3338" s="3">
        <v>0</v>
      </c>
      <c r="J3338" s="3">
        <v>0</v>
      </c>
      <c r="K3338" s="3">
        <v>5000</v>
      </c>
    </row>
    <row r="3339" spans="1:11" x14ac:dyDescent="0.2">
      <c r="A3339" s="1" t="s">
        <v>4994</v>
      </c>
      <c r="B3339" s="1" t="s">
        <v>4170</v>
      </c>
      <c r="C3339" s="1"/>
      <c r="D3339" s="1"/>
      <c r="E3339" s="1"/>
      <c r="F3339" s="1"/>
      <c r="G3339" s="1"/>
      <c r="H3339" s="1" t="str">
        <f>"7794640171581"</f>
        <v>7794640171581</v>
      </c>
      <c r="I3339" s="3">
        <v>0</v>
      </c>
      <c r="J3339" s="3">
        <v>0</v>
      </c>
      <c r="K3339" s="3">
        <v>2000</v>
      </c>
    </row>
    <row r="3340" spans="1:11" x14ac:dyDescent="0.2">
      <c r="A3340" s="1" t="s">
        <v>4994</v>
      </c>
      <c r="B3340" s="1" t="s">
        <v>4171</v>
      </c>
      <c r="C3340" s="1"/>
      <c r="D3340" s="1"/>
      <c r="E3340" s="1"/>
      <c r="F3340" s="1"/>
      <c r="G3340" s="1"/>
      <c r="H3340" s="1" t="str">
        <f>"7794640172427"</f>
        <v>7794640172427</v>
      </c>
      <c r="I3340" s="3">
        <v>0</v>
      </c>
      <c r="J3340" s="3">
        <v>0</v>
      </c>
      <c r="K3340" s="3">
        <v>4000</v>
      </c>
    </row>
    <row r="3341" spans="1:11" x14ac:dyDescent="0.2">
      <c r="A3341" s="1" t="s">
        <v>4994</v>
      </c>
      <c r="B3341" s="1" t="s">
        <v>4172</v>
      </c>
      <c r="C3341" s="1"/>
      <c r="D3341" s="1"/>
      <c r="E3341" s="1"/>
      <c r="F3341" s="1"/>
      <c r="G3341" s="1"/>
      <c r="H3341" s="1" t="str">
        <f>"7794640172380"</f>
        <v>7794640172380</v>
      </c>
      <c r="I3341" s="3">
        <v>0</v>
      </c>
      <c r="J3341" s="3">
        <v>0</v>
      </c>
      <c r="K3341" s="3">
        <v>4000</v>
      </c>
    </row>
    <row r="3342" spans="1:11" x14ac:dyDescent="0.2">
      <c r="A3342" s="1" t="s">
        <v>4994</v>
      </c>
      <c r="B3342" s="1" t="s">
        <v>4173</v>
      </c>
      <c r="C3342" s="1"/>
      <c r="D3342" s="1"/>
      <c r="E3342" s="1"/>
      <c r="F3342" s="1"/>
      <c r="G3342" s="1"/>
      <c r="H3342" s="1" t="str">
        <f>"7896015527730"</f>
        <v>7896015527730</v>
      </c>
      <c r="I3342" s="3">
        <v>0</v>
      </c>
      <c r="J3342" s="3">
        <v>0</v>
      </c>
      <c r="K3342" s="3">
        <v>3500</v>
      </c>
    </row>
    <row r="3343" spans="1:11" x14ac:dyDescent="0.2">
      <c r="A3343" s="1" t="s">
        <v>4994</v>
      </c>
      <c r="B3343" s="1" t="s">
        <v>4174</v>
      </c>
      <c r="C3343" s="1"/>
      <c r="D3343" s="1"/>
      <c r="E3343" s="1"/>
      <c r="F3343" s="1"/>
      <c r="G3343" s="1"/>
      <c r="H3343" s="1" t="str">
        <f>"7794640172502"</f>
        <v>7794640172502</v>
      </c>
      <c r="I3343" s="3">
        <v>0</v>
      </c>
      <c r="J3343" s="3">
        <v>0</v>
      </c>
      <c r="K3343" s="3">
        <v>3000</v>
      </c>
    </row>
    <row r="3344" spans="1:11" x14ac:dyDescent="0.2">
      <c r="A3344" s="1" t="s">
        <v>4994</v>
      </c>
      <c r="B3344" s="1" t="s">
        <v>4175</v>
      </c>
      <c r="C3344" s="1"/>
      <c r="D3344" s="1"/>
      <c r="E3344" s="1"/>
      <c r="F3344" s="1"/>
      <c r="G3344" s="1"/>
      <c r="H3344" s="1" t="str">
        <f>"7896009419294"</f>
        <v>7896009419294</v>
      </c>
      <c r="I3344" s="3">
        <v>5</v>
      </c>
      <c r="J3344" s="3">
        <v>0</v>
      </c>
      <c r="K3344" s="3">
        <v>4000</v>
      </c>
    </row>
    <row r="3345" spans="1:11" x14ac:dyDescent="0.2">
      <c r="A3345" s="1" t="s">
        <v>4994</v>
      </c>
      <c r="B3345" s="1" t="s">
        <v>4176</v>
      </c>
      <c r="C3345" s="1"/>
      <c r="D3345" s="1"/>
      <c r="E3345" s="1"/>
      <c r="F3345" s="1"/>
      <c r="G3345" s="1"/>
      <c r="H3345" s="1" t="str">
        <f>"7794640171550"</f>
        <v>7794640171550</v>
      </c>
      <c r="I3345" s="3">
        <v>0</v>
      </c>
      <c r="J3345" s="3">
        <v>0</v>
      </c>
      <c r="K3345" s="3">
        <v>6500</v>
      </c>
    </row>
    <row r="3346" spans="1:11" x14ac:dyDescent="0.2">
      <c r="A3346" s="1" t="s">
        <v>4994</v>
      </c>
      <c r="B3346" s="1" t="s">
        <v>4177</v>
      </c>
      <c r="C3346" s="1"/>
      <c r="D3346" s="1"/>
      <c r="E3346" s="1"/>
      <c r="F3346" s="1"/>
      <c r="G3346" s="1"/>
      <c r="H3346" s="1" t="str">
        <f>"7804676070076"</f>
        <v>7804676070076</v>
      </c>
      <c r="I3346" s="3">
        <v>0</v>
      </c>
      <c r="J3346" s="3">
        <v>0</v>
      </c>
      <c r="K3346" s="3">
        <v>1000</v>
      </c>
    </row>
    <row r="3347" spans="1:11" x14ac:dyDescent="0.2">
      <c r="A3347" s="1" t="s">
        <v>4994</v>
      </c>
      <c r="B3347" s="1" t="s">
        <v>4178</v>
      </c>
      <c r="C3347" s="1"/>
      <c r="D3347" s="1"/>
      <c r="E3347" s="1"/>
      <c r="F3347" s="1"/>
      <c r="G3347" s="1"/>
      <c r="H3347" s="1" t="str">
        <f>"7800007791979"</f>
        <v>7800007791979</v>
      </c>
      <c r="I3347" s="3">
        <v>0</v>
      </c>
      <c r="J3347" s="3">
        <v>0</v>
      </c>
      <c r="K3347" s="3">
        <v>25000</v>
      </c>
    </row>
    <row r="3348" spans="1:11" x14ac:dyDescent="0.2">
      <c r="A3348" s="1" t="s">
        <v>4994</v>
      </c>
      <c r="B3348" s="1" t="s">
        <v>4179</v>
      </c>
      <c r="C3348" s="1"/>
      <c r="D3348" s="1"/>
      <c r="E3348" s="1"/>
      <c r="F3348" s="1"/>
      <c r="G3348" s="1"/>
      <c r="H3348" s="1" t="str">
        <f>"5201410707021"</f>
        <v>5201410707021</v>
      </c>
      <c r="I3348" s="3">
        <v>0</v>
      </c>
      <c r="J3348" s="3">
        <v>0</v>
      </c>
      <c r="K3348" s="3">
        <v>1500</v>
      </c>
    </row>
    <row r="3349" spans="1:11" x14ac:dyDescent="0.2">
      <c r="A3349" s="1" t="s">
        <v>4994</v>
      </c>
      <c r="B3349" s="1" t="s">
        <v>4180</v>
      </c>
      <c r="C3349" s="1"/>
      <c r="D3349" s="1"/>
      <c r="E3349" s="1"/>
      <c r="F3349" s="1"/>
      <c r="G3349" s="1"/>
      <c r="H3349" s="1" t="str">
        <f>"5201410615081"</f>
        <v>5201410615081</v>
      </c>
      <c r="I3349" s="3">
        <v>0</v>
      </c>
      <c r="J3349" s="3">
        <v>0</v>
      </c>
      <c r="K3349" s="3">
        <v>1000</v>
      </c>
    </row>
    <row r="3350" spans="1:11" x14ac:dyDescent="0.2">
      <c r="A3350" s="1" t="s">
        <v>4994</v>
      </c>
      <c r="B3350" s="1" t="s">
        <v>4181</v>
      </c>
      <c r="C3350" s="1"/>
      <c r="D3350" s="1"/>
      <c r="E3350" s="1"/>
      <c r="F3350" s="1"/>
      <c r="G3350" s="1"/>
      <c r="H3350" s="1" t="str">
        <f>"7803501004033"</f>
        <v>7803501004033</v>
      </c>
      <c r="I3350" s="3">
        <v>15</v>
      </c>
      <c r="J3350" s="3">
        <v>0</v>
      </c>
      <c r="K3350" s="3">
        <v>6000</v>
      </c>
    </row>
    <row r="3351" spans="1:11" x14ac:dyDescent="0.2">
      <c r="A3351" s="1" t="s">
        <v>4994</v>
      </c>
      <c r="B3351" s="1" t="s">
        <v>4183</v>
      </c>
      <c r="C3351" s="1"/>
      <c r="D3351" s="1"/>
      <c r="E3351" s="1"/>
      <c r="F3351" s="1"/>
      <c r="G3351" s="1"/>
      <c r="H3351" s="1" t="str">
        <f>"4007221046028"</f>
        <v>4007221046028</v>
      </c>
      <c r="I3351" s="3">
        <v>0</v>
      </c>
      <c r="J3351" s="3">
        <v>0</v>
      </c>
      <c r="K3351" s="3">
        <v>41650</v>
      </c>
    </row>
    <row r="3352" spans="1:11" x14ac:dyDescent="0.2">
      <c r="A3352" s="1" t="s">
        <v>4994</v>
      </c>
      <c r="B3352" s="1" t="s">
        <v>4185</v>
      </c>
      <c r="C3352" s="1"/>
      <c r="D3352" s="1"/>
      <c r="E3352" s="1"/>
      <c r="F3352" s="1"/>
      <c r="G3352" s="1"/>
      <c r="H3352" s="1" t="str">
        <f>"8903726311530"</f>
        <v>8903726311530</v>
      </c>
      <c r="I3352" s="3">
        <v>0</v>
      </c>
      <c r="J3352" s="3">
        <v>0</v>
      </c>
      <c r="K3352" s="3">
        <v>1000</v>
      </c>
    </row>
    <row r="3353" spans="1:11" x14ac:dyDescent="0.2">
      <c r="A3353" s="1" t="s">
        <v>4994</v>
      </c>
      <c r="B3353" s="1" t="s">
        <v>4186</v>
      </c>
      <c r="C3353" s="1"/>
      <c r="D3353" s="1"/>
      <c r="E3353" s="1"/>
      <c r="F3353" s="1"/>
      <c r="G3353" s="1"/>
      <c r="H3353" s="1" t="str">
        <f>"7800007670595"</f>
        <v>7800007670595</v>
      </c>
      <c r="I3353" s="3">
        <v>0</v>
      </c>
      <c r="J3353" s="3">
        <v>0</v>
      </c>
      <c r="K3353" s="3">
        <v>1000</v>
      </c>
    </row>
    <row r="3354" spans="1:11" x14ac:dyDescent="0.2">
      <c r="A3354" s="1" t="s">
        <v>4994</v>
      </c>
      <c r="B3354" s="1" t="s">
        <v>4187</v>
      </c>
      <c r="C3354" s="1"/>
      <c r="D3354" s="1"/>
      <c r="E3354" s="1"/>
      <c r="F3354" s="1"/>
      <c r="G3354" s="1"/>
      <c r="H3354" s="1" t="str">
        <f>"7800063115443"</f>
        <v>7800063115443</v>
      </c>
      <c r="I3354" s="3">
        <v>0</v>
      </c>
      <c r="J3354" s="3">
        <v>0</v>
      </c>
      <c r="K3354" s="3">
        <v>1000</v>
      </c>
    </row>
    <row r="3355" spans="1:11" x14ac:dyDescent="0.2">
      <c r="A3355" s="1" t="s">
        <v>4994</v>
      </c>
      <c r="B3355" s="1" t="s">
        <v>4189</v>
      </c>
      <c r="C3355" s="1"/>
      <c r="D3355" s="1"/>
      <c r="E3355" s="1"/>
      <c r="F3355" s="1"/>
      <c r="G3355" s="1"/>
      <c r="H3355" s="1" t="str">
        <f>"7709560896056"</f>
        <v>7709560896056</v>
      </c>
      <c r="I3355" s="3">
        <v>0</v>
      </c>
      <c r="J3355" s="3">
        <v>0</v>
      </c>
      <c r="K3355" s="3">
        <v>3000</v>
      </c>
    </row>
    <row r="3356" spans="1:11" x14ac:dyDescent="0.2">
      <c r="A3356" s="1" t="s">
        <v>4994</v>
      </c>
      <c r="B3356" s="1" t="s">
        <v>4190</v>
      </c>
      <c r="C3356" s="1"/>
      <c r="D3356" s="1"/>
      <c r="E3356" s="1"/>
      <c r="F3356" s="1"/>
      <c r="G3356" s="1"/>
      <c r="H3356" s="1" t="str">
        <f>"7805633012641"</f>
        <v>7805633012641</v>
      </c>
      <c r="I3356" s="3">
        <v>0</v>
      </c>
      <c r="J3356" s="3">
        <v>0</v>
      </c>
      <c r="K3356" s="3">
        <v>2500</v>
      </c>
    </row>
    <row r="3357" spans="1:11" x14ac:dyDescent="0.2">
      <c r="A3357" s="1" t="s">
        <v>4994</v>
      </c>
      <c r="B3357" s="1" t="s">
        <v>4191</v>
      </c>
      <c r="C3357" s="1"/>
      <c r="D3357" s="1"/>
      <c r="E3357" s="1"/>
      <c r="F3357" s="1"/>
      <c r="G3357" s="1"/>
      <c r="H3357" s="1" t="str">
        <f>"7708133635887"</f>
        <v>7708133635887</v>
      </c>
      <c r="I3357" s="3">
        <v>0</v>
      </c>
      <c r="J3357" s="3">
        <v>0</v>
      </c>
      <c r="K3357" s="3">
        <v>4500</v>
      </c>
    </row>
    <row r="3358" spans="1:11" x14ac:dyDescent="0.2">
      <c r="A3358" s="1" t="s">
        <v>4994</v>
      </c>
      <c r="B3358" s="1" t="s">
        <v>4192</v>
      </c>
      <c r="C3358" s="1"/>
      <c r="D3358" s="1"/>
      <c r="E3358" s="1"/>
      <c r="F3358" s="1"/>
      <c r="G3358" s="1"/>
      <c r="H3358" s="1" t="str">
        <f>"7708089795031"</f>
        <v>7708089795031</v>
      </c>
      <c r="I3358" s="3">
        <v>0</v>
      </c>
      <c r="J3358" s="3">
        <v>0</v>
      </c>
      <c r="K3358" s="3">
        <v>8500</v>
      </c>
    </row>
    <row r="3359" spans="1:11" x14ac:dyDescent="0.2">
      <c r="A3359" s="1" t="s">
        <v>4994</v>
      </c>
      <c r="B3359" s="1" t="s">
        <v>4193</v>
      </c>
      <c r="C3359" s="1"/>
      <c r="D3359" s="1"/>
      <c r="E3359" s="1"/>
      <c r="F3359" s="1"/>
      <c r="G3359" s="1"/>
      <c r="H3359" s="1" t="str">
        <f>"7805633019008"</f>
        <v>7805633019008</v>
      </c>
      <c r="I3359" s="3">
        <v>0</v>
      </c>
      <c r="J3359" s="3">
        <v>0</v>
      </c>
      <c r="K3359" s="3">
        <v>1500</v>
      </c>
    </row>
    <row r="3360" spans="1:11" x14ac:dyDescent="0.2">
      <c r="A3360" s="1" t="s">
        <v>4994</v>
      </c>
      <c r="B3360" s="1" t="s">
        <v>4194</v>
      </c>
      <c r="C3360" s="1"/>
      <c r="D3360" s="1"/>
      <c r="E3360" s="1"/>
      <c r="F3360" s="1"/>
      <c r="G3360" s="1"/>
      <c r="H3360" s="1" t="str">
        <f>"7805633022046"</f>
        <v>7805633022046</v>
      </c>
      <c r="I3360" s="3">
        <v>0</v>
      </c>
      <c r="J3360" s="3">
        <v>0</v>
      </c>
      <c r="K3360" s="3">
        <v>3500</v>
      </c>
    </row>
    <row r="3361" spans="1:11" x14ac:dyDescent="0.2">
      <c r="A3361" s="1" t="s">
        <v>4994</v>
      </c>
      <c r="B3361" s="1" t="s">
        <v>4195</v>
      </c>
      <c r="C3361" s="1"/>
      <c r="D3361" s="1"/>
      <c r="E3361" s="1"/>
      <c r="F3361" s="1"/>
      <c r="G3361" s="1"/>
      <c r="H3361" s="1" t="str">
        <f>"7708089795383"</f>
        <v>7708089795383</v>
      </c>
      <c r="I3361" s="3">
        <v>0</v>
      </c>
      <c r="J3361" s="3">
        <v>0</v>
      </c>
      <c r="K3361" s="3">
        <v>6500</v>
      </c>
    </row>
    <row r="3362" spans="1:11" x14ac:dyDescent="0.2">
      <c r="A3362" s="1" t="s">
        <v>4994</v>
      </c>
      <c r="B3362" s="1" t="s">
        <v>4196</v>
      </c>
      <c r="C3362" s="1"/>
      <c r="D3362" s="1"/>
      <c r="E3362" s="1"/>
      <c r="F3362" s="1"/>
      <c r="G3362" s="1"/>
      <c r="H3362" s="1" t="str">
        <f>"7805633022039"</f>
        <v>7805633022039</v>
      </c>
      <c r="I3362" s="3">
        <v>0</v>
      </c>
      <c r="J3362" s="3">
        <v>0</v>
      </c>
      <c r="K3362" s="3">
        <v>3500</v>
      </c>
    </row>
    <row r="3363" spans="1:11" x14ac:dyDescent="0.2">
      <c r="A3363" s="1" t="s">
        <v>4994</v>
      </c>
      <c r="B3363" s="1" t="s">
        <v>4197</v>
      </c>
      <c r="C3363" s="1"/>
      <c r="D3363" s="1"/>
      <c r="E3363" s="1"/>
      <c r="F3363" s="1"/>
      <c r="G3363" s="1"/>
      <c r="H3363" s="1" t="str">
        <f>"7804945064089"</f>
        <v>7804945064089</v>
      </c>
      <c r="I3363" s="3">
        <v>0</v>
      </c>
      <c r="J3363" s="3">
        <v>0</v>
      </c>
      <c r="K3363" s="3">
        <v>12000</v>
      </c>
    </row>
    <row r="3364" spans="1:11" x14ac:dyDescent="0.2">
      <c r="A3364" s="1" t="s">
        <v>4994</v>
      </c>
      <c r="B3364" s="1" t="s">
        <v>4198</v>
      </c>
      <c r="C3364" s="1"/>
      <c r="D3364" s="1"/>
      <c r="E3364" s="1"/>
      <c r="F3364" s="1"/>
      <c r="G3364" s="1"/>
      <c r="H3364" s="1" t="str">
        <f>"7804945024205"</f>
        <v>7804945024205</v>
      </c>
      <c r="I3364" s="3">
        <v>0</v>
      </c>
      <c r="J3364" s="3">
        <v>0</v>
      </c>
      <c r="K3364" s="3">
        <v>6000</v>
      </c>
    </row>
    <row r="3365" spans="1:11" x14ac:dyDescent="0.2">
      <c r="A3365" s="1" t="s">
        <v>4994</v>
      </c>
      <c r="B3365" s="1" t="s">
        <v>4200</v>
      </c>
      <c r="C3365" s="1"/>
      <c r="D3365" s="1"/>
      <c r="E3365" s="1"/>
      <c r="F3365" s="1"/>
      <c r="G3365" s="1"/>
      <c r="H3365" s="1" t="str">
        <f>"7500435019958"</f>
        <v>7500435019958</v>
      </c>
      <c r="I3365" s="3">
        <v>0</v>
      </c>
      <c r="J3365" s="3">
        <v>0</v>
      </c>
      <c r="K3365" s="3">
        <v>1500</v>
      </c>
    </row>
    <row r="3366" spans="1:11" x14ac:dyDescent="0.2">
      <c r="A3366" s="1" t="s">
        <v>4994</v>
      </c>
      <c r="B3366" s="1" t="s">
        <v>4201</v>
      </c>
      <c r="C3366" s="1"/>
      <c r="D3366" s="1"/>
      <c r="E3366" s="1"/>
      <c r="F3366" s="1"/>
      <c r="G3366" s="1"/>
      <c r="H3366" s="1" t="str">
        <f>"7809547900016"</f>
        <v>7809547900016</v>
      </c>
      <c r="I3366" s="3">
        <v>0</v>
      </c>
      <c r="J3366" s="3">
        <v>0</v>
      </c>
      <c r="K3366" s="3">
        <v>5500</v>
      </c>
    </row>
    <row r="3367" spans="1:11" x14ac:dyDescent="0.2">
      <c r="A3367" s="1" t="s">
        <v>4994</v>
      </c>
      <c r="B3367" s="1" t="s">
        <v>4202</v>
      </c>
      <c r="C3367" s="1"/>
      <c r="D3367" s="1"/>
      <c r="E3367" s="1"/>
      <c r="F3367" s="1"/>
      <c r="G3367" s="1"/>
      <c r="H3367" s="1" t="str">
        <f>"7800004004287"</f>
        <v>7800004004287</v>
      </c>
      <c r="I3367" s="3">
        <v>13</v>
      </c>
      <c r="J3367" s="3">
        <v>0</v>
      </c>
      <c r="K3367" s="3">
        <v>6000</v>
      </c>
    </row>
    <row r="3368" spans="1:11" x14ac:dyDescent="0.2">
      <c r="A3368" s="1" t="s">
        <v>4994</v>
      </c>
      <c r="B3368" s="1" t="s">
        <v>4203</v>
      </c>
      <c r="C3368" s="1"/>
      <c r="D3368" s="1"/>
      <c r="E3368" s="1"/>
      <c r="F3368" s="1"/>
      <c r="G3368" s="1"/>
      <c r="H3368" s="1" t="str">
        <f>"7804915010795"</f>
        <v>7804915010795</v>
      </c>
      <c r="I3368" s="3">
        <v>0</v>
      </c>
      <c r="J3368" s="3">
        <v>0</v>
      </c>
      <c r="K3368" s="3">
        <v>4500</v>
      </c>
    </row>
    <row r="3369" spans="1:11" x14ac:dyDescent="0.2">
      <c r="A3369" s="1" t="s">
        <v>4994</v>
      </c>
      <c r="B3369" s="1" t="s">
        <v>4204</v>
      </c>
      <c r="C3369" s="1"/>
      <c r="D3369" s="1"/>
      <c r="E3369" s="1"/>
      <c r="F3369" s="1"/>
      <c r="G3369" s="1"/>
      <c r="H3369" s="1" t="str">
        <f>"7804915010580"</f>
        <v>7804915010580</v>
      </c>
      <c r="I3369" s="3">
        <v>0</v>
      </c>
      <c r="J3369" s="3">
        <v>0</v>
      </c>
      <c r="K3369" s="3">
        <v>3000</v>
      </c>
    </row>
    <row r="3370" spans="1:11" x14ac:dyDescent="0.2">
      <c r="A3370" s="1" t="s">
        <v>4994</v>
      </c>
      <c r="B3370" s="1" t="s">
        <v>4205</v>
      </c>
      <c r="C3370" s="1"/>
      <c r="D3370" s="1"/>
      <c r="E3370" s="1"/>
      <c r="F3370" s="1"/>
      <c r="G3370" s="1"/>
      <c r="H3370" s="1" t="str">
        <f>"7804915515993"</f>
        <v>7804915515993</v>
      </c>
      <c r="I3370" s="3">
        <v>0</v>
      </c>
      <c r="J3370" s="3">
        <v>0</v>
      </c>
      <c r="K3370" s="3">
        <v>4500</v>
      </c>
    </row>
    <row r="3371" spans="1:11" x14ac:dyDescent="0.2">
      <c r="A3371" s="1" t="s">
        <v>4994</v>
      </c>
      <c r="B3371" s="1" t="s">
        <v>4206</v>
      </c>
      <c r="C3371" s="1"/>
      <c r="D3371" s="1"/>
      <c r="E3371" s="1"/>
      <c r="F3371" s="1"/>
      <c r="G3371" s="1"/>
      <c r="H3371" s="1" t="str">
        <f>"7804915515962"</f>
        <v>7804915515962</v>
      </c>
      <c r="I3371" s="3">
        <v>0</v>
      </c>
      <c r="J3371" s="3">
        <v>0</v>
      </c>
      <c r="K3371" s="3">
        <v>4500</v>
      </c>
    </row>
    <row r="3372" spans="1:11" x14ac:dyDescent="0.2">
      <c r="A3372" s="1" t="s">
        <v>4994</v>
      </c>
      <c r="B3372" s="1" t="s">
        <v>4207</v>
      </c>
      <c r="C3372" s="1"/>
      <c r="D3372" s="1"/>
      <c r="E3372" s="1"/>
      <c r="F3372" s="1"/>
      <c r="G3372" s="1"/>
      <c r="H3372" s="1" t="str">
        <f>"650240035166"</f>
        <v>650240035166</v>
      </c>
      <c r="I3372" s="3">
        <v>0</v>
      </c>
      <c r="J3372" s="3">
        <v>0</v>
      </c>
      <c r="K3372" s="3">
        <v>11000</v>
      </c>
    </row>
    <row r="3373" spans="1:11" x14ac:dyDescent="0.2">
      <c r="A3373" s="1" t="s">
        <v>4994</v>
      </c>
      <c r="B3373" s="1" t="s">
        <v>4208</v>
      </c>
      <c r="C3373" s="1"/>
      <c r="D3373" s="1"/>
      <c r="E3373" s="1"/>
      <c r="F3373" s="1"/>
      <c r="G3373" s="1"/>
      <c r="H3373" s="1" t="str">
        <f>"7804945062665"</f>
        <v>7804945062665</v>
      </c>
      <c r="I3373" s="3">
        <v>0</v>
      </c>
      <c r="J3373" s="3">
        <v>0</v>
      </c>
      <c r="K3373" s="3">
        <v>2500</v>
      </c>
    </row>
    <row r="3374" spans="1:11" x14ac:dyDescent="0.2">
      <c r="A3374" s="1" t="s">
        <v>4994</v>
      </c>
      <c r="B3374" s="1" t="s">
        <v>4209</v>
      </c>
      <c r="C3374" s="1"/>
      <c r="D3374" s="1"/>
      <c r="E3374" s="1"/>
      <c r="F3374" s="1"/>
      <c r="G3374" s="1"/>
      <c r="H3374" s="1" t="str">
        <f>"7791293047768"</f>
        <v>7791293047768</v>
      </c>
      <c r="I3374" s="3">
        <v>0</v>
      </c>
      <c r="J3374" s="3">
        <v>0</v>
      </c>
      <c r="K3374" s="3">
        <v>2500</v>
      </c>
    </row>
    <row r="3375" spans="1:11" x14ac:dyDescent="0.2">
      <c r="A3375" s="1" t="s">
        <v>4994</v>
      </c>
      <c r="B3375" s="1" t="s">
        <v>4210</v>
      </c>
      <c r="C3375" s="1"/>
      <c r="D3375" s="1"/>
      <c r="E3375" s="1"/>
      <c r="F3375" s="1"/>
      <c r="G3375" s="1"/>
      <c r="H3375" s="1" t="str">
        <f>"7804915011327"</f>
        <v>7804915011327</v>
      </c>
      <c r="I3375" s="3">
        <v>0</v>
      </c>
      <c r="J3375" s="3">
        <v>0</v>
      </c>
      <c r="K3375" s="3">
        <v>4500</v>
      </c>
    </row>
    <row r="3376" spans="1:11" x14ac:dyDescent="0.2">
      <c r="A3376" s="1" t="s">
        <v>4994</v>
      </c>
      <c r="B3376" s="1" t="s">
        <v>4211</v>
      </c>
      <c r="C3376" s="1"/>
      <c r="D3376" s="1"/>
      <c r="E3376" s="1"/>
      <c r="F3376" s="1"/>
      <c r="G3376" s="1"/>
      <c r="H3376" s="1" t="str">
        <f>"7804920002624"</f>
        <v>7804920002624</v>
      </c>
      <c r="I3376" s="3">
        <v>0</v>
      </c>
      <c r="J3376" s="3">
        <v>0</v>
      </c>
      <c r="K3376" s="3">
        <v>2000</v>
      </c>
    </row>
    <row r="3377" spans="1:11" x14ac:dyDescent="0.2">
      <c r="A3377" s="1" t="s">
        <v>4994</v>
      </c>
      <c r="B3377" s="1" t="s">
        <v>4212</v>
      </c>
      <c r="C3377" s="1"/>
      <c r="D3377" s="1"/>
      <c r="E3377" s="1"/>
      <c r="F3377" s="1"/>
      <c r="G3377" s="1"/>
      <c r="H3377" s="1" t="str">
        <f>"7804920006905"</f>
        <v>7804920006905</v>
      </c>
      <c r="I3377" s="3">
        <v>0</v>
      </c>
      <c r="J3377" s="3">
        <v>0</v>
      </c>
      <c r="K3377" s="3">
        <v>1800</v>
      </c>
    </row>
    <row r="3378" spans="1:11" x14ac:dyDescent="0.2">
      <c r="A3378" s="1" t="s">
        <v>4994</v>
      </c>
      <c r="B3378" s="1" t="s">
        <v>4213</v>
      </c>
      <c r="C3378" s="1"/>
      <c r="D3378" s="1"/>
      <c r="E3378" s="1"/>
      <c r="F3378" s="1"/>
      <c r="G3378" s="1"/>
      <c r="H3378" s="1" t="str">
        <f>"7500435155847"</f>
        <v>7500435155847</v>
      </c>
      <c r="I3378" s="3">
        <v>0</v>
      </c>
      <c r="J3378" s="3">
        <v>0</v>
      </c>
      <c r="K3378" s="3">
        <v>3500</v>
      </c>
    </row>
    <row r="3379" spans="1:11" x14ac:dyDescent="0.2">
      <c r="A3379" s="1" t="s">
        <v>4994</v>
      </c>
      <c r="B3379" s="1" t="s">
        <v>4214</v>
      </c>
      <c r="C3379" s="1"/>
      <c r="D3379" s="1"/>
      <c r="E3379" s="1"/>
      <c r="F3379" s="1"/>
      <c r="G3379" s="1"/>
      <c r="H3379" s="1" t="str">
        <f>"7809547900063"</f>
        <v>7809547900063</v>
      </c>
      <c r="I3379" s="3">
        <v>0</v>
      </c>
      <c r="J3379" s="3">
        <v>0</v>
      </c>
      <c r="K3379" s="3">
        <v>3500</v>
      </c>
    </row>
    <row r="3380" spans="1:11" x14ac:dyDescent="0.2">
      <c r="A3380" s="1" t="s">
        <v>4994</v>
      </c>
      <c r="B3380" s="1" t="s">
        <v>4215</v>
      </c>
      <c r="C3380" s="1"/>
      <c r="D3380" s="1"/>
      <c r="E3380" s="1"/>
      <c r="F3380" s="1"/>
      <c r="G3380" s="1"/>
      <c r="H3380" s="1" t="str">
        <f>"7500435019712"</f>
        <v>7500435019712</v>
      </c>
      <c r="I3380" s="3">
        <v>0</v>
      </c>
      <c r="J3380" s="3">
        <v>0</v>
      </c>
      <c r="K3380" s="3">
        <v>3500</v>
      </c>
    </row>
    <row r="3381" spans="1:11" x14ac:dyDescent="0.2">
      <c r="A3381" s="1" t="s">
        <v>4994</v>
      </c>
      <c r="B3381" s="1" t="s">
        <v>4216</v>
      </c>
      <c r="C3381" s="1"/>
      <c r="D3381" s="1"/>
      <c r="E3381" s="1"/>
      <c r="F3381" s="1"/>
      <c r="G3381" s="1"/>
      <c r="H3381" s="1" t="str">
        <f>"7791293047881"</f>
        <v>7791293047881</v>
      </c>
      <c r="I3381" s="3">
        <v>0</v>
      </c>
      <c r="J3381" s="3">
        <v>0</v>
      </c>
      <c r="K3381" s="3">
        <v>2500</v>
      </c>
    </row>
    <row r="3382" spans="1:11" x14ac:dyDescent="0.2">
      <c r="A3382" s="1" t="s">
        <v>4994</v>
      </c>
      <c r="B3382" s="1" t="s">
        <v>4217</v>
      </c>
      <c r="C3382" s="1"/>
      <c r="D3382" s="1"/>
      <c r="E3382" s="1"/>
      <c r="F3382" s="1"/>
      <c r="G3382" s="1"/>
      <c r="H3382" s="1" t="str">
        <f>"3337875574358"</f>
        <v>3337875574358</v>
      </c>
      <c r="I3382" s="3">
        <v>0</v>
      </c>
      <c r="J3382" s="3">
        <v>0</v>
      </c>
      <c r="K3382" s="3">
        <v>15000</v>
      </c>
    </row>
    <row r="3383" spans="1:11" x14ac:dyDescent="0.2">
      <c r="A3383" s="1" t="s">
        <v>4994</v>
      </c>
      <c r="B3383" s="1" t="s">
        <v>4218</v>
      </c>
      <c r="C3383" s="1"/>
      <c r="D3383" s="1"/>
      <c r="E3383" s="1"/>
      <c r="F3383" s="1"/>
      <c r="G3383" s="1"/>
      <c r="H3383" s="1" t="str">
        <f>"7804920006196"</f>
        <v>7804920006196</v>
      </c>
      <c r="I3383" s="3">
        <v>0</v>
      </c>
      <c r="J3383" s="3">
        <v>0</v>
      </c>
      <c r="K3383" s="3">
        <v>3000</v>
      </c>
    </row>
    <row r="3384" spans="1:11" x14ac:dyDescent="0.2">
      <c r="A3384" s="1" t="s">
        <v>4994</v>
      </c>
      <c r="B3384" s="1" t="s">
        <v>4219</v>
      </c>
      <c r="C3384" s="1"/>
      <c r="D3384" s="1"/>
      <c r="E3384" s="1"/>
      <c r="F3384" s="1"/>
      <c r="G3384" s="1"/>
      <c r="H3384" s="1" t="str">
        <f>"7891150055223"</f>
        <v>7891150055223</v>
      </c>
      <c r="I3384" s="3">
        <v>0</v>
      </c>
      <c r="J3384" s="3">
        <v>0</v>
      </c>
      <c r="K3384" s="3">
        <v>2500</v>
      </c>
    </row>
    <row r="3385" spans="1:11" x14ac:dyDescent="0.2">
      <c r="A3385" s="1" t="s">
        <v>4994</v>
      </c>
      <c r="B3385" s="1" t="s">
        <v>4220</v>
      </c>
      <c r="C3385" s="1"/>
      <c r="D3385" s="1"/>
      <c r="E3385" s="1"/>
      <c r="F3385" s="1"/>
      <c r="G3385" s="1"/>
      <c r="H3385" s="1" t="str">
        <f>"7891150084124"</f>
        <v>7891150084124</v>
      </c>
      <c r="I3385" s="3">
        <v>0</v>
      </c>
      <c r="J3385" s="3">
        <v>0</v>
      </c>
      <c r="K3385" s="3">
        <v>3000</v>
      </c>
    </row>
    <row r="3386" spans="1:11" x14ac:dyDescent="0.2">
      <c r="A3386" s="1" t="s">
        <v>4994</v>
      </c>
      <c r="B3386" s="1" t="s">
        <v>4221</v>
      </c>
      <c r="C3386" s="1"/>
      <c r="D3386" s="1"/>
      <c r="E3386" s="1"/>
      <c r="F3386" s="1"/>
      <c r="G3386" s="1"/>
      <c r="H3386" s="1" t="str">
        <f>"7509552961485"</f>
        <v>7509552961485</v>
      </c>
      <c r="I3386" s="3">
        <v>0</v>
      </c>
      <c r="J3386" s="3">
        <v>0</v>
      </c>
      <c r="K3386" s="3">
        <v>3500</v>
      </c>
    </row>
    <row r="3387" spans="1:11" x14ac:dyDescent="0.2">
      <c r="A3387" s="1" t="s">
        <v>4994</v>
      </c>
      <c r="B3387" s="1" t="s">
        <v>4222</v>
      </c>
      <c r="C3387" s="1"/>
      <c r="D3387" s="1"/>
      <c r="E3387" s="1"/>
      <c r="F3387" s="1"/>
      <c r="G3387" s="1"/>
      <c r="H3387" s="1" t="str">
        <f>"7509552931143"</f>
        <v>7509552931143</v>
      </c>
      <c r="I3387" s="3">
        <v>0</v>
      </c>
      <c r="J3387" s="3">
        <v>0</v>
      </c>
      <c r="K3387" s="3">
        <v>2500</v>
      </c>
    </row>
    <row r="3388" spans="1:11" x14ac:dyDescent="0.2">
      <c r="A3388" s="1" t="s">
        <v>4994</v>
      </c>
      <c r="B3388" s="1" t="s">
        <v>4223</v>
      </c>
      <c r="C3388" s="1"/>
      <c r="D3388" s="1"/>
      <c r="E3388" s="1"/>
      <c r="F3388" s="1"/>
      <c r="G3388" s="1"/>
      <c r="H3388" s="1" t="str">
        <f>"5010724527375"</f>
        <v>5010724527375</v>
      </c>
      <c r="I3388" s="3">
        <v>2</v>
      </c>
      <c r="J3388" s="3">
        <v>0</v>
      </c>
      <c r="K3388" s="3">
        <v>11000</v>
      </c>
    </row>
    <row r="3389" spans="1:11" x14ac:dyDescent="0.2">
      <c r="A3389" s="1" t="s">
        <v>4994</v>
      </c>
      <c r="B3389" s="1" t="s">
        <v>4224</v>
      </c>
      <c r="C3389" s="1"/>
      <c r="D3389" s="1"/>
      <c r="E3389" s="1"/>
      <c r="F3389" s="1"/>
      <c r="G3389" s="1"/>
      <c r="H3389" s="1" t="str">
        <f>"5010724526798"</f>
        <v>5010724526798</v>
      </c>
      <c r="I3389" s="3">
        <v>1</v>
      </c>
      <c r="J3389" s="3">
        <v>0</v>
      </c>
      <c r="K3389" s="3">
        <v>10000</v>
      </c>
    </row>
    <row r="3390" spans="1:11" x14ac:dyDescent="0.2">
      <c r="A3390" s="1" t="s">
        <v>4994</v>
      </c>
      <c r="B3390" s="1" t="s">
        <v>4225</v>
      </c>
      <c r="C3390" s="1"/>
      <c r="D3390" s="1"/>
      <c r="E3390" s="1"/>
      <c r="F3390" s="1"/>
      <c r="G3390" s="1"/>
      <c r="H3390" s="1" t="str">
        <f>"5010724527450"</f>
        <v>5010724527450</v>
      </c>
      <c r="I3390" s="3">
        <v>3</v>
      </c>
      <c r="J3390" s="3">
        <v>0</v>
      </c>
      <c r="K3390" s="3">
        <v>10000</v>
      </c>
    </row>
    <row r="3391" spans="1:11" x14ac:dyDescent="0.2">
      <c r="A3391" s="1" t="s">
        <v>4994</v>
      </c>
      <c r="B3391" s="1" t="s">
        <v>4226</v>
      </c>
      <c r="C3391" s="1"/>
      <c r="D3391" s="1"/>
      <c r="E3391" s="1"/>
      <c r="F3391" s="1"/>
      <c r="G3391" s="1"/>
      <c r="H3391" s="1" t="str">
        <f>"5010724527481"</f>
        <v>5010724527481</v>
      </c>
      <c r="I3391" s="3">
        <v>0</v>
      </c>
      <c r="J3391" s="3">
        <v>0</v>
      </c>
      <c r="K3391" s="3">
        <v>10000</v>
      </c>
    </row>
    <row r="3392" spans="1:11" x14ac:dyDescent="0.2">
      <c r="A3392" s="1" t="s">
        <v>4994</v>
      </c>
      <c r="B3392" s="1" t="s">
        <v>4227</v>
      </c>
      <c r="C3392" s="1"/>
      <c r="D3392" s="1"/>
      <c r="E3392" s="1"/>
      <c r="F3392" s="1"/>
      <c r="G3392" s="1"/>
      <c r="H3392" s="1" t="str">
        <f>"5010724527443"</f>
        <v>5010724527443</v>
      </c>
      <c r="I3392" s="3">
        <v>2</v>
      </c>
      <c r="J3392" s="3">
        <v>0</v>
      </c>
      <c r="K3392" s="3">
        <v>10000</v>
      </c>
    </row>
    <row r="3393" spans="1:11" x14ac:dyDescent="0.2">
      <c r="A3393" s="1" t="s">
        <v>4994</v>
      </c>
      <c r="B3393" s="1" t="s">
        <v>4228</v>
      </c>
      <c r="C3393" s="1"/>
      <c r="D3393" s="1"/>
      <c r="E3393" s="1"/>
      <c r="F3393" s="1"/>
      <c r="G3393" s="1"/>
      <c r="H3393" s="1" t="str">
        <f>"7502311690497"</f>
        <v>7502311690497</v>
      </c>
      <c r="I3393" s="3">
        <v>0</v>
      </c>
      <c r="J3393" s="3">
        <v>0</v>
      </c>
      <c r="K3393" s="3">
        <v>3000</v>
      </c>
    </row>
    <row r="3394" spans="1:11" x14ac:dyDescent="0.2">
      <c r="A3394" s="1" t="s">
        <v>4994</v>
      </c>
      <c r="B3394" s="1" t="s">
        <v>4229</v>
      </c>
      <c r="C3394" s="1"/>
      <c r="D3394" s="1"/>
      <c r="E3394" s="1"/>
      <c r="F3394" s="1"/>
      <c r="G3394" s="1"/>
      <c r="H3394" s="1" t="str">
        <f>"7891150062528"</f>
        <v>7891150062528</v>
      </c>
      <c r="I3394" s="3">
        <v>5</v>
      </c>
      <c r="J3394" s="3">
        <v>0</v>
      </c>
      <c r="K3394" s="3">
        <v>2500</v>
      </c>
    </row>
    <row r="3395" spans="1:11" x14ac:dyDescent="0.2">
      <c r="A3395" s="1" t="s">
        <v>4994</v>
      </c>
      <c r="B3395" s="1" t="s">
        <v>4230</v>
      </c>
      <c r="C3395" s="1"/>
      <c r="D3395" s="1"/>
      <c r="E3395" s="1"/>
      <c r="F3395" s="1"/>
      <c r="G3395" s="1"/>
      <c r="H3395" s="1" t="str">
        <f>"7509552816242"</f>
        <v>7509552816242</v>
      </c>
      <c r="I3395" s="3">
        <v>0</v>
      </c>
      <c r="J3395" s="3">
        <v>0</v>
      </c>
      <c r="K3395" s="3">
        <v>3000</v>
      </c>
    </row>
    <row r="3396" spans="1:11" x14ac:dyDescent="0.2">
      <c r="A3396" s="1" t="s">
        <v>4994</v>
      </c>
      <c r="B3396" s="1" t="s">
        <v>4231</v>
      </c>
      <c r="C3396" s="1"/>
      <c r="D3396" s="1"/>
      <c r="E3396" s="1"/>
      <c r="F3396" s="1"/>
      <c r="G3396" s="1"/>
      <c r="H3396" s="1" t="str">
        <f>"7500435020046"</f>
        <v>7500435020046</v>
      </c>
      <c r="I3396" s="3">
        <v>0</v>
      </c>
      <c r="J3396" s="3">
        <v>0</v>
      </c>
      <c r="K3396" s="3">
        <v>3500</v>
      </c>
    </row>
    <row r="3397" spans="1:11" x14ac:dyDescent="0.2">
      <c r="A3397" s="1" t="s">
        <v>4994</v>
      </c>
      <c r="B3397" s="1" t="s">
        <v>4232</v>
      </c>
      <c r="C3397" s="1"/>
      <c r="D3397" s="1"/>
      <c r="E3397" s="1"/>
      <c r="F3397" s="1"/>
      <c r="G3397" s="1"/>
      <c r="H3397" s="1" t="str">
        <f>"7500435148061"</f>
        <v>7500435148061</v>
      </c>
      <c r="I3397" s="3">
        <v>0</v>
      </c>
      <c r="J3397" s="3">
        <v>0</v>
      </c>
      <c r="K3397" s="3">
        <v>3500</v>
      </c>
    </row>
    <row r="3398" spans="1:11" x14ac:dyDescent="0.2">
      <c r="A3398" s="1" t="s">
        <v>4994</v>
      </c>
      <c r="B3398" s="1" t="s">
        <v>4233</v>
      </c>
      <c r="C3398" s="1"/>
      <c r="D3398" s="1"/>
      <c r="E3398" s="1"/>
      <c r="F3398" s="1"/>
      <c r="G3398" s="1"/>
      <c r="H3398" s="1" t="str">
        <f>"7500435202695"</f>
        <v>7500435202695</v>
      </c>
      <c r="I3398" s="3">
        <v>0</v>
      </c>
      <c r="J3398" s="3">
        <v>0</v>
      </c>
      <c r="K3398" s="3">
        <v>3500</v>
      </c>
    </row>
    <row r="3399" spans="1:11" x14ac:dyDescent="0.2">
      <c r="A3399" s="1" t="s">
        <v>4994</v>
      </c>
      <c r="B3399" s="1" t="s">
        <v>4234</v>
      </c>
      <c r="C3399" s="1"/>
      <c r="D3399" s="1"/>
      <c r="E3399" s="1"/>
      <c r="F3399" s="1"/>
      <c r="G3399" s="1"/>
      <c r="H3399" s="1" t="str">
        <f>"7509552874952"</f>
        <v>7509552874952</v>
      </c>
      <c r="I3399" s="3">
        <v>3</v>
      </c>
      <c r="J3399" s="3">
        <v>0</v>
      </c>
      <c r="K3399" s="3">
        <v>4000</v>
      </c>
    </row>
    <row r="3400" spans="1:11" x14ac:dyDescent="0.2">
      <c r="A3400" s="1" t="s">
        <v>4994</v>
      </c>
      <c r="B3400" s="1" t="s">
        <v>4235</v>
      </c>
      <c r="C3400" s="1"/>
      <c r="D3400" s="1"/>
      <c r="E3400" s="1"/>
      <c r="F3400" s="1"/>
      <c r="G3400" s="1"/>
      <c r="H3400" s="1" t="str">
        <f>"7509552830507"</f>
        <v>7509552830507</v>
      </c>
      <c r="I3400" s="3">
        <v>0</v>
      </c>
      <c r="J3400" s="3">
        <v>0</v>
      </c>
      <c r="K3400" s="3">
        <v>3000</v>
      </c>
    </row>
    <row r="3401" spans="1:11" x14ac:dyDescent="0.2">
      <c r="A3401" s="1" t="s">
        <v>4994</v>
      </c>
      <c r="B3401" s="1" t="s">
        <v>4236</v>
      </c>
      <c r="C3401" s="1"/>
      <c r="D3401" s="1"/>
      <c r="E3401" s="1"/>
      <c r="F3401" s="1"/>
      <c r="G3401" s="1"/>
      <c r="H3401" s="1" t="str">
        <f>"7804920007537"</f>
        <v>7804920007537</v>
      </c>
      <c r="I3401" s="3">
        <v>0</v>
      </c>
      <c r="J3401" s="3">
        <v>0</v>
      </c>
      <c r="K3401" s="3">
        <v>3000</v>
      </c>
    </row>
    <row r="3402" spans="1:11" x14ac:dyDescent="0.2">
      <c r="A3402" s="1" t="s">
        <v>4994</v>
      </c>
      <c r="B3402" s="1" t="s">
        <v>4237</v>
      </c>
      <c r="C3402" s="1"/>
      <c r="D3402" s="1"/>
      <c r="E3402" s="1"/>
      <c r="F3402" s="1"/>
      <c r="G3402" s="1"/>
      <c r="H3402" s="1" t="str">
        <f>"7804920001191"</f>
        <v>7804920001191</v>
      </c>
      <c r="I3402" s="3">
        <v>0</v>
      </c>
      <c r="J3402" s="3">
        <v>0</v>
      </c>
      <c r="K3402" s="3">
        <v>3000</v>
      </c>
    </row>
    <row r="3403" spans="1:11" x14ac:dyDescent="0.2">
      <c r="A3403" s="1" t="s">
        <v>4994</v>
      </c>
      <c r="B3403" s="1" t="s">
        <v>4238</v>
      </c>
      <c r="C3403" s="1"/>
      <c r="D3403" s="1"/>
      <c r="E3403" s="1"/>
      <c r="F3403" s="1"/>
      <c r="G3403" s="1"/>
      <c r="H3403" s="1" t="str">
        <f>"7703281020127"</f>
        <v>7703281020127</v>
      </c>
      <c r="I3403" s="3">
        <v>8</v>
      </c>
      <c r="J3403" s="3">
        <v>0</v>
      </c>
      <c r="K3403" s="3">
        <v>21000</v>
      </c>
    </row>
    <row r="3404" spans="1:11" x14ac:dyDescent="0.2">
      <c r="A3404" s="1" t="s">
        <v>4994</v>
      </c>
      <c r="B3404" s="1" t="s">
        <v>4239</v>
      </c>
      <c r="C3404" s="1"/>
      <c r="D3404" s="1"/>
      <c r="E3404" s="1"/>
      <c r="F3404" s="1"/>
      <c r="G3404" s="1"/>
      <c r="H3404" s="1" t="str">
        <f>"7891037005396"</f>
        <v>7891037005396</v>
      </c>
      <c r="I3404" s="3">
        <v>11</v>
      </c>
      <c r="J3404" s="3">
        <v>0</v>
      </c>
      <c r="K3404" s="3">
        <v>3000</v>
      </c>
    </row>
    <row r="3405" spans="1:11" x14ac:dyDescent="0.2">
      <c r="A3405" s="1" t="s">
        <v>4994</v>
      </c>
      <c r="B3405" s="1" t="s">
        <v>4240</v>
      </c>
      <c r="C3405" s="1"/>
      <c r="D3405" s="1"/>
      <c r="E3405" s="1"/>
      <c r="F3405" s="1"/>
      <c r="G3405" s="1"/>
      <c r="H3405" s="1" t="str">
        <f>"7891037005402"</f>
        <v>7891037005402</v>
      </c>
      <c r="I3405" s="3">
        <v>11</v>
      </c>
      <c r="J3405" s="3">
        <v>0</v>
      </c>
      <c r="K3405" s="3">
        <v>3500</v>
      </c>
    </row>
    <row r="3406" spans="1:11" x14ac:dyDescent="0.2">
      <c r="A3406" s="1" t="s">
        <v>4994</v>
      </c>
      <c r="B3406" s="1" t="s">
        <v>4241</v>
      </c>
      <c r="C3406" s="1"/>
      <c r="D3406" s="1"/>
      <c r="E3406" s="1"/>
      <c r="F3406" s="1"/>
      <c r="G3406" s="1"/>
      <c r="H3406" s="1" t="str">
        <f>"7509552847581"</f>
        <v>7509552847581</v>
      </c>
      <c r="I3406" s="3">
        <v>0</v>
      </c>
      <c r="J3406" s="3">
        <v>0</v>
      </c>
      <c r="K3406" s="3">
        <v>3500</v>
      </c>
    </row>
    <row r="3407" spans="1:11" x14ac:dyDescent="0.2">
      <c r="A3407" s="1" t="s">
        <v>4994</v>
      </c>
      <c r="B3407" s="1" t="s">
        <v>4242</v>
      </c>
      <c r="C3407" s="1"/>
      <c r="D3407" s="1"/>
      <c r="E3407" s="1"/>
      <c r="F3407" s="1"/>
      <c r="G3407" s="1"/>
      <c r="H3407" s="1" t="str">
        <f>"7809622000435"</f>
        <v>7809622000435</v>
      </c>
      <c r="I3407" s="3">
        <v>0</v>
      </c>
      <c r="J3407" s="3">
        <v>0</v>
      </c>
      <c r="K3407" s="3">
        <v>2000</v>
      </c>
    </row>
    <row r="3408" spans="1:11" x14ac:dyDescent="0.2">
      <c r="A3408" s="1" t="s">
        <v>4994</v>
      </c>
      <c r="B3408" s="1" t="s">
        <v>4243</v>
      </c>
      <c r="C3408" s="1"/>
      <c r="D3408" s="1"/>
      <c r="E3408" s="1"/>
      <c r="F3408" s="1"/>
      <c r="G3408" s="1"/>
      <c r="H3408" s="1" t="str">
        <f>"7804945062504"</f>
        <v>7804945062504</v>
      </c>
      <c r="I3408" s="3">
        <v>0</v>
      </c>
      <c r="J3408" s="3">
        <v>0</v>
      </c>
      <c r="K3408" s="3">
        <v>2000</v>
      </c>
    </row>
    <row r="3409" spans="1:11" x14ac:dyDescent="0.2">
      <c r="A3409" s="1" t="s">
        <v>4994</v>
      </c>
      <c r="B3409" s="1" t="s">
        <v>4244</v>
      </c>
      <c r="C3409" s="1"/>
      <c r="D3409" s="1"/>
      <c r="E3409" s="1"/>
      <c r="F3409" s="1"/>
      <c r="G3409" s="1"/>
      <c r="H3409" s="1" t="str">
        <f>"7808304329550"</f>
        <v>7808304329550</v>
      </c>
      <c r="I3409" s="3">
        <v>0</v>
      </c>
      <c r="J3409" s="3">
        <v>0</v>
      </c>
      <c r="K3409" s="3">
        <v>3500</v>
      </c>
    </row>
    <row r="3410" spans="1:11" x14ac:dyDescent="0.2">
      <c r="A3410" s="1" t="s">
        <v>4994</v>
      </c>
      <c r="B3410" s="1" t="s">
        <v>4245</v>
      </c>
      <c r="C3410" s="1"/>
      <c r="D3410" s="1"/>
      <c r="E3410" s="1"/>
      <c r="F3410" s="1"/>
      <c r="G3410" s="1"/>
      <c r="H3410" s="1" t="str">
        <f>"7509552843132"</f>
        <v>7509552843132</v>
      </c>
      <c r="I3410" s="3">
        <v>0</v>
      </c>
      <c r="J3410" s="3">
        <v>0</v>
      </c>
      <c r="K3410" s="3">
        <v>4000</v>
      </c>
    </row>
    <row r="3411" spans="1:11" x14ac:dyDescent="0.2">
      <c r="A3411" s="1" t="s">
        <v>4994</v>
      </c>
      <c r="B3411" s="1" t="s">
        <v>4246</v>
      </c>
      <c r="C3411" s="1"/>
      <c r="D3411" s="1"/>
      <c r="E3411" s="1"/>
      <c r="F3411" s="1"/>
      <c r="G3411" s="1"/>
      <c r="H3411" s="1" t="str">
        <f>"7804945012837"</f>
        <v>7804945012837</v>
      </c>
      <c r="I3411" s="3">
        <v>2</v>
      </c>
      <c r="J3411" s="3">
        <v>0</v>
      </c>
      <c r="K3411" s="3">
        <v>3500</v>
      </c>
    </row>
    <row r="3412" spans="1:11" x14ac:dyDescent="0.2">
      <c r="A3412" s="1" t="s">
        <v>4994</v>
      </c>
      <c r="B3412" s="1" t="s">
        <v>4247</v>
      </c>
      <c r="C3412" s="1"/>
      <c r="D3412" s="1"/>
      <c r="E3412" s="1"/>
      <c r="F3412" s="1"/>
      <c r="G3412" s="1"/>
      <c r="H3412" s="1" t="str">
        <f>"7898466608259"</f>
        <v>7898466608259</v>
      </c>
      <c r="I3412" s="3">
        <v>0</v>
      </c>
      <c r="J3412" s="3">
        <v>0</v>
      </c>
      <c r="K3412" s="3">
        <v>15000</v>
      </c>
    </row>
    <row r="3413" spans="1:11" x14ac:dyDescent="0.2">
      <c r="A3413" s="1" t="s">
        <v>4994</v>
      </c>
      <c r="B3413" s="1" t="s">
        <v>4248</v>
      </c>
      <c r="C3413" s="1"/>
      <c r="D3413" s="1"/>
      <c r="E3413" s="1"/>
      <c r="F3413" s="1"/>
      <c r="G3413" s="1"/>
      <c r="H3413" s="1" t="str">
        <f>"7795373013346"</f>
        <v>7795373013346</v>
      </c>
      <c r="I3413" s="3">
        <v>0</v>
      </c>
      <c r="J3413" s="3">
        <v>0</v>
      </c>
      <c r="K3413" s="3">
        <v>20000</v>
      </c>
    </row>
    <row r="3414" spans="1:11" x14ac:dyDescent="0.2">
      <c r="A3414" s="1" t="s">
        <v>4994</v>
      </c>
      <c r="B3414" s="1" t="s">
        <v>4249</v>
      </c>
      <c r="C3414" s="1"/>
      <c r="D3414" s="1"/>
      <c r="E3414" s="1"/>
      <c r="F3414" s="1"/>
      <c r="G3414" s="1"/>
      <c r="H3414" s="1" t="str">
        <f>"2340000000296"</f>
        <v>2340000000296</v>
      </c>
      <c r="I3414" s="3">
        <v>0</v>
      </c>
      <c r="J3414" s="3">
        <v>0</v>
      </c>
      <c r="K3414" s="3">
        <v>3800</v>
      </c>
    </row>
    <row r="3415" spans="1:11" x14ac:dyDescent="0.2">
      <c r="A3415" s="1" t="s">
        <v>4994</v>
      </c>
      <c r="B3415" s="1" t="s">
        <v>4250</v>
      </c>
      <c r="C3415" s="1"/>
      <c r="D3415" s="1"/>
      <c r="E3415" s="1"/>
      <c r="F3415" s="1"/>
      <c r="G3415" s="1"/>
      <c r="H3415" s="1" t="str">
        <f>"7891150017368"</f>
        <v>7891150017368</v>
      </c>
      <c r="I3415" s="3">
        <v>2</v>
      </c>
      <c r="J3415" s="3">
        <v>0</v>
      </c>
      <c r="K3415" s="3">
        <v>3000</v>
      </c>
    </row>
    <row r="3416" spans="1:11" x14ac:dyDescent="0.2">
      <c r="A3416" s="1" t="s">
        <v>4994</v>
      </c>
      <c r="B3416" s="1" t="s">
        <v>4251</v>
      </c>
      <c r="C3416" s="1"/>
      <c r="D3416" s="1"/>
      <c r="E3416" s="1"/>
      <c r="F3416" s="1"/>
      <c r="G3416" s="1"/>
      <c r="H3416" s="1" t="str">
        <f>"7804920007155"</f>
        <v>7804920007155</v>
      </c>
      <c r="I3416" s="3">
        <v>0</v>
      </c>
      <c r="J3416" s="3">
        <v>0</v>
      </c>
      <c r="K3416" s="3">
        <v>2500</v>
      </c>
    </row>
    <row r="3417" spans="1:11" x14ac:dyDescent="0.2">
      <c r="A3417" s="1" t="s">
        <v>4994</v>
      </c>
      <c r="B3417" s="1" t="s">
        <v>4252</v>
      </c>
      <c r="C3417" s="1"/>
      <c r="D3417" s="1"/>
      <c r="E3417" s="1"/>
      <c r="F3417" s="1"/>
      <c r="G3417" s="1"/>
      <c r="H3417" s="1" t="str">
        <f>"2340000000302"</f>
        <v>2340000000302</v>
      </c>
      <c r="I3417" s="3">
        <v>0</v>
      </c>
      <c r="J3417" s="3">
        <v>0</v>
      </c>
      <c r="K3417" s="3">
        <v>3500</v>
      </c>
    </row>
    <row r="3418" spans="1:11" x14ac:dyDescent="0.2">
      <c r="A3418" s="1" t="s">
        <v>4994</v>
      </c>
      <c r="B3418" s="1" t="s">
        <v>4253</v>
      </c>
      <c r="C3418" s="1"/>
      <c r="D3418" s="1"/>
      <c r="E3418" s="1"/>
      <c r="F3418" s="1"/>
      <c r="G3418" s="1"/>
      <c r="H3418" s="1" t="str">
        <f>"7501007457796"</f>
        <v>7501007457796</v>
      </c>
      <c r="I3418" s="3">
        <v>0</v>
      </c>
      <c r="J3418" s="3">
        <v>0</v>
      </c>
      <c r="K3418" s="3">
        <v>3500</v>
      </c>
    </row>
    <row r="3419" spans="1:11" x14ac:dyDescent="0.2">
      <c r="A3419" s="1" t="s">
        <v>4994</v>
      </c>
      <c r="B3419" s="1" t="s">
        <v>4254</v>
      </c>
      <c r="C3419" s="1"/>
      <c r="D3419" s="1"/>
      <c r="E3419" s="1"/>
      <c r="F3419" s="1"/>
      <c r="G3419" s="1"/>
      <c r="H3419" s="1" t="str">
        <f>"7500435209649"</f>
        <v>7500435209649</v>
      </c>
      <c r="I3419" s="3">
        <v>0</v>
      </c>
      <c r="J3419" s="3">
        <v>0</v>
      </c>
      <c r="K3419" s="3">
        <v>2500</v>
      </c>
    </row>
    <row r="3420" spans="1:11" x14ac:dyDescent="0.2">
      <c r="A3420" s="1" t="s">
        <v>4994</v>
      </c>
      <c r="B3420" s="1" t="s">
        <v>4255</v>
      </c>
      <c r="C3420" s="1"/>
      <c r="D3420" s="1"/>
      <c r="E3420" s="1"/>
      <c r="F3420" s="1"/>
      <c r="G3420" s="1"/>
      <c r="H3420" s="1" t="str">
        <f>"2340000000305"</f>
        <v>2340000000305</v>
      </c>
      <c r="I3420" s="3">
        <v>0</v>
      </c>
      <c r="J3420" s="3">
        <v>0</v>
      </c>
      <c r="K3420" s="3">
        <v>3500</v>
      </c>
    </row>
    <row r="3421" spans="1:11" x14ac:dyDescent="0.2">
      <c r="A3421" s="1" t="s">
        <v>4994</v>
      </c>
      <c r="B3421" s="1" t="s">
        <v>4256</v>
      </c>
      <c r="C3421" s="1"/>
      <c r="D3421" s="1"/>
      <c r="E3421" s="1"/>
      <c r="F3421" s="1"/>
      <c r="G3421" s="1"/>
      <c r="H3421" s="1" t="str">
        <f>"7509552847987"</f>
        <v>7509552847987</v>
      </c>
      <c r="I3421" s="3">
        <v>0</v>
      </c>
      <c r="J3421" s="3">
        <v>0</v>
      </c>
      <c r="K3421" s="3">
        <v>3500</v>
      </c>
    </row>
    <row r="3422" spans="1:11" x14ac:dyDescent="0.2">
      <c r="A3422" s="1" t="s">
        <v>4994</v>
      </c>
      <c r="B3422" s="1" t="s">
        <v>4257</v>
      </c>
      <c r="C3422" s="1"/>
      <c r="D3422" s="1"/>
      <c r="E3422" s="1"/>
      <c r="F3422" s="1"/>
      <c r="G3422" s="1"/>
      <c r="H3422" s="1" t="str">
        <f>"7791293045771"</f>
        <v>7791293045771</v>
      </c>
      <c r="I3422" s="3">
        <v>0</v>
      </c>
      <c r="J3422" s="3">
        <v>0</v>
      </c>
      <c r="K3422" s="3">
        <v>2000</v>
      </c>
    </row>
    <row r="3423" spans="1:11" x14ac:dyDescent="0.2">
      <c r="A3423" s="1" t="s">
        <v>4994</v>
      </c>
      <c r="B3423" s="1" t="s">
        <v>4258</v>
      </c>
      <c r="C3423" s="1"/>
      <c r="D3423" s="1"/>
      <c r="E3423" s="1"/>
      <c r="F3423" s="1"/>
      <c r="G3423" s="1"/>
      <c r="H3423" s="1" t="str">
        <f>"7702006404013"</f>
        <v>7702006404013</v>
      </c>
      <c r="I3423" s="3">
        <v>0</v>
      </c>
      <c r="J3423" s="3">
        <v>0</v>
      </c>
      <c r="K3423" s="3">
        <v>2500</v>
      </c>
    </row>
    <row r="3424" spans="1:11" x14ac:dyDescent="0.2">
      <c r="A3424" s="1" t="s">
        <v>4994</v>
      </c>
      <c r="B3424" s="1" t="s">
        <v>4259</v>
      </c>
      <c r="C3424" s="1"/>
      <c r="D3424" s="1"/>
      <c r="E3424" s="1"/>
      <c r="F3424" s="1"/>
      <c r="G3424" s="1"/>
      <c r="H3424" s="1" t="str">
        <f>"7791293046402"</f>
        <v>7791293046402</v>
      </c>
      <c r="I3424" s="3">
        <v>0</v>
      </c>
      <c r="J3424" s="3">
        <v>0</v>
      </c>
      <c r="K3424" s="3">
        <v>3500</v>
      </c>
    </row>
    <row r="3425" spans="1:11" x14ac:dyDescent="0.2">
      <c r="A3425" s="1" t="s">
        <v>4994</v>
      </c>
      <c r="B3425" s="1" t="s">
        <v>4260</v>
      </c>
      <c r="C3425" s="1"/>
      <c r="D3425" s="1"/>
      <c r="E3425" s="1"/>
      <c r="F3425" s="1"/>
      <c r="G3425" s="1"/>
      <c r="H3425" s="1" t="str">
        <f>"7791293046372"</f>
        <v>7791293046372</v>
      </c>
      <c r="I3425" s="3">
        <v>0</v>
      </c>
      <c r="J3425" s="3">
        <v>0</v>
      </c>
      <c r="K3425" s="3">
        <v>2000</v>
      </c>
    </row>
    <row r="3426" spans="1:11" x14ac:dyDescent="0.2">
      <c r="A3426" s="1" t="s">
        <v>4994</v>
      </c>
      <c r="B3426" s="1" t="s">
        <v>4261</v>
      </c>
      <c r="C3426" s="1"/>
      <c r="D3426" s="1"/>
      <c r="E3426" s="1"/>
      <c r="F3426" s="1"/>
      <c r="G3426" s="1"/>
      <c r="H3426" s="1" t="str">
        <f>"7800006007040"</f>
        <v>7800006007040</v>
      </c>
      <c r="I3426" s="3">
        <v>0</v>
      </c>
      <c r="J3426" s="3">
        <v>0</v>
      </c>
      <c r="K3426" s="3">
        <v>5800</v>
      </c>
    </row>
    <row r="3427" spans="1:11" x14ac:dyDescent="0.2">
      <c r="A3427" s="1" t="s">
        <v>4994</v>
      </c>
      <c r="B3427" s="1" t="s">
        <v>4262</v>
      </c>
      <c r="C3427" s="1"/>
      <c r="D3427" s="1"/>
      <c r="E3427" s="1"/>
      <c r="F3427" s="1"/>
      <c r="G3427" s="1"/>
      <c r="H3427" s="1" t="str">
        <f>"7800006003707"</f>
        <v>7800006003707</v>
      </c>
      <c r="I3427" s="3">
        <v>0</v>
      </c>
      <c r="J3427" s="3">
        <v>0</v>
      </c>
      <c r="K3427" s="3">
        <v>5800</v>
      </c>
    </row>
    <row r="3428" spans="1:11" x14ac:dyDescent="0.2">
      <c r="A3428" s="1" t="s">
        <v>4994</v>
      </c>
      <c r="B3428" s="1" t="s">
        <v>4263</v>
      </c>
      <c r="C3428" s="1"/>
      <c r="D3428" s="1"/>
      <c r="E3428" s="1"/>
      <c r="F3428" s="1"/>
      <c r="G3428" s="1"/>
      <c r="H3428" s="1" t="str">
        <f>"4005800036743"</f>
        <v>4005800036743</v>
      </c>
      <c r="I3428" s="3">
        <v>0</v>
      </c>
      <c r="J3428" s="3">
        <v>0</v>
      </c>
      <c r="K3428" s="3">
        <v>16000</v>
      </c>
    </row>
    <row r="3429" spans="1:11" x14ac:dyDescent="0.2">
      <c r="A3429" s="1" t="s">
        <v>4994</v>
      </c>
      <c r="B3429" s="1" t="s">
        <v>4264</v>
      </c>
      <c r="C3429" s="1"/>
      <c r="D3429" s="1"/>
      <c r="E3429" s="1"/>
      <c r="F3429" s="1"/>
      <c r="G3429" s="1"/>
      <c r="H3429" s="1" t="str">
        <f>"7800059003419"</f>
        <v>7800059003419</v>
      </c>
      <c r="I3429" s="3">
        <v>0</v>
      </c>
      <c r="J3429" s="3">
        <v>0</v>
      </c>
      <c r="K3429" s="3">
        <v>6500</v>
      </c>
    </row>
    <row r="3430" spans="1:11" x14ac:dyDescent="0.2">
      <c r="A3430" s="1" t="s">
        <v>4994</v>
      </c>
      <c r="B3430" s="1" t="s">
        <v>4265</v>
      </c>
      <c r="C3430" s="1"/>
      <c r="D3430" s="1"/>
      <c r="E3430" s="1"/>
      <c r="F3430" s="1"/>
      <c r="G3430" s="1"/>
      <c r="H3430" s="1" t="str">
        <f>"7804945001084"</f>
        <v>7804945001084</v>
      </c>
      <c r="I3430" s="3">
        <v>0</v>
      </c>
      <c r="J3430" s="3">
        <v>0</v>
      </c>
      <c r="K3430" s="3">
        <v>3000</v>
      </c>
    </row>
    <row r="3431" spans="1:11" x14ac:dyDescent="0.2">
      <c r="A3431" s="1" t="s">
        <v>4994</v>
      </c>
      <c r="B3431" s="1" t="s">
        <v>4266</v>
      </c>
      <c r="C3431" s="1"/>
      <c r="D3431" s="1"/>
      <c r="E3431" s="1"/>
      <c r="F3431" s="1"/>
      <c r="G3431" s="1"/>
      <c r="H3431" s="1" t="str">
        <f>"7805633022022"</f>
        <v>7805633022022</v>
      </c>
      <c r="I3431" s="3">
        <v>0</v>
      </c>
      <c r="J3431" s="3">
        <v>0</v>
      </c>
      <c r="K3431" s="3">
        <v>4000</v>
      </c>
    </row>
    <row r="3432" spans="1:11" x14ac:dyDescent="0.2">
      <c r="A3432" s="1" t="s">
        <v>4994</v>
      </c>
      <c r="B3432" s="1" t="s">
        <v>4267</v>
      </c>
      <c r="C3432" s="1"/>
      <c r="D3432" s="1"/>
      <c r="E3432" s="1"/>
      <c r="F3432" s="1"/>
      <c r="G3432" s="1"/>
      <c r="H3432" s="1" t="str">
        <f>"7804620836215"</f>
        <v>7804620836215</v>
      </c>
      <c r="I3432" s="3">
        <v>0</v>
      </c>
      <c r="J3432" s="3">
        <v>0</v>
      </c>
      <c r="K3432" s="3">
        <v>1500</v>
      </c>
    </row>
    <row r="3433" spans="1:11" x14ac:dyDescent="0.2">
      <c r="A3433" s="1" t="s">
        <v>4994</v>
      </c>
      <c r="B3433" s="1" t="s">
        <v>4268</v>
      </c>
      <c r="C3433" s="1"/>
      <c r="D3433" s="1"/>
      <c r="E3433" s="1"/>
      <c r="F3433" s="1"/>
      <c r="G3433" s="1"/>
      <c r="H3433" s="1" t="str">
        <f>"6936097114860"</f>
        <v>6936097114860</v>
      </c>
      <c r="I3433" s="3">
        <v>0</v>
      </c>
      <c r="J3433" s="3">
        <v>0</v>
      </c>
      <c r="K3433" s="3">
        <v>3000</v>
      </c>
    </row>
    <row r="3434" spans="1:11" x14ac:dyDescent="0.2">
      <c r="A3434" s="1" t="s">
        <v>4994</v>
      </c>
      <c r="B3434" s="1" t="s">
        <v>4269</v>
      </c>
      <c r="C3434" s="1"/>
      <c r="D3434" s="1"/>
      <c r="E3434" s="1"/>
      <c r="F3434" s="1"/>
      <c r="G3434" s="1"/>
      <c r="H3434" s="1" t="str">
        <f>"6936097114877"</f>
        <v>6936097114877</v>
      </c>
      <c r="I3434" s="3">
        <v>0</v>
      </c>
      <c r="J3434" s="3">
        <v>0</v>
      </c>
      <c r="K3434" s="3">
        <v>3000</v>
      </c>
    </row>
    <row r="3435" spans="1:11" x14ac:dyDescent="0.2">
      <c r="A3435" s="1" t="s">
        <v>4994</v>
      </c>
      <c r="B3435" s="1" t="s">
        <v>4270</v>
      </c>
      <c r="C3435" s="1"/>
      <c r="D3435" s="1"/>
      <c r="E3435" s="1"/>
      <c r="F3435" s="1"/>
      <c r="G3435" s="1"/>
      <c r="H3435" s="1" t="str">
        <f>"4891228530143"</f>
        <v>4891228530143</v>
      </c>
      <c r="I3435" s="3">
        <v>0</v>
      </c>
      <c r="J3435" s="3">
        <v>0</v>
      </c>
      <c r="K3435" s="3">
        <v>4500</v>
      </c>
    </row>
    <row r="3436" spans="1:11" x14ac:dyDescent="0.2">
      <c r="A3436" s="1" t="s">
        <v>4994</v>
      </c>
      <c r="B3436" s="1" t="s">
        <v>4271</v>
      </c>
      <c r="C3436" s="1"/>
      <c r="D3436" s="1"/>
      <c r="E3436" s="1"/>
      <c r="F3436" s="1"/>
      <c r="G3436" s="1"/>
      <c r="H3436" s="1" t="str">
        <f>"5997001365328"</f>
        <v>5997001365328</v>
      </c>
      <c r="I3436" s="3">
        <v>0</v>
      </c>
      <c r="J3436" s="3">
        <v>0</v>
      </c>
      <c r="K3436" s="3">
        <v>7000</v>
      </c>
    </row>
    <row r="3437" spans="1:11" x14ac:dyDescent="0.2">
      <c r="A3437" s="1" t="s">
        <v>4994</v>
      </c>
      <c r="B3437" s="1" t="s">
        <v>4272</v>
      </c>
      <c r="C3437" s="1"/>
      <c r="D3437" s="1"/>
      <c r="E3437" s="1"/>
      <c r="F3437" s="1"/>
      <c r="G3437" s="1"/>
      <c r="H3437" s="1" t="str">
        <f>"5997001362723"</f>
        <v>5997001362723</v>
      </c>
      <c r="I3437" s="3">
        <v>14</v>
      </c>
      <c r="J3437" s="3">
        <v>0</v>
      </c>
      <c r="K3437" s="3">
        <v>7000</v>
      </c>
    </row>
    <row r="3438" spans="1:11" x14ac:dyDescent="0.2">
      <c r="A3438" s="1" t="s">
        <v>4994</v>
      </c>
      <c r="B3438" s="1" t="s">
        <v>4273</v>
      </c>
      <c r="C3438" s="1"/>
      <c r="D3438" s="1"/>
      <c r="E3438" s="1"/>
      <c r="F3438" s="1"/>
      <c r="G3438" s="1"/>
      <c r="H3438" s="1" t="str">
        <f>"7800007616463"</f>
        <v>7800007616463</v>
      </c>
      <c r="I3438" s="3">
        <v>0</v>
      </c>
      <c r="J3438" s="3">
        <v>0</v>
      </c>
      <c r="K3438" s="3">
        <v>4500</v>
      </c>
    </row>
    <row r="3439" spans="1:11" x14ac:dyDescent="0.2">
      <c r="A3439" s="1" t="s">
        <v>4994</v>
      </c>
      <c r="B3439" s="1" t="s">
        <v>4274</v>
      </c>
      <c r="C3439" s="1"/>
      <c r="D3439" s="1"/>
      <c r="E3439" s="1"/>
      <c r="F3439" s="1"/>
      <c r="G3439" s="1"/>
      <c r="H3439" s="1" t="str">
        <f>"7804620832880"</f>
        <v>7804620832880</v>
      </c>
      <c r="I3439" s="3">
        <v>11</v>
      </c>
      <c r="J3439" s="3">
        <v>0</v>
      </c>
      <c r="K3439" s="3">
        <v>3000</v>
      </c>
    </row>
    <row r="3440" spans="1:11" x14ac:dyDescent="0.2">
      <c r="A3440" s="1" t="s">
        <v>4994</v>
      </c>
      <c r="B3440" s="1" t="s">
        <v>4275</v>
      </c>
      <c r="C3440" s="1"/>
      <c r="D3440" s="1"/>
      <c r="E3440" s="1"/>
      <c r="F3440" s="1"/>
      <c r="G3440" s="1"/>
      <c r="H3440" s="1" t="str">
        <f>"2000210223921"</f>
        <v>2000210223921</v>
      </c>
      <c r="I3440" s="3">
        <v>6</v>
      </c>
      <c r="J3440" s="3">
        <v>0</v>
      </c>
      <c r="K3440" s="3">
        <v>2500</v>
      </c>
    </row>
    <row r="3441" spans="1:11" x14ac:dyDescent="0.2">
      <c r="A3441" s="1" t="s">
        <v>4994</v>
      </c>
      <c r="B3441" s="1" t="s">
        <v>4276</v>
      </c>
      <c r="C3441" s="1"/>
      <c r="D3441" s="1"/>
      <c r="E3441" s="1"/>
      <c r="F3441" s="1"/>
      <c r="G3441" s="1"/>
      <c r="H3441" s="1" t="str">
        <f>"7804918410622"</f>
        <v>7804918410622</v>
      </c>
      <c r="I3441" s="3">
        <v>0</v>
      </c>
      <c r="J3441" s="3">
        <v>0</v>
      </c>
      <c r="K3441" s="3">
        <v>2500</v>
      </c>
    </row>
    <row r="3442" spans="1:11" x14ac:dyDescent="0.2">
      <c r="A3442" s="1" t="s">
        <v>4994</v>
      </c>
      <c r="B3442" s="1" t="s">
        <v>4278</v>
      </c>
      <c r="C3442" s="1"/>
      <c r="D3442" s="1"/>
      <c r="E3442" s="1"/>
      <c r="F3442" s="1"/>
      <c r="G3442" s="1"/>
      <c r="H3442" s="1" t="str">
        <f>"0761887135476"</f>
        <v>0761887135476</v>
      </c>
      <c r="I3442" s="3">
        <v>0</v>
      </c>
      <c r="J3442" s="3">
        <v>0</v>
      </c>
      <c r="K3442" s="3">
        <v>0</v>
      </c>
    </row>
    <row r="3443" spans="1:11" x14ac:dyDescent="0.2">
      <c r="A3443" s="1" t="s">
        <v>4994</v>
      </c>
      <c r="B3443" s="1" t="s">
        <v>4281</v>
      </c>
      <c r="C3443" s="1"/>
      <c r="D3443" s="1"/>
      <c r="E3443" s="1"/>
      <c r="F3443" s="1"/>
      <c r="G3443" s="1"/>
      <c r="H3443" s="1" t="str">
        <f>"5099864016604"</f>
        <v>5099864016604</v>
      </c>
      <c r="I3443" s="3">
        <v>0</v>
      </c>
      <c r="J3443" s="3">
        <v>0</v>
      </c>
      <c r="K3443" s="3">
        <v>22000</v>
      </c>
    </row>
    <row r="3444" spans="1:11" x14ac:dyDescent="0.2">
      <c r="A3444" s="1" t="s">
        <v>4994</v>
      </c>
      <c r="B3444" s="1" t="s">
        <v>4282</v>
      </c>
      <c r="C3444" s="1"/>
      <c r="D3444" s="1"/>
      <c r="E3444" s="1"/>
      <c r="F3444" s="1"/>
      <c r="G3444" s="1"/>
      <c r="H3444" s="1" t="str">
        <f>"7803504003057"</f>
        <v>7803504003057</v>
      </c>
      <c r="I3444" s="3">
        <v>0</v>
      </c>
      <c r="J3444" s="3">
        <v>0</v>
      </c>
      <c r="K3444" s="3">
        <v>5000</v>
      </c>
    </row>
    <row r="3445" spans="1:11" x14ac:dyDescent="0.2">
      <c r="A3445" s="1" t="s">
        <v>4994</v>
      </c>
      <c r="B3445" s="1" t="s">
        <v>4283</v>
      </c>
      <c r="C3445" s="1"/>
      <c r="D3445" s="1"/>
      <c r="E3445" s="1"/>
      <c r="F3445" s="1"/>
      <c r="G3445" s="1"/>
      <c r="H3445" s="1" t="str">
        <f>"7804945012875"</f>
        <v>7804945012875</v>
      </c>
      <c r="I3445" s="3">
        <v>3</v>
      </c>
      <c r="J3445" s="3">
        <v>0</v>
      </c>
      <c r="K3445" s="3">
        <v>2500</v>
      </c>
    </row>
    <row r="3446" spans="1:11" x14ac:dyDescent="0.2">
      <c r="A3446" s="1" t="s">
        <v>4994</v>
      </c>
      <c r="B3446" s="1" t="s">
        <v>4284</v>
      </c>
      <c r="C3446" s="1"/>
      <c r="D3446" s="1"/>
      <c r="E3446" s="1"/>
      <c r="F3446" s="1"/>
      <c r="G3446" s="1"/>
      <c r="H3446" s="1" t="str">
        <f>"7804945001862"</f>
        <v>7804945001862</v>
      </c>
      <c r="I3446" s="3">
        <v>3</v>
      </c>
      <c r="J3446" s="3">
        <v>0</v>
      </c>
      <c r="K3446" s="3">
        <v>3500</v>
      </c>
    </row>
    <row r="3447" spans="1:11" x14ac:dyDescent="0.2">
      <c r="A3447" s="1" t="s">
        <v>4994</v>
      </c>
      <c r="B3447" s="1" t="s">
        <v>4285</v>
      </c>
      <c r="C3447" s="1"/>
      <c r="D3447" s="1"/>
      <c r="E3447" s="1"/>
      <c r="F3447" s="1"/>
      <c r="G3447" s="1"/>
      <c r="H3447" s="1" t="str">
        <f>"7804945001923"</f>
        <v>7804945001923</v>
      </c>
      <c r="I3447" s="3">
        <v>4</v>
      </c>
      <c r="J3447" s="3">
        <v>0</v>
      </c>
      <c r="K3447" s="3">
        <v>3000</v>
      </c>
    </row>
    <row r="3448" spans="1:11" x14ac:dyDescent="0.2">
      <c r="A3448" s="1" t="s">
        <v>4994</v>
      </c>
      <c r="B3448" s="1" t="s">
        <v>4286</v>
      </c>
      <c r="C3448" s="1"/>
      <c r="D3448" s="1"/>
      <c r="E3448" s="1"/>
      <c r="F3448" s="1"/>
      <c r="G3448" s="1"/>
      <c r="H3448" s="1" t="str">
        <f>"7804945012486"</f>
        <v>7804945012486</v>
      </c>
      <c r="I3448" s="3">
        <v>1</v>
      </c>
      <c r="J3448" s="3">
        <v>0</v>
      </c>
      <c r="K3448" s="3">
        <v>3000</v>
      </c>
    </row>
    <row r="3449" spans="1:11" x14ac:dyDescent="0.2">
      <c r="A3449" s="1" t="s">
        <v>4994</v>
      </c>
      <c r="B3449" s="1" t="s">
        <v>4287</v>
      </c>
      <c r="C3449" s="1"/>
      <c r="D3449" s="1"/>
      <c r="E3449" s="1"/>
      <c r="F3449" s="1"/>
      <c r="G3449" s="1"/>
      <c r="H3449" s="1" t="str">
        <f>"7804945001992"</f>
        <v>7804945001992</v>
      </c>
      <c r="I3449" s="3">
        <v>4</v>
      </c>
      <c r="J3449" s="3">
        <v>0</v>
      </c>
      <c r="K3449" s="3">
        <v>4500</v>
      </c>
    </row>
    <row r="3450" spans="1:11" x14ac:dyDescent="0.2">
      <c r="A3450" s="1" t="s">
        <v>4994</v>
      </c>
      <c r="B3450" s="1" t="s">
        <v>4288</v>
      </c>
      <c r="C3450" s="1"/>
      <c r="D3450" s="1"/>
      <c r="E3450" s="1"/>
      <c r="F3450" s="1"/>
      <c r="G3450" s="1"/>
      <c r="H3450" s="1" t="str">
        <f>"7804945016026"</f>
        <v>7804945016026</v>
      </c>
      <c r="I3450" s="3">
        <v>0</v>
      </c>
      <c r="J3450" s="3">
        <v>0</v>
      </c>
      <c r="K3450" s="3">
        <v>3500</v>
      </c>
    </row>
    <row r="3451" spans="1:11" x14ac:dyDescent="0.2">
      <c r="A3451" s="1" t="s">
        <v>4994</v>
      </c>
      <c r="B3451" s="1" t="s">
        <v>4289</v>
      </c>
      <c r="C3451" s="1"/>
      <c r="D3451" s="1"/>
      <c r="E3451" s="1"/>
      <c r="F3451" s="1"/>
      <c r="G3451" s="1"/>
      <c r="H3451" s="1" t="str">
        <f>"7804945001329"</f>
        <v>7804945001329</v>
      </c>
      <c r="I3451" s="3">
        <v>12</v>
      </c>
      <c r="J3451" s="3">
        <v>0</v>
      </c>
      <c r="K3451" s="3">
        <v>3500</v>
      </c>
    </row>
    <row r="3452" spans="1:11" x14ac:dyDescent="0.2">
      <c r="A3452" s="1" t="s">
        <v>4994</v>
      </c>
      <c r="B3452" s="1" t="s">
        <v>4290</v>
      </c>
      <c r="C3452" s="1"/>
      <c r="D3452" s="1"/>
      <c r="E3452" s="1"/>
      <c r="F3452" s="1"/>
      <c r="G3452" s="1"/>
      <c r="H3452" s="1" t="str">
        <f>"7804945015449"</f>
        <v>7804945015449</v>
      </c>
      <c r="I3452" s="3">
        <v>0</v>
      </c>
      <c r="J3452" s="3">
        <v>0</v>
      </c>
      <c r="K3452" s="3">
        <v>7500</v>
      </c>
    </row>
    <row r="3453" spans="1:11" x14ac:dyDescent="0.2">
      <c r="A3453" s="1" t="s">
        <v>4994</v>
      </c>
      <c r="B3453" s="1" t="s">
        <v>4291</v>
      </c>
      <c r="C3453" s="1"/>
      <c r="D3453" s="1"/>
      <c r="E3453" s="1"/>
      <c r="F3453" s="1"/>
      <c r="G3453" s="1"/>
      <c r="H3453" s="1" t="str">
        <f>"7804945015296"</f>
        <v>7804945015296</v>
      </c>
      <c r="I3453" s="3">
        <v>0</v>
      </c>
      <c r="J3453" s="3">
        <v>0</v>
      </c>
      <c r="K3453" s="3">
        <v>6000</v>
      </c>
    </row>
    <row r="3454" spans="1:11" x14ac:dyDescent="0.2">
      <c r="A3454" s="1" t="s">
        <v>4994</v>
      </c>
      <c r="B3454" s="1" t="s">
        <v>4292</v>
      </c>
      <c r="C3454" s="1"/>
      <c r="D3454" s="1"/>
      <c r="E3454" s="1"/>
      <c r="F3454" s="1"/>
      <c r="G3454" s="1"/>
      <c r="H3454" s="1" t="str">
        <f>"7804945015432"</f>
        <v>7804945015432</v>
      </c>
      <c r="I3454" s="3">
        <v>7</v>
      </c>
      <c r="J3454" s="3">
        <v>0</v>
      </c>
      <c r="K3454" s="3">
        <v>2500</v>
      </c>
    </row>
    <row r="3455" spans="1:11" x14ac:dyDescent="0.2">
      <c r="A3455" s="1" t="s">
        <v>4994</v>
      </c>
      <c r="B3455" s="1" t="s">
        <v>4293</v>
      </c>
      <c r="C3455" s="1"/>
      <c r="D3455" s="1"/>
      <c r="E3455" s="1"/>
      <c r="F3455" s="1"/>
      <c r="G3455" s="1"/>
      <c r="H3455" s="1" t="str">
        <f>"7804945002913"</f>
        <v>7804945002913</v>
      </c>
      <c r="I3455" s="3">
        <v>0</v>
      </c>
      <c r="J3455" s="3">
        <v>0</v>
      </c>
      <c r="K3455" s="3">
        <v>4000</v>
      </c>
    </row>
    <row r="3456" spans="1:11" x14ac:dyDescent="0.2">
      <c r="A3456" s="1" t="s">
        <v>4994</v>
      </c>
      <c r="B3456" s="1" t="s">
        <v>4294</v>
      </c>
      <c r="C3456" s="1"/>
      <c r="D3456" s="1"/>
      <c r="E3456" s="1"/>
      <c r="F3456" s="1"/>
      <c r="G3456" s="1"/>
      <c r="H3456" s="1" t="str">
        <f>"7804945003149"</f>
        <v>7804945003149</v>
      </c>
      <c r="I3456" s="3">
        <v>0</v>
      </c>
      <c r="J3456" s="3">
        <v>0</v>
      </c>
      <c r="K3456" s="3">
        <v>3000</v>
      </c>
    </row>
    <row r="3457" spans="1:11" x14ac:dyDescent="0.2">
      <c r="A3457" s="1" t="s">
        <v>4994</v>
      </c>
      <c r="B3457" s="1" t="s">
        <v>4295</v>
      </c>
      <c r="C3457" s="1"/>
      <c r="D3457" s="1"/>
      <c r="E3457" s="1"/>
      <c r="F3457" s="1"/>
      <c r="G3457" s="1"/>
      <c r="H3457" s="1" t="str">
        <f>"7804945002722"</f>
        <v>7804945002722</v>
      </c>
      <c r="I3457" s="3">
        <v>0</v>
      </c>
      <c r="J3457" s="3">
        <v>0</v>
      </c>
      <c r="K3457" s="3">
        <v>3000</v>
      </c>
    </row>
    <row r="3458" spans="1:11" x14ac:dyDescent="0.2">
      <c r="A3458" s="1" t="s">
        <v>4994</v>
      </c>
      <c r="B3458" s="1" t="s">
        <v>4296</v>
      </c>
      <c r="C3458" s="1"/>
      <c r="D3458" s="1"/>
      <c r="E3458" s="1"/>
      <c r="F3458" s="1"/>
      <c r="G3458" s="1"/>
      <c r="H3458" s="1" t="str">
        <f>"7804945001114"</f>
        <v>7804945001114</v>
      </c>
      <c r="I3458" s="3">
        <v>2</v>
      </c>
      <c r="J3458" s="3">
        <v>0</v>
      </c>
      <c r="K3458" s="3">
        <v>3000</v>
      </c>
    </row>
    <row r="3459" spans="1:11" x14ac:dyDescent="0.2">
      <c r="A3459" s="1" t="s">
        <v>4994</v>
      </c>
      <c r="B3459" s="1" t="s">
        <v>4297</v>
      </c>
      <c r="C3459" s="1"/>
      <c r="D3459" s="1"/>
      <c r="E3459" s="1"/>
      <c r="F3459" s="1"/>
      <c r="G3459" s="1"/>
      <c r="H3459" s="1" t="str">
        <f>"7804945023512"</f>
        <v>7804945023512</v>
      </c>
      <c r="I3459" s="3">
        <v>6</v>
      </c>
      <c r="J3459" s="3">
        <v>0</v>
      </c>
      <c r="K3459" s="3">
        <v>4500</v>
      </c>
    </row>
    <row r="3460" spans="1:11" x14ac:dyDescent="0.2">
      <c r="A3460" s="1" t="s">
        <v>4994</v>
      </c>
      <c r="B3460" s="1" t="s">
        <v>4298</v>
      </c>
      <c r="C3460" s="1"/>
      <c r="D3460" s="1"/>
      <c r="E3460" s="1"/>
      <c r="F3460" s="1"/>
      <c r="G3460" s="1"/>
      <c r="H3460" s="1" t="str">
        <f>"7804945023659"</f>
        <v>7804945023659</v>
      </c>
      <c r="I3460" s="3">
        <v>2</v>
      </c>
      <c r="J3460" s="3">
        <v>0</v>
      </c>
      <c r="K3460" s="3">
        <v>5500</v>
      </c>
    </row>
    <row r="3461" spans="1:11" x14ac:dyDescent="0.2">
      <c r="A3461" s="1" t="s">
        <v>4994</v>
      </c>
      <c r="B3461" s="1" t="s">
        <v>4299</v>
      </c>
      <c r="C3461" s="1"/>
      <c r="D3461" s="1"/>
      <c r="E3461" s="1"/>
      <c r="F3461" s="1"/>
      <c r="G3461" s="1"/>
      <c r="H3461" s="1" t="str">
        <f>"7804945026025"</f>
        <v>7804945026025</v>
      </c>
      <c r="I3461" s="3">
        <v>0</v>
      </c>
      <c r="J3461" s="3">
        <v>0</v>
      </c>
      <c r="K3461" s="3">
        <v>7500</v>
      </c>
    </row>
    <row r="3462" spans="1:11" x14ac:dyDescent="0.2">
      <c r="A3462" s="1" t="s">
        <v>4994</v>
      </c>
      <c r="B3462" s="1" t="s">
        <v>4300</v>
      </c>
      <c r="C3462" s="1"/>
      <c r="D3462" s="1"/>
      <c r="E3462" s="1"/>
      <c r="F3462" s="1"/>
      <c r="G3462" s="1"/>
      <c r="H3462" s="1" t="str">
        <f>"7804945002081"</f>
        <v>7804945002081</v>
      </c>
      <c r="I3462" s="3">
        <v>0</v>
      </c>
      <c r="J3462" s="3">
        <v>0</v>
      </c>
      <c r="K3462" s="3">
        <v>3500</v>
      </c>
    </row>
    <row r="3463" spans="1:11" x14ac:dyDescent="0.2">
      <c r="A3463" s="1" t="s">
        <v>4994</v>
      </c>
      <c r="B3463" s="1" t="s">
        <v>4301</v>
      </c>
      <c r="C3463" s="1"/>
      <c r="D3463" s="1"/>
      <c r="E3463" s="1"/>
      <c r="F3463" s="1"/>
      <c r="G3463" s="1"/>
      <c r="H3463" s="1" t="str">
        <f>"7804945013308"</f>
        <v>7804945013308</v>
      </c>
      <c r="I3463" s="3">
        <v>0</v>
      </c>
      <c r="J3463" s="3">
        <v>0</v>
      </c>
      <c r="K3463" s="3">
        <v>4500</v>
      </c>
    </row>
    <row r="3464" spans="1:11" x14ac:dyDescent="0.2">
      <c r="A3464" s="1" t="s">
        <v>4994</v>
      </c>
      <c r="B3464" s="1" t="s">
        <v>4302</v>
      </c>
      <c r="C3464" s="1"/>
      <c r="D3464" s="1"/>
      <c r="E3464" s="1"/>
      <c r="F3464" s="1"/>
      <c r="G3464" s="1"/>
      <c r="H3464" s="1" t="str">
        <f>"7804945023079"</f>
        <v>7804945023079</v>
      </c>
      <c r="I3464" s="3">
        <v>0</v>
      </c>
      <c r="J3464" s="3">
        <v>0</v>
      </c>
      <c r="K3464" s="3">
        <v>4500</v>
      </c>
    </row>
    <row r="3465" spans="1:11" x14ac:dyDescent="0.2">
      <c r="A3465" s="1" t="s">
        <v>4994</v>
      </c>
      <c r="B3465" s="1" t="s">
        <v>4307</v>
      </c>
      <c r="C3465" s="1"/>
      <c r="D3465" s="1"/>
      <c r="E3465" s="1"/>
      <c r="F3465" s="1"/>
      <c r="G3465" s="1"/>
      <c r="H3465" s="1" t="str">
        <f>"XXU22"</f>
        <v>XXU22</v>
      </c>
      <c r="I3465" s="3">
        <v>0</v>
      </c>
      <c r="J3465" s="3">
        <v>0</v>
      </c>
      <c r="K3465" s="3">
        <v>6000</v>
      </c>
    </row>
    <row r="3466" spans="1:11" x14ac:dyDescent="0.2">
      <c r="A3466" s="1" t="s">
        <v>4994</v>
      </c>
      <c r="B3466" s="1" t="s">
        <v>4309</v>
      </c>
      <c r="C3466" s="1"/>
      <c r="D3466" s="1"/>
      <c r="E3466" s="1"/>
      <c r="F3466" s="1"/>
      <c r="G3466" s="1"/>
      <c r="H3466" s="1" t="str">
        <f>"24242119"</f>
        <v>24242119</v>
      </c>
      <c r="I3466" s="3">
        <v>0</v>
      </c>
      <c r="J3466" s="3">
        <v>0</v>
      </c>
      <c r="K3466" s="3">
        <v>7000</v>
      </c>
    </row>
    <row r="3467" spans="1:11" x14ac:dyDescent="0.2">
      <c r="A3467" s="1" t="s">
        <v>4994</v>
      </c>
      <c r="B3467" s="1" t="s">
        <v>4311</v>
      </c>
      <c r="C3467" s="1"/>
      <c r="D3467" s="1"/>
      <c r="E3467" s="1"/>
      <c r="F3467" s="1"/>
      <c r="G3467" s="1"/>
      <c r="H3467" s="1" t="str">
        <f>"24242118"</f>
        <v>24242118</v>
      </c>
      <c r="I3467" s="3">
        <v>0</v>
      </c>
      <c r="J3467" s="3">
        <v>0</v>
      </c>
      <c r="K3467" s="3">
        <v>10000</v>
      </c>
    </row>
    <row r="3468" spans="1:11" x14ac:dyDescent="0.2">
      <c r="A3468" s="1" t="s">
        <v>4994</v>
      </c>
      <c r="B3468" s="1" t="s">
        <v>4312</v>
      </c>
      <c r="C3468" s="1"/>
      <c r="D3468" s="1"/>
      <c r="E3468" s="1"/>
      <c r="F3468" s="1"/>
      <c r="G3468" s="1"/>
      <c r="H3468" s="1" t="str">
        <f>"7800006001550"</f>
        <v>7800006001550</v>
      </c>
      <c r="I3468" s="3">
        <v>9</v>
      </c>
      <c r="J3468" s="3">
        <v>0</v>
      </c>
      <c r="K3468" s="3">
        <v>4500</v>
      </c>
    </row>
    <row r="3469" spans="1:11" x14ac:dyDescent="0.2">
      <c r="A3469" s="1" t="s">
        <v>4994</v>
      </c>
      <c r="B3469" s="1" t="s">
        <v>4314</v>
      </c>
      <c r="C3469" s="1"/>
      <c r="D3469" s="1"/>
      <c r="E3469" s="1"/>
      <c r="F3469" s="1"/>
      <c r="G3469" s="1"/>
      <c r="H3469" s="1" t="str">
        <f>"7800006000508"</f>
        <v>7800006000508</v>
      </c>
      <c r="I3469" s="3">
        <v>0</v>
      </c>
      <c r="J3469" s="3">
        <v>0</v>
      </c>
      <c r="K3469" s="3">
        <v>9000</v>
      </c>
    </row>
    <row r="3470" spans="1:11" x14ac:dyDescent="0.2">
      <c r="A3470" s="1" t="s">
        <v>4994</v>
      </c>
      <c r="B3470" s="1" t="s">
        <v>4317</v>
      </c>
      <c r="C3470" s="1"/>
      <c r="D3470" s="1"/>
      <c r="E3470" s="1"/>
      <c r="F3470" s="1"/>
      <c r="G3470" s="1"/>
      <c r="H3470" s="1" t="str">
        <f>"300651509625"</f>
        <v>300651509625</v>
      </c>
      <c r="I3470" s="3">
        <v>3</v>
      </c>
      <c r="J3470" s="3">
        <v>0</v>
      </c>
      <c r="K3470" s="3">
        <v>35000</v>
      </c>
    </row>
    <row r="3471" spans="1:11" x14ac:dyDescent="0.2">
      <c r="A3471" s="1" t="s">
        <v>4994</v>
      </c>
      <c r="B3471" s="1" t="s">
        <v>4318</v>
      </c>
      <c r="C3471" s="1"/>
      <c r="D3471" s="1"/>
      <c r="E3471" s="1"/>
      <c r="F3471" s="1"/>
      <c r="G3471" s="1"/>
      <c r="H3471" s="1" t="str">
        <f>"3600524190163"</f>
        <v>3600524190163</v>
      </c>
      <c r="I3471" s="3">
        <v>2</v>
      </c>
      <c r="J3471" s="3">
        <v>0</v>
      </c>
      <c r="K3471" s="3">
        <v>12000</v>
      </c>
    </row>
    <row r="3472" spans="1:11" x14ac:dyDescent="0.2">
      <c r="A3472" s="1" t="s">
        <v>4994</v>
      </c>
      <c r="B3472" s="1" t="s">
        <v>4319</v>
      </c>
      <c r="C3472" s="1"/>
      <c r="D3472" s="1"/>
      <c r="E3472" s="1"/>
      <c r="F3472" s="1"/>
      <c r="G3472" s="1"/>
      <c r="H3472" s="1" t="str">
        <f>"3600524190255"</f>
        <v>3600524190255</v>
      </c>
      <c r="I3472" s="3">
        <v>2</v>
      </c>
      <c r="J3472" s="3">
        <v>0</v>
      </c>
      <c r="K3472" s="3">
        <v>12000</v>
      </c>
    </row>
    <row r="3473" spans="1:11" x14ac:dyDescent="0.2">
      <c r="A3473" s="1" t="s">
        <v>4994</v>
      </c>
      <c r="B3473" s="1" t="s">
        <v>4320</v>
      </c>
      <c r="C3473" s="1"/>
      <c r="D3473" s="1"/>
      <c r="E3473" s="1"/>
      <c r="F3473" s="1"/>
      <c r="G3473" s="1"/>
      <c r="H3473" s="1" t="str">
        <f>"3600524190286"</f>
        <v>3600524190286</v>
      </c>
      <c r="I3473" s="3">
        <v>1</v>
      </c>
      <c r="J3473" s="3">
        <v>0</v>
      </c>
      <c r="K3473" s="3">
        <v>12000</v>
      </c>
    </row>
    <row r="3474" spans="1:11" x14ac:dyDescent="0.2">
      <c r="A3474" s="1" t="s">
        <v>4994</v>
      </c>
      <c r="B3474" s="1" t="s">
        <v>4321</v>
      </c>
      <c r="C3474" s="1"/>
      <c r="D3474" s="1"/>
      <c r="E3474" s="1"/>
      <c r="F3474" s="1"/>
      <c r="G3474" s="1"/>
      <c r="H3474" s="1" t="str">
        <f>"3600524190200"</f>
        <v>3600524190200</v>
      </c>
      <c r="I3474" s="3">
        <v>1</v>
      </c>
      <c r="J3474" s="3">
        <v>0</v>
      </c>
      <c r="K3474" s="3">
        <v>12000</v>
      </c>
    </row>
    <row r="3475" spans="1:11" x14ac:dyDescent="0.2">
      <c r="A3475" s="1" t="s">
        <v>4994</v>
      </c>
      <c r="B3475" s="1" t="s">
        <v>4322</v>
      </c>
      <c r="C3475" s="1"/>
      <c r="D3475" s="1"/>
      <c r="E3475" s="1"/>
      <c r="F3475" s="1"/>
      <c r="G3475" s="1"/>
      <c r="H3475" s="1" t="str">
        <f>"3600524190224"</f>
        <v>3600524190224</v>
      </c>
      <c r="I3475" s="3">
        <v>0</v>
      </c>
      <c r="J3475" s="3">
        <v>0</v>
      </c>
      <c r="K3475" s="3">
        <v>12000</v>
      </c>
    </row>
    <row r="3476" spans="1:11" x14ac:dyDescent="0.2">
      <c r="A3476" s="1" t="s">
        <v>4994</v>
      </c>
      <c r="B3476" s="1" t="s">
        <v>4323</v>
      </c>
      <c r="C3476" s="1"/>
      <c r="D3476" s="1"/>
      <c r="E3476" s="1"/>
      <c r="F3476" s="1"/>
      <c r="G3476" s="1"/>
      <c r="H3476" s="1" t="str">
        <f>"3600524190156"</f>
        <v>3600524190156</v>
      </c>
      <c r="I3476" s="3">
        <v>2</v>
      </c>
      <c r="J3476" s="3">
        <v>0</v>
      </c>
      <c r="K3476" s="3">
        <v>12000</v>
      </c>
    </row>
    <row r="3477" spans="1:11" x14ac:dyDescent="0.2">
      <c r="A3477" s="1" t="s">
        <v>4994</v>
      </c>
      <c r="B3477" s="1" t="s">
        <v>4324</v>
      </c>
      <c r="C3477" s="1"/>
      <c r="D3477" s="1"/>
      <c r="E3477" s="1"/>
      <c r="F3477" s="1"/>
      <c r="G3477" s="1"/>
      <c r="H3477" s="1" t="str">
        <f>"7804918402870"</f>
        <v>7804918402870</v>
      </c>
      <c r="I3477" s="3">
        <v>4</v>
      </c>
      <c r="J3477" s="3">
        <v>0</v>
      </c>
      <c r="K3477" s="3">
        <v>8000</v>
      </c>
    </row>
    <row r="3478" spans="1:11" x14ac:dyDescent="0.2">
      <c r="A3478" s="1" t="s">
        <v>4994</v>
      </c>
      <c r="B3478" s="1" t="s">
        <v>4326</v>
      </c>
      <c r="C3478" s="1"/>
      <c r="D3478" s="1"/>
      <c r="E3478" s="1"/>
      <c r="F3478" s="1"/>
      <c r="G3478" s="1"/>
      <c r="H3478" s="1" t="str">
        <f>"737186534233"</f>
        <v>737186534233</v>
      </c>
      <c r="I3478" s="3">
        <v>2</v>
      </c>
      <c r="J3478" s="3">
        <v>0</v>
      </c>
      <c r="K3478" s="3">
        <v>6000</v>
      </c>
    </row>
    <row r="3479" spans="1:11" x14ac:dyDescent="0.2">
      <c r="A3479" s="1" t="s">
        <v>4994</v>
      </c>
      <c r="B3479" s="1" t="s">
        <v>4329</v>
      </c>
      <c r="C3479" s="1"/>
      <c r="D3479" s="1"/>
      <c r="E3479" s="1"/>
      <c r="F3479" s="1"/>
      <c r="G3479" s="1"/>
      <c r="H3479" s="1" t="str">
        <f>"8437019299118"</f>
        <v>8437019299118</v>
      </c>
      <c r="I3479" s="3">
        <v>15</v>
      </c>
      <c r="J3479" s="3">
        <v>0</v>
      </c>
      <c r="K3479" s="3">
        <v>20000</v>
      </c>
    </row>
    <row r="3480" spans="1:11" x14ac:dyDescent="0.2">
      <c r="A3480" s="1" t="s">
        <v>4994</v>
      </c>
      <c r="B3480" s="1" t="s">
        <v>4330</v>
      </c>
      <c r="C3480" s="1"/>
      <c r="D3480" s="1"/>
      <c r="E3480" s="1"/>
      <c r="F3480" s="1"/>
      <c r="G3480" s="1"/>
      <c r="H3480" s="1" t="str">
        <f>"7804945012479"</f>
        <v>7804945012479</v>
      </c>
      <c r="I3480" s="3">
        <v>0</v>
      </c>
      <c r="J3480" s="3">
        <v>0</v>
      </c>
      <c r="K3480" s="3">
        <v>300</v>
      </c>
    </row>
    <row r="3481" spans="1:11" x14ac:dyDescent="0.2">
      <c r="A3481" s="1" t="s">
        <v>4994</v>
      </c>
      <c r="B3481" s="1" t="s">
        <v>4331</v>
      </c>
      <c r="C3481" s="1"/>
      <c r="D3481" s="1"/>
      <c r="E3481" s="1"/>
      <c r="F3481" s="1"/>
      <c r="G3481" s="1"/>
      <c r="H3481" s="1" t="str">
        <f>"7804945012455"</f>
        <v>7804945012455</v>
      </c>
      <c r="I3481" s="3">
        <v>0</v>
      </c>
      <c r="J3481" s="3">
        <v>0</v>
      </c>
      <c r="K3481" s="3">
        <v>3000</v>
      </c>
    </row>
    <row r="3482" spans="1:11" x14ac:dyDescent="0.2">
      <c r="A3482" s="1" t="s">
        <v>4994</v>
      </c>
      <c r="B3482" s="1" t="s">
        <v>4332</v>
      </c>
      <c r="C3482" s="1"/>
      <c r="D3482" s="1"/>
      <c r="E3482" s="1"/>
      <c r="F3482" s="1"/>
      <c r="G3482" s="1"/>
      <c r="H3482" s="1" t="str">
        <f>"7804945012424"</f>
        <v>7804945012424</v>
      </c>
      <c r="I3482" s="3">
        <v>0</v>
      </c>
      <c r="J3482" s="3">
        <v>0</v>
      </c>
      <c r="K3482" s="3">
        <v>3000</v>
      </c>
    </row>
    <row r="3483" spans="1:11" x14ac:dyDescent="0.2">
      <c r="A3483" s="1" t="s">
        <v>4994</v>
      </c>
      <c r="B3483" s="1" t="s">
        <v>4333</v>
      </c>
      <c r="C3483" s="1"/>
      <c r="D3483" s="1"/>
      <c r="E3483" s="1"/>
      <c r="F3483" s="1"/>
      <c r="G3483" s="1"/>
      <c r="H3483" s="1" t="str">
        <f>"7800044000881"</f>
        <v>7800044000881</v>
      </c>
      <c r="I3483" s="3">
        <v>0</v>
      </c>
      <c r="J3483" s="3">
        <v>0</v>
      </c>
      <c r="K3483" s="3">
        <v>1000</v>
      </c>
    </row>
    <row r="3484" spans="1:11" x14ac:dyDescent="0.2">
      <c r="A3484" s="1" t="s">
        <v>4994</v>
      </c>
      <c r="B3484" s="1" t="s">
        <v>4334</v>
      </c>
      <c r="C3484" s="1"/>
      <c r="D3484" s="1"/>
      <c r="E3484" s="1"/>
      <c r="F3484" s="1"/>
      <c r="G3484" s="1"/>
      <c r="H3484" s="1" t="str">
        <f>"7800007807939"</f>
        <v>7800007807939</v>
      </c>
      <c r="I3484" s="3">
        <v>0</v>
      </c>
      <c r="J3484" s="3">
        <v>0</v>
      </c>
      <c r="K3484" s="3">
        <v>20000</v>
      </c>
    </row>
    <row r="3485" spans="1:11" x14ac:dyDescent="0.2">
      <c r="A3485" s="1" t="s">
        <v>4994</v>
      </c>
      <c r="B3485" s="1" t="s">
        <v>4335</v>
      </c>
      <c r="C3485" s="1"/>
      <c r="D3485" s="1"/>
      <c r="E3485" s="1"/>
      <c r="F3485" s="1"/>
      <c r="G3485" s="1"/>
      <c r="H3485" s="1" t="str">
        <f>"7708089795512"</f>
        <v>7708089795512</v>
      </c>
      <c r="I3485" s="3">
        <v>0</v>
      </c>
      <c r="J3485" s="3">
        <v>0</v>
      </c>
      <c r="K3485" s="3">
        <v>4500</v>
      </c>
    </row>
    <row r="3486" spans="1:11" x14ac:dyDescent="0.2">
      <c r="A3486" s="1" t="s">
        <v>4994</v>
      </c>
      <c r="B3486" s="1" t="s">
        <v>4338</v>
      </c>
      <c r="C3486" s="1"/>
      <c r="D3486" s="1"/>
      <c r="E3486" s="1"/>
      <c r="F3486" s="1"/>
      <c r="G3486" s="1"/>
      <c r="H3486" s="1" t="str">
        <f>"3499320006576"</f>
        <v>3499320006576</v>
      </c>
      <c r="I3486" s="3">
        <v>0</v>
      </c>
      <c r="J3486" s="3">
        <v>0</v>
      </c>
      <c r="K3486" s="3">
        <v>40000</v>
      </c>
    </row>
    <row r="3487" spans="1:11" x14ac:dyDescent="0.2">
      <c r="A3487" s="1" t="s">
        <v>4994</v>
      </c>
      <c r="B3487" s="1" t="s">
        <v>4339</v>
      </c>
      <c r="C3487" s="1"/>
      <c r="D3487" s="1"/>
      <c r="E3487" s="1"/>
      <c r="F3487" s="1"/>
      <c r="G3487" s="1"/>
      <c r="H3487" s="1" t="str">
        <f>"736085413250"</f>
        <v>736085413250</v>
      </c>
      <c r="I3487" s="3">
        <v>0</v>
      </c>
      <c r="J3487" s="3">
        <v>0</v>
      </c>
      <c r="K3487" s="3">
        <v>20000</v>
      </c>
    </row>
    <row r="3488" spans="1:11" x14ac:dyDescent="0.2">
      <c r="A3488" s="1" t="s">
        <v>4994</v>
      </c>
      <c r="B3488" s="1" t="s">
        <v>4340</v>
      </c>
      <c r="C3488" s="1"/>
      <c r="D3488" s="1"/>
      <c r="E3488" s="1"/>
      <c r="F3488" s="1"/>
      <c r="G3488" s="1"/>
      <c r="H3488" s="1" t="str">
        <f>"7800008000391"</f>
        <v>7800008000391</v>
      </c>
      <c r="I3488" s="3">
        <v>0</v>
      </c>
      <c r="J3488" s="3">
        <v>0</v>
      </c>
      <c r="K3488" s="3">
        <v>20000</v>
      </c>
    </row>
    <row r="3489" spans="1:11" x14ac:dyDescent="0.2">
      <c r="A3489" s="1" t="s">
        <v>4994</v>
      </c>
      <c r="B3489" s="1" t="s">
        <v>4341</v>
      </c>
      <c r="C3489" s="1"/>
      <c r="D3489" s="1"/>
      <c r="E3489" s="1"/>
      <c r="F3489" s="1"/>
      <c r="G3489" s="1"/>
      <c r="H3489" s="1" t="str">
        <f>"7800026248737"</f>
        <v>7800026248737</v>
      </c>
      <c r="I3489" s="3">
        <v>9</v>
      </c>
      <c r="J3489" s="3">
        <v>0</v>
      </c>
      <c r="K3489" s="3">
        <v>26000</v>
      </c>
    </row>
    <row r="3490" spans="1:11" x14ac:dyDescent="0.2">
      <c r="A3490" s="1" t="s">
        <v>4994</v>
      </c>
      <c r="B3490" s="1" t="s">
        <v>4342</v>
      </c>
      <c r="C3490" s="1"/>
      <c r="D3490" s="1"/>
      <c r="E3490" s="1"/>
      <c r="F3490" s="1"/>
      <c r="G3490" s="1"/>
      <c r="H3490" s="1" t="str">
        <f>"827854010746"</f>
        <v>827854010746</v>
      </c>
      <c r="I3490" s="3">
        <v>8</v>
      </c>
      <c r="J3490" s="3">
        <v>0</v>
      </c>
      <c r="K3490" s="3">
        <v>2500</v>
      </c>
    </row>
    <row r="3491" spans="1:11" x14ac:dyDescent="0.2">
      <c r="A3491" s="1" t="s">
        <v>4994</v>
      </c>
      <c r="B3491" s="1" t="s">
        <v>4343</v>
      </c>
      <c r="C3491" s="1"/>
      <c r="D3491" s="1"/>
      <c r="E3491" s="1"/>
      <c r="F3491" s="1"/>
      <c r="G3491" s="1"/>
      <c r="H3491" s="1" t="str">
        <f>"7501035907577"</f>
        <v>7501035907577</v>
      </c>
      <c r="I3491" s="3">
        <v>19</v>
      </c>
      <c r="J3491" s="3">
        <v>0</v>
      </c>
      <c r="K3491" s="3">
        <v>2500</v>
      </c>
    </row>
    <row r="3492" spans="1:11" x14ac:dyDescent="0.2">
      <c r="A3492" s="1" t="s">
        <v>4994</v>
      </c>
      <c r="B3492" s="1" t="s">
        <v>4344</v>
      </c>
      <c r="C3492" s="1"/>
      <c r="D3492" s="1"/>
      <c r="E3492" s="1"/>
      <c r="F3492" s="1"/>
      <c r="G3492" s="1"/>
      <c r="H3492" s="1" t="str">
        <f>"7509546045313"</f>
        <v>7509546045313</v>
      </c>
      <c r="I3492" s="3">
        <v>3</v>
      </c>
      <c r="J3492" s="3">
        <v>0</v>
      </c>
      <c r="K3492" s="3">
        <v>2500</v>
      </c>
    </row>
    <row r="3493" spans="1:11" x14ac:dyDescent="0.2">
      <c r="A3493" s="1" t="s">
        <v>4994</v>
      </c>
      <c r="B3493" s="1" t="s">
        <v>4345</v>
      </c>
      <c r="C3493" s="1"/>
      <c r="D3493" s="1"/>
      <c r="E3493" s="1"/>
      <c r="F3493" s="1"/>
      <c r="G3493" s="1"/>
      <c r="H3493" s="1" t="str">
        <f>"7791293051437"</f>
        <v>7791293051437</v>
      </c>
      <c r="I3493" s="3">
        <v>0</v>
      </c>
      <c r="J3493" s="3">
        <v>0</v>
      </c>
      <c r="K3493" s="3">
        <v>2000</v>
      </c>
    </row>
    <row r="3494" spans="1:11" x14ac:dyDescent="0.2">
      <c r="A3494" s="1" t="s">
        <v>4994</v>
      </c>
      <c r="B3494" s="1" t="s">
        <v>4346</v>
      </c>
      <c r="C3494" s="1"/>
      <c r="D3494" s="1"/>
      <c r="E3494" s="1"/>
      <c r="F3494" s="1"/>
      <c r="G3494" s="1"/>
      <c r="H3494" s="1" t="str">
        <f>"7809561400105"</f>
        <v>7809561400105</v>
      </c>
      <c r="I3494" s="3">
        <v>10</v>
      </c>
      <c r="J3494" s="3">
        <v>0</v>
      </c>
      <c r="K3494" s="3">
        <v>17000</v>
      </c>
    </row>
    <row r="3495" spans="1:11" x14ac:dyDescent="0.2">
      <c r="A3495" s="1" t="s">
        <v>4994</v>
      </c>
      <c r="B3495" s="1" t="s">
        <v>4347</v>
      </c>
      <c r="C3495" s="1"/>
      <c r="D3495" s="1"/>
      <c r="E3495" s="1"/>
      <c r="F3495" s="1"/>
      <c r="G3495" s="1"/>
      <c r="H3495" s="1" t="str">
        <f>"7861073970521"</f>
        <v>7861073970521</v>
      </c>
      <c r="I3495" s="3">
        <v>0</v>
      </c>
      <c r="J3495" s="3">
        <v>0</v>
      </c>
      <c r="K3495" s="3">
        <v>32000</v>
      </c>
    </row>
    <row r="3496" spans="1:11" x14ac:dyDescent="0.2">
      <c r="A3496" s="1" t="s">
        <v>4994</v>
      </c>
      <c r="B3496" s="1" t="s">
        <v>4348</v>
      </c>
      <c r="C3496" s="1"/>
      <c r="D3496" s="1"/>
      <c r="E3496" s="1"/>
      <c r="F3496" s="1"/>
      <c r="G3496" s="1"/>
      <c r="H3496" s="1" t="str">
        <f>"9300000000439"</f>
        <v>9300000000439</v>
      </c>
      <c r="I3496" s="3">
        <v>0</v>
      </c>
      <c r="J3496" s="3">
        <v>0</v>
      </c>
      <c r="K3496" s="3">
        <v>3000</v>
      </c>
    </row>
    <row r="3497" spans="1:11" x14ac:dyDescent="0.2">
      <c r="A3497" s="1" t="s">
        <v>4994</v>
      </c>
      <c r="B3497" s="1" t="s">
        <v>4351</v>
      </c>
      <c r="C3497" s="1"/>
      <c r="D3497" s="1"/>
      <c r="E3497" s="1"/>
      <c r="F3497" s="1"/>
      <c r="G3497" s="1"/>
      <c r="H3497" s="1" t="str">
        <f>"7805633022794"</f>
        <v>7805633022794</v>
      </c>
      <c r="I3497" s="3">
        <v>0</v>
      </c>
      <c r="J3497" s="3">
        <v>0</v>
      </c>
      <c r="K3497" s="3">
        <v>4000</v>
      </c>
    </row>
    <row r="3498" spans="1:11" x14ac:dyDescent="0.2">
      <c r="A3498" s="1" t="s">
        <v>4994</v>
      </c>
      <c r="B3498" s="1" t="s">
        <v>4352</v>
      </c>
      <c r="C3498" s="1"/>
      <c r="D3498" s="1"/>
      <c r="E3498" s="1"/>
      <c r="F3498" s="1"/>
      <c r="G3498" s="1"/>
      <c r="H3498" s="1" t="str">
        <f>"7808705400193"</f>
        <v>7808705400193</v>
      </c>
      <c r="I3498" s="3">
        <v>0</v>
      </c>
      <c r="J3498" s="3">
        <v>0</v>
      </c>
      <c r="K3498" s="3">
        <v>4500</v>
      </c>
    </row>
    <row r="3499" spans="1:11" x14ac:dyDescent="0.2">
      <c r="A3499" s="1" t="s">
        <v>4994</v>
      </c>
      <c r="B3499" s="1" t="s">
        <v>4353</v>
      </c>
      <c r="C3499" s="1"/>
      <c r="D3499" s="1"/>
      <c r="E3499" s="1"/>
      <c r="F3499" s="1"/>
      <c r="G3499" s="1"/>
      <c r="H3499" s="1" t="str">
        <f>"7801001003020"</f>
        <v>7801001003020</v>
      </c>
      <c r="I3499" s="3">
        <v>0</v>
      </c>
      <c r="J3499" s="3">
        <v>0</v>
      </c>
      <c r="K3499" s="3">
        <v>5500</v>
      </c>
    </row>
    <row r="3500" spans="1:11" x14ac:dyDescent="0.2">
      <c r="A3500" s="1" t="s">
        <v>4994</v>
      </c>
      <c r="B3500" s="1" t="s">
        <v>4354</v>
      </c>
      <c r="C3500" s="1"/>
      <c r="D3500" s="1"/>
      <c r="E3500" s="1"/>
      <c r="F3500" s="1"/>
      <c r="G3500" s="1"/>
      <c r="H3500" s="1" t="str">
        <f>"6920200224126"</f>
        <v>6920200224126</v>
      </c>
      <c r="I3500" s="3">
        <v>0</v>
      </c>
      <c r="J3500" s="3">
        <v>0</v>
      </c>
      <c r="K3500" s="3">
        <v>3500</v>
      </c>
    </row>
    <row r="3501" spans="1:11" x14ac:dyDescent="0.2">
      <c r="A3501" s="1" t="s">
        <v>4994</v>
      </c>
      <c r="B3501" s="1" t="s">
        <v>4355</v>
      </c>
      <c r="C3501" s="1"/>
      <c r="D3501" s="1"/>
      <c r="E3501" s="1"/>
      <c r="F3501" s="1"/>
      <c r="G3501" s="1"/>
      <c r="H3501" s="1" t="str">
        <f>"7801001002986"</f>
        <v>7801001002986</v>
      </c>
      <c r="I3501" s="3">
        <v>0</v>
      </c>
      <c r="J3501" s="3">
        <v>0</v>
      </c>
      <c r="K3501" s="3">
        <v>6500</v>
      </c>
    </row>
    <row r="3502" spans="1:11" x14ac:dyDescent="0.2">
      <c r="A3502" s="1" t="s">
        <v>4994</v>
      </c>
      <c r="B3502" s="1" t="s">
        <v>4358</v>
      </c>
      <c r="C3502" s="1"/>
      <c r="D3502" s="1"/>
      <c r="E3502" s="1"/>
      <c r="F3502" s="1"/>
      <c r="G3502" s="1"/>
      <c r="H3502" s="1" t="str">
        <f>"7804920006943"</f>
        <v>7804920006943</v>
      </c>
      <c r="I3502" s="3">
        <v>0</v>
      </c>
      <c r="J3502" s="3">
        <v>0</v>
      </c>
      <c r="K3502" s="3">
        <v>2500</v>
      </c>
    </row>
    <row r="3503" spans="1:11" x14ac:dyDescent="0.2">
      <c r="A3503" s="1" t="s">
        <v>4994</v>
      </c>
      <c r="B3503" s="1" t="s">
        <v>4359</v>
      </c>
      <c r="C3503" s="1"/>
      <c r="D3503" s="1"/>
      <c r="E3503" s="1"/>
      <c r="F3503" s="1"/>
      <c r="G3503" s="1"/>
      <c r="H3503" s="1" t="str">
        <f>"7804915011181"</f>
        <v>7804915011181</v>
      </c>
      <c r="I3503" s="3">
        <v>0</v>
      </c>
      <c r="J3503" s="3">
        <v>0</v>
      </c>
      <c r="K3503" s="3">
        <v>3500</v>
      </c>
    </row>
    <row r="3504" spans="1:11" x14ac:dyDescent="0.2">
      <c r="A3504" s="1" t="s">
        <v>4994</v>
      </c>
      <c r="B3504" s="1" t="s">
        <v>4360</v>
      </c>
      <c r="C3504" s="1"/>
      <c r="D3504" s="1"/>
      <c r="E3504" s="1"/>
      <c r="F3504" s="1"/>
      <c r="G3504" s="1"/>
      <c r="H3504" s="1" t="str">
        <f>"100707387023676"</f>
        <v>100707387023676</v>
      </c>
      <c r="I3504" s="3">
        <v>0</v>
      </c>
      <c r="J3504" s="3">
        <v>0</v>
      </c>
      <c r="K3504" s="3">
        <v>1800</v>
      </c>
    </row>
    <row r="3505" spans="1:11" x14ac:dyDescent="0.2">
      <c r="A3505" s="1" t="s">
        <v>4994</v>
      </c>
      <c r="B3505" s="1" t="s">
        <v>4361</v>
      </c>
      <c r="C3505" s="1"/>
      <c r="D3505" s="1"/>
      <c r="E3505" s="1"/>
      <c r="F3505" s="1"/>
      <c r="G3505" s="1"/>
      <c r="H3505" s="1" t="str">
        <f>"7501080912274"</f>
        <v>7501080912274</v>
      </c>
      <c r="I3505" s="3">
        <v>3</v>
      </c>
      <c r="J3505" s="3">
        <v>0</v>
      </c>
      <c r="K3505" s="3">
        <v>15000</v>
      </c>
    </row>
    <row r="3506" spans="1:11" x14ac:dyDescent="0.2">
      <c r="A3506" s="1" t="s">
        <v>4994</v>
      </c>
      <c r="B3506" s="1" t="s">
        <v>4362</v>
      </c>
      <c r="C3506" s="1"/>
      <c r="D3506" s="1"/>
      <c r="E3506" s="1"/>
      <c r="F3506" s="1"/>
      <c r="G3506" s="1"/>
      <c r="H3506" s="1" t="str">
        <f>"7501080954212"</f>
        <v>7501080954212</v>
      </c>
      <c r="I3506" s="3">
        <v>5</v>
      </c>
      <c r="J3506" s="3">
        <v>0</v>
      </c>
      <c r="K3506" s="3">
        <v>15000</v>
      </c>
    </row>
    <row r="3507" spans="1:11" x14ac:dyDescent="0.2">
      <c r="A3507" s="1" t="s">
        <v>4994</v>
      </c>
      <c r="B3507" s="1" t="s">
        <v>4363</v>
      </c>
      <c r="C3507" s="1"/>
      <c r="D3507" s="1"/>
      <c r="E3507" s="1"/>
      <c r="F3507" s="1"/>
      <c r="G3507" s="1"/>
      <c r="H3507" s="1" t="str">
        <f>"7501080912076"</f>
        <v>7501080912076</v>
      </c>
      <c r="I3507" s="3">
        <v>2</v>
      </c>
      <c r="J3507" s="3">
        <v>0</v>
      </c>
      <c r="K3507" s="3">
        <v>16000</v>
      </c>
    </row>
    <row r="3508" spans="1:11" x14ac:dyDescent="0.2">
      <c r="A3508" s="1" t="s">
        <v>4994</v>
      </c>
      <c r="B3508" s="1" t="s">
        <v>4365</v>
      </c>
      <c r="C3508" s="1"/>
      <c r="D3508" s="1"/>
      <c r="E3508" s="1"/>
      <c r="F3508" s="1"/>
      <c r="G3508" s="1"/>
      <c r="H3508" s="1" t="str">
        <f>"9780750310512"</f>
        <v>9780750310512</v>
      </c>
      <c r="I3508" s="3">
        <v>1</v>
      </c>
      <c r="J3508" s="3">
        <v>0</v>
      </c>
      <c r="K3508" s="3">
        <v>8000</v>
      </c>
    </row>
    <row r="3509" spans="1:11" x14ac:dyDescent="0.2">
      <c r="A3509" s="1" t="s">
        <v>4994</v>
      </c>
      <c r="B3509" s="1" t="s">
        <v>4366</v>
      </c>
      <c r="C3509" s="1"/>
      <c r="D3509" s="1"/>
      <c r="E3509" s="1"/>
      <c r="F3509" s="1"/>
      <c r="G3509" s="1"/>
      <c r="H3509" s="1" t="str">
        <f>"7795373001824"</f>
        <v>7795373001824</v>
      </c>
      <c r="I3509" s="3">
        <v>0</v>
      </c>
      <c r="J3509" s="3">
        <v>0</v>
      </c>
      <c r="K3509" s="3">
        <v>20000</v>
      </c>
    </row>
    <row r="3510" spans="1:11" x14ac:dyDescent="0.2">
      <c r="A3510" s="1" t="s">
        <v>4994</v>
      </c>
      <c r="B3510" s="1" t="s">
        <v>4367</v>
      </c>
      <c r="C3510" s="1"/>
      <c r="D3510" s="1"/>
      <c r="E3510" s="1"/>
      <c r="F3510" s="1"/>
      <c r="G3510" s="1"/>
      <c r="H3510" s="1" t="str">
        <f>"7804612011026"</f>
        <v>7804612011026</v>
      </c>
      <c r="I3510" s="3">
        <v>0</v>
      </c>
      <c r="J3510" s="3">
        <v>0</v>
      </c>
      <c r="K3510" s="3">
        <v>10000</v>
      </c>
    </row>
    <row r="3511" spans="1:11" x14ac:dyDescent="0.2">
      <c r="A3511" s="1" t="s">
        <v>4994</v>
      </c>
      <c r="B3511" s="1" t="s">
        <v>4368</v>
      </c>
      <c r="C3511" s="1"/>
      <c r="D3511" s="1"/>
      <c r="E3511" s="1"/>
      <c r="F3511" s="1"/>
      <c r="G3511" s="1"/>
      <c r="H3511" s="1" t="str">
        <f>"5206901000735"</f>
        <v>5206901000735</v>
      </c>
      <c r="I3511" s="3">
        <v>1</v>
      </c>
      <c r="J3511" s="3">
        <v>0</v>
      </c>
      <c r="K3511" s="3">
        <v>18000</v>
      </c>
    </row>
    <row r="3512" spans="1:11" x14ac:dyDescent="0.2">
      <c r="A3512" s="1" t="s">
        <v>4994</v>
      </c>
      <c r="B3512" s="1" t="s">
        <v>4369</v>
      </c>
      <c r="C3512" s="1"/>
      <c r="D3512" s="1"/>
      <c r="E3512" s="1"/>
      <c r="F3512" s="1"/>
      <c r="G3512" s="1"/>
      <c r="H3512" s="1" t="str">
        <f>"5206901000742"</f>
        <v>5206901000742</v>
      </c>
      <c r="I3512" s="3">
        <v>0</v>
      </c>
      <c r="J3512" s="3">
        <v>0</v>
      </c>
      <c r="K3512" s="3">
        <v>20000</v>
      </c>
    </row>
    <row r="3513" spans="1:11" x14ac:dyDescent="0.2">
      <c r="A3513" s="1" t="s">
        <v>4994</v>
      </c>
      <c r="B3513" s="1" t="s">
        <v>4370</v>
      </c>
      <c r="C3513" s="1"/>
      <c r="D3513" s="1"/>
      <c r="E3513" s="1"/>
      <c r="F3513" s="1"/>
      <c r="G3513" s="1"/>
      <c r="H3513" s="1" t="str">
        <f>"7805357001396"</f>
        <v>7805357001396</v>
      </c>
      <c r="I3513" s="3">
        <v>0</v>
      </c>
      <c r="J3513" s="3">
        <v>0</v>
      </c>
      <c r="K3513" s="3">
        <v>600</v>
      </c>
    </row>
    <row r="3514" spans="1:11" x14ac:dyDescent="0.2">
      <c r="A3514" s="1" t="s">
        <v>4994</v>
      </c>
      <c r="B3514" s="1" t="s">
        <v>4373</v>
      </c>
      <c r="C3514" s="1"/>
      <c r="D3514" s="1"/>
      <c r="E3514" s="1"/>
      <c r="F3514" s="1"/>
      <c r="G3514" s="1"/>
      <c r="H3514" s="1" t="str">
        <f>"7501125100130"</f>
        <v>7501125100130</v>
      </c>
      <c r="I3514" s="3">
        <v>48</v>
      </c>
      <c r="J3514" s="3">
        <v>0</v>
      </c>
      <c r="K3514" s="3">
        <v>2000</v>
      </c>
    </row>
    <row r="3515" spans="1:11" x14ac:dyDescent="0.2">
      <c r="A3515" s="1" t="s">
        <v>4994</v>
      </c>
      <c r="B3515" s="1" t="s">
        <v>4378</v>
      </c>
      <c r="C3515" s="1"/>
      <c r="D3515" s="1"/>
      <c r="E3515" s="1"/>
      <c r="F3515" s="1"/>
      <c r="G3515" s="1"/>
      <c r="H3515" s="1" t="str">
        <f>"7804651935574"</f>
        <v>7804651935574</v>
      </c>
      <c r="I3515" s="3">
        <v>7</v>
      </c>
      <c r="J3515" s="3">
        <v>0</v>
      </c>
      <c r="K3515" s="3">
        <v>2500</v>
      </c>
    </row>
    <row r="3516" spans="1:11" x14ac:dyDescent="0.2">
      <c r="A3516" s="1" t="s">
        <v>4994</v>
      </c>
      <c r="B3516" s="1" t="s">
        <v>4380</v>
      </c>
      <c r="C3516" s="1"/>
      <c r="D3516" s="1"/>
      <c r="E3516" s="1"/>
      <c r="F3516" s="1"/>
      <c r="G3516" s="1"/>
      <c r="H3516" s="1" t="str">
        <f>"7804651931927"</f>
        <v>7804651931927</v>
      </c>
      <c r="I3516" s="3">
        <v>3</v>
      </c>
      <c r="J3516" s="3">
        <v>0</v>
      </c>
      <c r="K3516" s="3">
        <v>2500</v>
      </c>
    </row>
    <row r="3517" spans="1:11" x14ac:dyDescent="0.2">
      <c r="A3517" s="1" t="s">
        <v>4994</v>
      </c>
      <c r="B3517" s="1" t="s">
        <v>4382</v>
      </c>
      <c r="C3517" s="1"/>
      <c r="D3517" s="1"/>
      <c r="E3517" s="1"/>
      <c r="F3517" s="1"/>
      <c r="G3517" s="1"/>
      <c r="H3517" s="1" t="str">
        <f>"7804640560497"</f>
        <v>7804640560497</v>
      </c>
      <c r="I3517" s="3">
        <v>0</v>
      </c>
      <c r="J3517" s="3">
        <v>0</v>
      </c>
      <c r="K3517" s="3">
        <v>5500</v>
      </c>
    </row>
    <row r="3518" spans="1:11" x14ac:dyDescent="0.2">
      <c r="A3518" s="1" t="s">
        <v>4994</v>
      </c>
      <c r="B3518" s="1" t="s">
        <v>4383</v>
      </c>
      <c r="C3518" s="1"/>
      <c r="D3518" s="1"/>
      <c r="E3518" s="1"/>
      <c r="F3518" s="1"/>
      <c r="G3518" s="1"/>
      <c r="H3518" s="1" t="str">
        <f>"7800044001994"</f>
        <v>7800044001994</v>
      </c>
      <c r="I3518" s="3">
        <v>0</v>
      </c>
      <c r="J3518" s="3">
        <v>0</v>
      </c>
      <c r="K3518" s="3">
        <v>1000</v>
      </c>
    </row>
    <row r="3519" spans="1:11" x14ac:dyDescent="0.2">
      <c r="A3519" s="1" t="s">
        <v>4994</v>
      </c>
      <c r="B3519" s="1" t="s">
        <v>4384</v>
      </c>
      <c r="C3519" s="1"/>
      <c r="D3519" s="1"/>
      <c r="E3519" s="1"/>
      <c r="F3519" s="1"/>
      <c r="G3519" s="1"/>
      <c r="H3519" s="1" t="str">
        <f>"2000110424572"</f>
        <v>2000110424572</v>
      </c>
      <c r="I3519" s="3">
        <v>0</v>
      </c>
      <c r="J3519" s="3">
        <v>0</v>
      </c>
      <c r="K3519" s="3">
        <v>4000</v>
      </c>
    </row>
    <row r="3520" spans="1:11" x14ac:dyDescent="0.2">
      <c r="A3520" s="1" t="s">
        <v>4994</v>
      </c>
      <c r="B3520" s="1" t="s">
        <v>4387</v>
      </c>
      <c r="C3520" s="1"/>
      <c r="D3520" s="1"/>
      <c r="E3520" s="1"/>
      <c r="F3520" s="1"/>
      <c r="G3520" s="1"/>
      <c r="H3520" s="1" t="str">
        <f>"7809591400359"</f>
        <v>7809591400359</v>
      </c>
      <c r="I3520" s="3">
        <v>0</v>
      </c>
      <c r="J3520" s="3">
        <v>0</v>
      </c>
      <c r="K3520" s="3">
        <v>18000</v>
      </c>
    </row>
    <row r="3521" spans="1:11" x14ac:dyDescent="0.2">
      <c r="A3521" s="1" t="s">
        <v>4994</v>
      </c>
      <c r="B3521" s="1" t="s">
        <v>4389</v>
      </c>
      <c r="C3521" s="1"/>
      <c r="D3521" s="1"/>
      <c r="E3521" s="1"/>
      <c r="F3521" s="1"/>
      <c r="G3521" s="1"/>
      <c r="H3521" s="1" t="str">
        <f>"7800005064020"</f>
        <v>7800005064020</v>
      </c>
      <c r="I3521" s="3">
        <v>10</v>
      </c>
      <c r="J3521" s="3">
        <v>0</v>
      </c>
      <c r="K3521" s="3">
        <v>5000</v>
      </c>
    </row>
    <row r="3522" spans="1:11" x14ac:dyDescent="0.2">
      <c r="A3522" s="1" t="s">
        <v>4994</v>
      </c>
      <c r="B3522" s="1" t="s">
        <v>4390</v>
      </c>
      <c r="C3522" s="1"/>
      <c r="D3522" s="1"/>
      <c r="E3522" s="1"/>
      <c r="F3522" s="1"/>
      <c r="G3522" s="1"/>
      <c r="H3522" s="1" t="str">
        <f>"7800006004933"</f>
        <v>7800006004933</v>
      </c>
      <c r="I3522" s="3">
        <v>6</v>
      </c>
      <c r="J3522" s="3">
        <v>0</v>
      </c>
      <c r="K3522" s="3">
        <v>5000</v>
      </c>
    </row>
    <row r="3523" spans="1:11" x14ac:dyDescent="0.2">
      <c r="A3523" s="1" t="s">
        <v>4994</v>
      </c>
      <c r="B3523" s="1" t="s">
        <v>4392</v>
      </c>
      <c r="C3523" s="1"/>
      <c r="D3523" s="1"/>
      <c r="E3523" s="1"/>
      <c r="F3523" s="1"/>
      <c r="G3523" s="1"/>
      <c r="H3523" s="1" t="str">
        <f>"7800044000058"</f>
        <v>7800044000058</v>
      </c>
      <c r="I3523" s="3">
        <v>0</v>
      </c>
      <c r="J3523" s="3">
        <v>0</v>
      </c>
      <c r="K3523" s="3">
        <v>2000</v>
      </c>
    </row>
    <row r="3524" spans="1:11" x14ac:dyDescent="0.2">
      <c r="A3524" s="1" t="s">
        <v>4994</v>
      </c>
      <c r="B3524" s="1" t="s">
        <v>4393</v>
      </c>
      <c r="C3524" s="1"/>
      <c r="D3524" s="1"/>
      <c r="E3524" s="1"/>
      <c r="F3524" s="1"/>
      <c r="G3524" s="1"/>
      <c r="H3524" s="1" t="str">
        <f>"7800044000072"</f>
        <v>7800044000072</v>
      </c>
      <c r="I3524" s="3">
        <v>0</v>
      </c>
      <c r="J3524" s="3">
        <v>0</v>
      </c>
      <c r="K3524" s="3">
        <v>2000</v>
      </c>
    </row>
    <row r="3525" spans="1:11" x14ac:dyDescent="0.2">
      <c r="A3525" s="1" t="s">
        <v>4994</v>
      </c>
      <c r="B3525" s="1" t="s">
        <v>4394</v>
      </c>
      <c r="C3525" s="1"/>
      <c r="D3525" s="1"/>
      <c r="E3525" s="1"/>
      <c r="F3525" s="1"/>
      <c r="G3525" s="1"/>
      <c r="H3525" s="1" t="str">
        <f>"7800044000010"</f>
        <v>7800044000010</v>
      </c>
      <c r="I3525" s="3">
        <v>0</v>
      </c>
      <c r="J3525" s="3">
        <v>0</v>
      </c>
      <c r="K3525" s="3">
        <v>2800</v>
      </c>
    </row>
    <row r="3526" spans="1:11" x14ac:dyDescent="0.2">
      <c r="A3526" s="1" t="s">
        <v>4994</v>
      </c>
      <c r="B3526" s="1" t="s">
        <v>4395</v>
      </c>
      <c r="C3526" s="1"/>
      <c r="D3526" s="1"/>
      <c r="E3526" s="1"/>
      <c r="F3526" s="1"/>
      <c r="G3526" s="1"/>
      <c r="H3526" s="1" t="str">
        <f>"7750327000094"</f>
        <v>7750327000094</v>
      </c>
      <c r="I3526" s="3">
        <v>4</v>
      </c>
      <c r="J3526" s="3">
        <v>0</v>
      </c>
      <c r="K3526" s="3">
        <v>20000</v>
      </c>
    </row>
    <row r="3527" spans="1:11" x14ac:dyDescent="0.2">
      <c r="A3527" s="1" t="s">
        <v>4994</v>
      </c>
      <c r="B3527" s="1" t="s">
        <v>4396</v>
      </c>
      <c r="C3527" s="1"/>
      <c r="D3527" s="1"/>
      <c r="E3527" s="1"/>
      <c r="F3527" s="1"/>
      <c r="G3527" s="1"/>
      <c r="H3527" s="1" t="str">
        <f>"7793640558637"</f>
        <v>7793640558637</v>
      </c>
      <c r="I3527" s="3">
        <v>2</v>
      </c>
      <c r="J3527" s="3">
        <v>0</v>
      </c>
      <c r="K3527" s="3">
        <v>11000</v>
      </c>
    </row>
    <row r="3528" spans="1:11" x14ac:dyDescent="0.2">
      <c r="A3528" s="1" t="s">
        <v>4994</v>
      </c>
      <c r="B3528" s="1" t="s">
        <v>4397</v>
      </c>
      <c r="C3528" s="1"/>
      <c r="D3528" s="1"/>
      <c r="E3528" s="1"/>
      <c r="F3528" s="1"/>
      <c r="G3528" s="1"/>
      <c r="H3528" s="1" t="str">
        <f>"7861152100801"</f>
        <v>7861152100801</v>
      </c>
      <c r="I3528" s="3">
        <v>5</v>
      </c>
      <c r="J3528" s="3">
        <v>0</v>
      </c>
      <c r="K3528" s="3">
        <v>65000</v>
      </c>
    </row>
    <row r="3529" spans="1:11" x14ac:dyDescent="0.2">
      <c r="A3529" s="1" t="s">
        <v>4994</v>
      </c>
      <c r="B3529" s="1" t="s">
        <v>4398</v>
      </c>
      <c r="C3529" s="1"/>
      <c r="D3529" s="1"/>
      <c r="E3529" s="1"/>
      <c r="F3529" s="1"/>
      <c r="G3529" s="1"/>
      <c r="H3529" s="1" t="str">
        <f>"7809591402445"</f>
        <v>7809591402445</v>
      </c>
      <c r="I3529" s="3">
        <v>6</v>
      </c>
      <c r="J3529" s="3">
        <v>0</v>
      </c>
      <c r="K3529" s="3">
        <v>23000</v>
      </c>
    </row>
    <row r="3530" spans="1:11" x14ac:dyDescent="0.2">
      <c r="A3530" s="1" t="s">
        <v>4994</v>
      </c>
      <c r="B3530" s="1" t="s">
        <v>4399</v>
      </c>
      <c r="C3530" s="1"/>
      <c r="D3530" s="1"/>
      <c r="E3530" s="1"/>
      <c r="F3530" s="1"/>
      <c r="G3530" s="1"/>
      <c r="H3530" s="1" t="str">
        <f>"7805633028932"</f>
        <v>7805633028932</v>
      </c>
      <c r="I3530" s="3">
        <v>0</v>
      </c>
      <c r="J3530" s="3">
        <v>0</v>
      </c>
      <c r="K3530" s="3">
        <v>6000</v>
      </c>
    </row>
    <row r="3531" spans="1:11" x14ac:dyDescent="0.2">
      <c r="A3531" s="1" t="s">
        <v>4994</v>
      </c>
      <c r="B3531" s="1" t="s">
        <v>4400</v>
      </c>
      <c r="C3531" s="1"/>
      <c r="D3531" s="1"/>
      <c r="E3531" s="1"/>
      <c r="F3531" s="1"/>
      <c r="G3531" s="1"/>
      <c r="H3531" s="1" t="str">
        <f>"7800068017469"</f>
        <v>7800068017469</v>
      </c>
      <c r="I3531" s="3">
        <v>0</v>
      </c>
      <c r="J3531" s="3">
        <v>0</v>
      </c>
      <c r="K3531" s="3">
        <v>14000</v>
      </c>
    </row>
    <row r="3532" spans="1:11" x14ac:dyDescent="0.2">
      <c r="A3532" s="1" t="s">
        <v>4994</v>
      </c>
      <c r="B3532" s="1" t="s">
        <v>4401</v>
      </c>
      <c r="C3532" s="1"/>
      <c r="D3532" s="1"/>
      <c r="E3532" s="1"/>
      <c r="F3532" s="1"/>
      <c r="G3532" s="1"/>
      <c r="H3532" s="1" t="str">
        <f>"7861148020724"</f>
        <v>7861148020724</v>
      </c>
      <c r="I3532" s="3">
        <v>0</v>
      </c>
      <c r="J3532" s="3">
        <v>0</v>
      </c>
      <c r="K3532" s="3">
        <v>15000</v>
      </c>
    </row>
    <row r="3533" spans="1:11" x14ac:dyDescent="0.2">
      <c r="A3533" s="1" t="s">
        <v>4994</v>
      </c>
      <c r="B3533" s="1" t="s">
        <v>4402</v>
      </c>
      <c r="C3533" s="1"/>
      <c r="D3533" s="1"/>
      <c r="E3533" s="1"/>
      <c r="F3533" s="1"/>
      <c r="G3533" s="1"/>
      <c r="H3533" s="1" t="str">
        <f>"7861148022285"</f>
        <v>7861148022285</v>
      </c>
      <c r="I3533" s="3">
        <v>0</v>
      </c>
      <c r="J3533" s="3">
        <v>0</v>
      </c>
      <c r="K3533" s="3">
        <v>8000</v>
      </c>
    </row>
    <row r="3534" spans="1:11" x14ac:dyDescent="0.2">
      <c r="A3534" s="1" t="s">
        <v>4994</v>
      </c>
      <c r="B3534" s="1" t="s">
        <v>4403</v>
      </c>
      <c r="C3534" s="1"/>
      <c r="D3534" s="1"/>
      <c r="E3534" s="1"/>
      <c r="F3534" s="1"/>
      <c r="G3534" s="1"/>
      <c r="H3534" s="1" t="str">
        <f>"300651510577"</f>
        <v>300651510577</v>
      </c>
      <c r="I3534" s="3">
        <v>1</v>
      </c>
      <c r="J3534" s="3">
        <v>0</v>
      </c>
      <c r="K3534" s="3">
        <v>27000</v>
      </c>
    </row>
    <row r="3535" spans="1:11" x14ac:dyDescent="0.2">
      <c r="A3535" s="1" t="s">
        <v>4994</v>
      </c>
      <c r="B3535" s="1" t="s">
        <v>4404</v>
      </c>
      <c r="C3535" s="1"/>
      <c r="D3535" s="1"/>
      <c r="E3535" s="1"/>
      <c r="F3535" s="1"/>
      <c r="G3535" s="1"/>
      <c r="H3535" s="1" t="str">
        <f>"300651431681"</f>
        <v>300651431681</v>
      </c>
      <c r="I3535" s="3">
        <v>7</v>
      </c>
      <c r="J3535" s="3">
        <v>0</v>
      </c>
      <c r="K3535" s="3">
        <v>28000</v>
      </c>
    </row>
    <row r="3536" spans="1:11" x14ac:dyDescent="0.2">
      <c r="A3536" s="1" t="s">
        <v>4994</v>
      </c>
      <c r="B3536" s="1" t="s">
        <v>4405</v>
      </c>
      <c r="C3536" s="1"/>
      <c r="D3536" s="1"/>
      <c r="E3536" s="1"/>
      <c r="F3536" s="1"/>
      <c r="G3536" s="1"/>
      <c r="H3536" s="1" t="str">
        <f>"300651507966"</f>
        <v>300651507966</v>
      </c>
      <c r="I3536" s="3">
        <v>6</v>
      </c>
      <c r="J3536" s="3">
        <v>0</v>
      </c>
      <c r="K3536" s="3">
        <v>27000</v>
      </c>
    </row>
    <row r="3537" spans="1:11" x14ac:dyDescent="0.2">
      <c r="A3537" s="1" t="s">
        <v>4994</v>
      </c>
      <c r="B3537" s="1" t="s">
        <v>4406</v>
      </c>
      <c r="C3537" s="1"/>
      <c r="D3537" s="1"/>
      <c r="E3537" s="1"/>
      <c r="F3537" s="1"/>
      <c r="G3537" s="1"/>
      <c r="H3537" s="1" t="str">
        <f>"7800044001833"</f>
        <v>7800044001833</v>
      </c>
      <c r="I3537" s="3">
        <v>0</v>
      </c>
      <c r="J3537" s="3">
        <v>0</v>
      </c>
      <c r="K3537" s="3">
        <v>500</v>
      </c>
    </row>
    <row r="3538" spans="1:11" x14ac:dyDescent="0.2">
      <c r="A3538" s="1" t="s">
        <v>4994</v>
      </c>
      <c r="B3538" s="1" t="s">
        <v>4408</v>
      </c>
      <c r="C3538" s="1"/>
      <c r="D3538" s="1"/>
      <c r="E3538" s="1"/>
      <c r="F3538" s="1"/>
      <c r="G3538" s="1"/>
      <c r="H3538" s="1" t="str">
        <f>"7800028001521"</f>
        <v>7800028001521</v>
      </c>
      <c r="I3538" s="3">
        <v>0</v>
      </c>
      <c r="J3538" s="3">
        <v>0</v>
      </c>
      <c r="K3538" s="3">
        <v>9000</v>
      </c>
    </row>
    <row r="3539" spans="1:11" x14ac:dyDescent="0.2">
      <c r="A3539" s="1" t="s">
        <v>4994</v>
      </c>
      <c r="B3539" s="1" t="s">
        <v>4411</v>
      </c>
      <c r="C3539" s="1"/>
      <c r="D3539" s="1"/>
      <c r="E3539" s="1"/>
      <c r="F3539" s="1"/>
      <c r="G3539" s="1"/>
      <c r="H3539" s="1" t="str">
        <f>"8903726251317"</f>
        <v>8903726251317</v>
      </c>
      <c r="I3539" s="3">
        <v>0</v>
      </c>
      <c r="J3539" s="3">
        <v>0</v>
      </c>
      <c r="K3539" s="3">
        <v>8000</v>
      </c>
    </row>
    <row r="3540" spans="1:11" x14ac:dyDescent="0.2">
      <c r="A3540" s="1" t="s">
        <v>4994</v>
      </c>
      <c r="B3540" s="1" t="s">
        <v>4412</v>
      </c>
      <c r="C3540" s="1"/>
      <c r="D3540" s="1"/>
      <c r="E3540" s="1"/>
      <c r="F3540" s="1"/>
      <c r="G3540" s="1"/>
      <c r="H3540" s="1" t="str">
        <f>"8903726251300"</f>
        <v>8903726251300</v>
      </c>
      <c r="I3540" s="3">
        <v>0</v>
      </c>
      <c r="J3540" s="3">
        <v>0</v>
      </c>
      <c r="K3540" s="3">
        <v>8500</v>
      </c>
    </row>
    <row r="3541" spans="1:11" x14ac:dyDescent="0.2">
      <c r="A3541" s="1" t="s">
        <v>4994</v>
      </c>
      <c r="B3541" s="1" t="s">
        <v>4413</v>
      </c>
      <c r="C3541" s="1"/>
      <c r="D3541" s="1"/>
      <c r="E3541" s="1"/>
      <c r="F3541" s="1"/>
      <c r="G3541" s="1"/>
      <c r="H3541" s="1" t="str">
        <f>"7800028003594"</f>
        <v>7800028003594</v>
      </c>
      <c r="I3541" s="3">
        <v>0</v>
      </c>
      <c r="J3541" s="3">
        <v>0</v>
      </c>
      <c r="K3541" s="3">
        <v>9500</v>
      </c>
    </row>
    <row r="3542" spans="1:11" x14ac:dyDescent="0.2">
      <c r="A3542" s="1" t="s">
        <v>4994</v>
      </c>
      <c r="B3542" s="1" t="s">
        <v>4414</v>
      </c>
      <c r="C3542" s="1"/>
      <c r="D3542" s="1"/>
      <c r="E3542" s="1"/>
      <c r="F3542" s="1"/>
      <c r="G3542" s="1"/>
      <c r="H3542" s="1" t="str">
        <f>"7804907995581"</f>
        <v>7804907995581</v>
      </c>
      <c r="I3542" s="3">
        <v>0</v>
      </c>
      <c r="J3542" s="3">
        <v>0</v>
      </c>
      <c r="K3542" s="3">
        <v>7500</v>
      </c>
    </row>
    <row r="3543" spans="1:11" x14ac:dyDescent="0.2">
      <c r="A3543" s="1" t="s">
        <v>4994</v>
      </c>
      <c r="B3543" s="1" t="s">
        <v>4415</v>
      </c>
      <c r="C3543" s="1"/>
      <c r="D3543" s="1"/>
      <c r="E3543" s="1"/>
      <c r="F3543" s="1"/>
      <c r="G3543" s="1"/>
      <c r="H3543" s="1" t="str">
        <f>"7804969116009"</f>
        <v>7804969116009</v>
      </c>
      <c r="I3543" s="3">
        <v>0</v>
      </c>
      <c r="J3543" s="3">
        <v>0</v>
      </c>
      <c r="K3543" s="3">
        <v>4000</v>
      </c>
    </row>
    <row r="3544" spans="1:11" x14ac:dyDescent="0.2">
      <c r="A3544" s="1" t="s">
        <v>4994</v>
      </c>
      <c r="B3544" s="1" t="s">
        <v>4416</v>
      </c>
      <c r="C3544" s="1"/>
      <c r="D3544" s="1"/>
      <c r="E3544" s="1"/>
      <c r="F3544" s="1"/>
      <c r="G3544" s="1"/>
      <c r="H3544" s="1" t="str">
        <f>"7804945001268"</f>
        <v>7804945001268</v>
      </c>
      <c r="I3544" s="3">
        <v>1</v>
      </c>
      <c r="J3544" s="3">
        <v>0</v>
      </c>
      <c r="K3544" s="3">
        <v>3500</v>
      </c>
    </row>
    <row r="3545" spans="1:11" x14ac:dyDescent="0.2">
      <c r="A3545" s="1" t="s">
        <v>4994</v>
      </c>
      <c r="B3545" s="1" t="s">
        <v>4417</v>
      </c>
      <c r="C3545" s="1"/>
      <c r="D3545" s="1"/>
      <c r="E3545" s="1"/>
      <c r="F3545" s="1"/>
      <c r="G3545" s="1"/>
      <c r="H3545" s="1" t="str">
        <f>"7805633019183"</f>
        <v>7805633019183</v>
      </c>
      <c r="I3545" s="3">
        <v>0</v>
      </c>
      <c r="J3545" s="3">
        <v>0</v>
      </c>
      <c r="K3545" s="3">
        <v>1000</v>
      </c>
    </row>
    <row r="3546" spans="1:11" x14ac:dyDescent="0.2">
      <c r="A3546" s="1" t="s">
        <v>4994</v>
      </c>
      <c r="B3546" s="1" t="s">
        <v>4418</v>
      </c>
      <c r="C3546" s="1"/>
      <c r="D3546" s="1"/>
      <c r="E3546" s="1"/>
      <c r="F3546" s="1"/>
      <c r="G3546" s="1"/>
      <c r="H3546" s="1" t="str">
        <f>"7800018174976"</f>
        <v>7800018174976</v>
      </c>
      <c r="I3546" s="3">
        <v>2</v>
      </c>
      <c r="J3546" s="3">
        <v>0</v>
      </c>
      <c r="K3546" s="3">
        <v>6000</v>
      </c>
    </row>
    <row r="3547" spans="1:11" x14ac:dyDescent="0.2">
      <c r="A3547" s="1" t="s">
        <v>4994</v>
      </c>
      <c r="B3547" s="1" t="s">
        <v>4419</v>
      </c>
      <c r="C3547" s="1"/>
      <c r="D3547" s="1"/>
      <c r="E3547" s="1"/>
      <c r="F3547" s="1"/>
      <c r="G3547" s="1"/>
      <c r="H3547" s="1" t="str">
        <f>"7800018131542"</f>
        <v>7800018131542</v>
      </c>
      <c r="I3547" s="3">
        <v>0</v>
      </c>
      <c r="J3547" s="3">
        <v>0</v>
      </c>
      <c r="K3547" s="3">
        <v>4000</v>
      </c>
    </row>
    <row r="3548" spans="1:11" x14ac:dyDescent="0.2">
      <c r="A3548" s="1" t="s">
        <v>4994</v>
      </c>
      <c r="B3548" s="1" t="s">
        <v>4420</v>
      </c>
      <c r="C3548" s="1"/>
      <c r="D3548" s="1"/>
      <c r="E3548" s="1"/>
      <c r="F3548" s="1"/>
      <c r="G3548" s="1"/>
      <c r="H3548" s="1" t="str">
        <f>"7804945007802"</f>
        <v>7804945007802</v>
      </c>
      <c r="I3548" s="3">
        <v>0</v>
      </c>
      <c r="J3548" s="3">
        <v>0</v>
      </c>
      <c r="K3548" s="3">
        <v>2000</v>
      </c>
    </row>
    <row r="3549" spans="1:11" x14ac:dyDescent="0.2">
      <c r="A3549" s="1" t="s">
        <v>4994</v>
      </c>
      <c r="B3549" s="1" t="s">
        <v>4421</v>
      </c>
      <c r="C3549" s="1"/>
      <c r="D3549" s="1"/>
      <c r="E3549" s="1"/>
      <c r="F3549" s="1"/>
      <c r="G3549" s="1"/>
      <c r="H3549" s="1" t="str">
        <f>"7804945007819"</f>
        <v>7804945007819</v>
      </c>
      <c r="I3549" s="3">
        <v>4</v>
      </c>
      <c r="J3549" s="3">
        <v>0</v>
      </c>
      <c r="K3549" s="3">
        <v>3000</v>
      </c>
    </row>
    <row r="3550" spans="1:11" x14ac:dyDescent="0.2">
      <c r="A3550" s="1" t="s">
        <v>4994</v>
      </c>
      <c r="B3550" s="1" t="s">
        <v>4422</v>
      </c>
      <c r="C3550" s="1"/>
      <c r="D3550" s="1"/>
      <c r="E3550" s="1"/>
      <c r="F3550" s="1"/>
      <c r="G3550" s="1"/>
      <c r="H3550" s="1" t="str">
        <f>"7804902033134"</f>
        <v>7804902033134</v>
      </c>
      <c r="I3550" s="3">
        <v>0</v>
      </c>
      <c r="J3550" s="3">
        <v>0</v>
      </c>
      <c r="K3550" s="3">
        <v>2000</v>
      </c>
    </row>
    <row r="3551" spans="1:11" x14ac:dyDescent="0.2">
      <c r="A3551" s="1" t="s">
        <v>4994</v>
      </c>
      <c r="B3551" s="1" t="s">
        <v>4423</v>
      </c>
      <c r="C3551" s="1"/>
      <c r="D3551" s="1"/>
      <c r="E3551" s="1"/>
      <c r="F3551" s="1"/>
      <c r="G3551" s="1"/>
      <c r="H3551" s="1" t="str">
        <f>"7804902027294"</f>
        <v>7804902027294</v>
      </c>
      <c r="I3551" s="3">
        <v>0</v>
      </c>
      <c r="J3551" s="3">
        <v>0</v>
      </c>
      <c r="K3551" s="3">
        <v>2000</v>
      </c>
    </row>
    <row r="3552" spans="1:11" x14ac:dyDescent="0.2">
      <c r="A3552" s="1" t="s">
        <v>4994</v>
      </c>
      <c r="B3552" s="1" t="s">
        <v>4424</v>
      </c>
      <c r="C3552" s="1"/>
      <c r="D3552" s="1"/>
      <c r="E3552" s="1"/>
      <c r="F3552" s="1"/>
      <c r="G3552" s="1"/>
      <c r="H3552" s="1" t="str">
        <f>"7800028002597"</f>
        <v>7800028002597</v>
      </c>
      <c r="I3552" s="3">
        <v>0</v>
      </c>
      <c r="J3552" s="3">
        <v>0</v>
      </c>
      <c r="K3552" s="3">
        <v>5500</v>
      </c>
    </row>
    <row r="3553" spans="1:11" x14ac:dyDescent="0.2">
      <c r="A3553" s="1" t="s">
        <v>4994</v>
      </c>
      <c r="B3553" s="1" t="s">
        <v>4425</v>
      </c>
      <c r="C3553" s="1"/>
      <c r="D3553" s="1"/>
      <c r="E3553" s="1"/>
      <c r="F3553" s="1"/>
      <c r="G3553" s="1"/>
      <c r="H3553" s="1" t="str">
        <f>"7804650885481"</f>
        <v>7804650885481</v>
      </c>
      <c r="I3553" s="3">
        <v>0</v>
      </c>
      <c r="J3553" s="3">
        <v>0</v>
      </c>
      <c r="K3553" s="3">
        <v>2000</v>
      </c>
    </row>
    <row r="3554" spans="1:11" x14ac:dyDescent="0.2">
      <c r="A3554" s="1" t="s">
        <v>4994</v>
      </c>
      <c r="B3554" s="1" t="s">
        <v>4426</v>
      </c>
      <c r="C3554" s="1"/>
      <c r="D3554" s="1"/>
      <c r="E3554" s="1"/>
      <c r="F3554" s="1"/>
      <c r="G3554" s="1"/>
      <c r="H3554" s="1" t="str">
        <f>"7792371382863"</f>
        <v>7792371382863</v>
      </c>
      <c r="I3554" s="3">
        <v>4</v>
      </c>
      <c r="J3554" s="3">
        <v>0</v>
      </c>
      <c r="K3554" s="3">
        <v>45000</v>
      </c>
    </row>
    <row r="3555" spans="1:11" x14ac:dyDescent="0.2">
      <c r="A3555" s="1" t="s">
        <v>4994</v>
      </c>
      <c r="B3555" s="1" t="s">
        <v>4427</v>
      </c>
      <c r="C3555" s="1"/>
      <c r="D3555" s="1"/>
      <c r="E3555" s="1"/>
      <c r="F3555" s="1"/>
      <c r="G3555" s="1"/>
      <c r="H3555" s="1" t="str">
        <f>"7506295369387"</f>
        <v>7506295369387</v>
      </c>
      <c r="I3555" s="3">
        <v>0</v>
      </c>
      <c r="J3555" s="3">
        <v>0</v>
      </c>
      <c r="K3555" s="3">
        <v>3000</v>
      </c>
    </row>
    <row r="3556" spans="1:11" x14ac:dyDescent="0.2">
      <c r="A3556" s="1" t="s">
        <v>4994</v>
      </c>
      <c r="B3556" s="1" t="s">
        <v>4428</v>
      </c>
      <c r="C3556" s="1"/>
      <c r="D3556" s="1"/>
      <c r="E3556" s="1"/>
      <c r="F3556" s="1"/>
      <c r="G3556" s="1"/>
      <c r="H3556" s="1" t="str">
        <f>"7702027435508"</f>
        <v>7702027435508</v>
      </c>
      <c r="I3556" s="3">
        <v>0</v>
      </c>
      <c r="J3556" s="3">
        <v>0</v>
      </c>
      <c r="K3556" s="3">
        <v>3990</v>
      </c>
    </row>
    <row r="3557" spans="1:11" x14ac:dyDescent="0.2">
      <c r="A3557" s="1" t="s">
        <v>4994</v>
      </c>
      <c r="B3557" s="1" t="s">
        <v>4429</v>
      </c>
      <c r="C3557" s="1"/>
      <c r="D3557" s="1"/>
      <c r="E3557" s="1"/>
      <c r="F3557" s="1"/>
      <c r="G3557" s="1"/>
      <c r="H3557" s="1" t="str">
        <f>"7702026147198"</f>
        <v>7702026147198</v>
      </c>
      <c r="I3557" s="3">
        <v>7</v>
      </c>
      <c r="J3557" s="3">
        <v>0</v>
      </c>
      <c r="K3557" s="3">
        <v>3500</v>
      </c>
    </row>
    <row r="3558" spans="1:11" x14ac:dyDescent="0.2">
      <c r="A3558" s="1" t="s">
        <v>4994</v>
      </c>
      <c r="B3558" s="1" t="s">
        <v>4431</v>
      </c>
      <c r="C3558" s="1"/>
      <c r="D3558" s="1"/>
      <c r="E3558" s="1"/>
      <c r="F3558" s="1"/>
      <c r="G3558" s="1"/>
      <c r="H3558" s="1" t="str">
        <f>"8901463126288"</f>
        <v>8901463126288</v>
      </c>
      <c r="I3558" s="3">
        <v>0</v>
      </c>
      <c r="J3558" s="3">
        <v>0</v>
      </c>
      <c r="K3558" s="3">
        <v>3000</v>
      </c>
    </row>
    <row r="3559" spans="1:11" x14ac:dyDescent="0.2">
      <c r="A3559" s="1" t="s">
        <v>4994</v>
      </c>
      <c r="B3559" s="1" t="s">
        <v>4433</v>
      </c>
      <c r="C3559" s="1"/>
      <c r="D3559" s="1"/>
      <c r="E3559" s="1"/>
      <c r="F3559" s="1"/>
      <c r="G3559" s="1"/>
      <c r="H3559" s="1" t="str">
        <f>"7800004003037"</f>
        <v>7800004003037</v>
      </c>
      <c r="I3559" s="3">
        <v>7</v>
      </c>
      <c r="J3559" s="3">
        <v>0</v>
      </c>
      <c r="K3559" s="3">
        <v>2000</v>
      </c>
    </row>
    <row r="3560" spans="1:11" x14ac:dyDescent="0.2">
      <c r="A3560" s="1" t="s">
        <v>4994</v>
      </c>
      <c r="B3560" s="1" t="s">
        <v>4434</v>
      </c>
      <c r="C3560" s="1"/>
      <c r="D3560" s="1"/>
      <c r="E3560" s="1"/>
      <c r="F3560" s="1"/>
      <c r="G3560" s="1"/>
      <c r="H3560" s="1" t="str">
        <f>"8903726310410"</f>
        <v>8903726310410</v>
      </c>
      <c r="I3560" s="3">
        <v>0</v>
      </c>
      <c r="J3560" s="3">
        <v>0</v>
      </c>
      <c r="K3560" s="3">
        <v>6000</v>
      </c>
    </row>
    <row r="3561" spans="1:11" x14ac:dyDescent="0.2">
      <c r="A3561" s="1" t="s">
        <v>4994</v>
      </c>
      <c r="B3561" s="1" t="s">
        <v>4435</v>
      </c>
      <c r="C3561" s="1"/>
      <c r="D3561" s="1"/>
      <c r="E3561" s="1"/>
      <c r="F3561" s="1"/>
      <c r="G3561" s="1"/>
      <c r="H3561" s="1" t="str">
        <f>"8903726310403"</f>
        <v>8903726310403</v>
      </c>
      <c r="I3561" s="3">
        <v>0</v>
      </c>
      <c r="J3561" s="3">
        <v>0</v>
      </c>
      <c r="K3561" s="3">
        <v>5000</v>
      </c>
    </row>
    <row r="3562" spans="1:11" x14ac:dyDescent="0.2">
      <c r="A3562" s="1" t="s">
        <v>4994</v>
      </c>
      <c r="B3562" s="1" t="s">
        <v>4436</v>
      </c>
      <c r="C3562" s="1"/>
      <c r="D3562" s="1"/>
      <c r="E3562" s="1"/>
      <c r="F3562" s="1"/>
      <c r="G3562" s="1"/>
      <c r="H3562" s="1" t="str">
        <f>"65674437"</f>
        <v>65674437</v>
      </c>
      <c r="I3562" s="3">
        <v>4</v>
      </c>
      <c r="J3562" s="3">
        <v>0</v>
      </c>
      <c r="K3562" s="3">
        <v>4000</v>
      </c>
    </row>
    <row r="3563" spans="1:11" x14ac:dyDescent="0.2">
      <c r="A3563" s="1" t="s">
        <v>4994</v>
      </c>
      <c r="B3563" s="1" t="s">
        <v>4437</v>
      </c>
      <c r="C3563" s="1"/>
      <c r="D3563" s="1"/>
      <c r="E3563" s="1"/>
      <c r="F3563" s="1"/>
      <c r="G3563" s="1"/>
      <c r="H3563" s="1" t="str">
        <f>"78039957"</f>
        <v>78039957</v>
      </c>
      <c r="I3563" s="3">
        <v>0</v>
      </c>
      <c r="J3563" s="3">
        <v>0</v>
      </c>
      <c r="K3563" s="3">
        <v>1000</v>
      </c>
    </row>
    <row r="3564" spans="1:11" x14ac:dyDescent="0.2">
      <c r="A3564" s="1" t="s">
        <v>4994</v>
      </c>
      <c r="B3564" s="1" t="s">
        <v>4438</v>
      </c>
      <c r="C3564" s="1"/>
      <c r="D3564" s="1"/>
      <c r="E3564" s="1"/>
      <c r="F3564" s="1"/>
      <c r="G3564" s="1"/>
      <c r="H3564" s="1" t="str">
        <f>"7800004399536"</f>
        <v>7800004399536</v>
      </c>
      <c r="I3564" s="3">
        <v>0</v>
      </c>
      <c r="J3564" s="3">
        <v>0</v>
      </c>
      <c r="K3564" s="3">
        <v>500</v>
      </c>
    </row>
    <row r="3565" spans="1:11" x14ac:dyDescent="0.2">
      <c r="A3565" s="1" t="s">
        <v>4994</v>
      </c>
      <c r="B3565" s="1" t="s">
        <v>4439</v>
      </c>
      <c r="C3565" s="1"/>
      <c r="D3565" s="1"/>
      <c r="E3565" s="1"/>
      <c r="F3565" s="1"/>
      <c r="G3565" s="1"/>
      <c r="H3565" s="1" t="str">
        <f>"7800004369607"</f>
        <v>7800004369607</v>
      </c>
      <c r="I3565" s="3">
        <v>11</v>
      </c>
      <c r="J3565" s="3">
        <v>0</v>
      </c>
      <c r="K3565" s="3">
        <v>30000</v>
      </c>
    </row>
    <row r="3566" spans="1:11" x14ac:dyDescent="0.2">
      <c r="A3566" s="1" t="s">
        <v>4994</v>
      </c>
      <c r="B3566" s="1" t="s">
        <v>4440</v>
      </c>
      <c r="C3566" s="1"/>
      <c r="D3566" s="1"/>
      <c r="E3566" s="1"/>
      <c r="F3566" s="1"/>
      <c r="G3566" s="1"/>
      <c r="H3566" s="1" t="str">
        <f>"7800004369829"</f>
        <v>7800004369829</v>
      </c>
      <c r="I3566" s="3">
        <v>0</v>
      </c>
      <c r="J3566" s="3">
        <v>0</v>
      </c>
      <c r="K3566" s="3">
        <v>500</v>
      </c>
    </row>
    <row r="3567" spans="1:11" x14ac:dyDescent="0.2">
      <c r="A3567" s="1" t="s">
        <v>4994</v>
      </c>
      <c r="B3567" s="1" t="s">
        <v>4441</v>
      </c>
      <c r="C3567" s="1"/>
      <c r="D3567" s="1"/>
      <c r="E3567" s="1"/>
      <c r="F3567" s="1"/>
      <c r="G3567" s="1"/>
      <c r="H3567" s="1" t="str">
        <f>"7800004399567"</f>
        <v>7800004399567</v>
      </c>
      <c r="I3567" s="3">
        <v>0</v>
      </c>
      <c r="J3567" s="3">
        <v>0</v>
      </c>
      <c r="K3567" s="3">
        <v>500</v>
      </c>
    </row>
    <row r="3568" spans="1:11" x14ac:dyDescent="0.2">
      <c r="A3568" s="1" t="s">
        <v>4994</v>
      </c>
      <c r="B3568" s="1" t="s">
        <v>4442</v>
      </c>
      <c r="C3568" s="1"/>
      <c r="D3568" s="1"/>
      <c r="E3568" s="1"/>
      <c r="F3568" s="1"/>
      <c r="G3568" s="1"/>
      <c r="H3568" s="1" t="str">
        <f>"7800004369652"</f>
        <v>7800004369652</v>
      </c>
      <c r="I3568" s="3">
        <v>77</v>
      </c>
      <c r="J3568" s="3">
        <v>0</v>
      </c>
      <c r="K3568" s="3">
        <v>29500</v>
      </c>
    </row>
    <row r="3569" spans="1:11" x14ac:dyDescent="0.2">
      <c r="A3569" s="1" t="s">
        <v>4994</v>
      </c>
      <c r="B3569" s="1" t="s">
        <v>4443</v>
      </c>
      <c r="C3569" s="1"/>
      <c r="D3569" s="1"/>
      <c r="E3569" s="1"/>
      <c r="F3569" s="1"/>
      <c r="G3569" s="1"/>
      <c r="H3569" s="1" t="str">
        <f>"7800004005635"</f>
        <v>7800004005635</v>
      </c>
      <c r="I3569" s="3">
        <v>0</v>
      </c>
      <c r="J3569" s="3">
        <v>0</v>
      </c>
      <c r="K3569" s="3">
        <v>2500</v>
      </c>
    </row>
    <row r="3570" spans="1:11" x14ac:dyDescent="0.2">
      <c r="A3570" s="1" t="s">
        <v>4994</v>
      </c>
      <c r="B3570" s="1" t="s">
        <v>4444</v>
      </c>
      <c r="C3570" s="1"/>
      <c r="D3570" s="1"/>
      <c r="E3570" s="1"/>
      <c r="F3570" s="1"/>
      <c r="G3570" s="1"/>
      <c r="H3570" s="1" t="str">
        <f>"7800004369621"</f>
        <v>7800004369621</v>
      </c>
      <c r="I3570" s="3">
        <v>6</v>
      </c>
      <c r="J3570" s="3">
        <v>0</v>
      </c>
      <c r="K3570" s="3">
        <v>200000</v>
      </c>
    </row>
    <row r="3571" spans="1:11" x14ac:dyDescent="0.2">
      <c r="A3571" s="1" t="s">
        <v>4994</v>
      </c>
      <c r="B3571" s="1" t="s">
        <v>4445</v>
      </c>
      <c r="C3571" s="1"/>
      <c r="D3571" s="1"/>
      <c r="E3571" s="1"/>
      <c r="F3571" s="1"/>
      <c r="G3571" s="1"/>
      <c r="H3571" s="1" t="str">
        <f>"7800004002160"</f>
        <v>7800004002160</v>
      </c>
      <c r="I3571" s="3">
        <v>0</v>
      </c>
      <c r="J3571" s="3">
        <v>0</v>
      </c>
      <c r="K3571" s="3">
        <v>2000</v>
      </c>
    </row>
    <row r="3572" spans="1:11" x14ac:dyDescent="0.2">
      <c r="A3572" s="1" t="s">
        <v>4994</v>
      </c>
      <c r="B3572" s="1" t="s">
        <v>4446</v>
      </c>
      <c r="C3572" s="1"/>
      <c r="D3572" s="1"/>
      <c r="E3572" s="1"/>
      <c r="F3572" s="1"/>
      <c r="G3572" s="1"/>
      <c r="H3572" s="1" t="str">
        <f>"7800004000418"</f>
        <v>7800004000418</v>
      </c>
      <c r="I3572" s="3">
        <v>6</v>
      </c>
      <c r="J3572" s="3">
        <v>0</v>
      </c>
      <c r="K3572" s="3">
        <v>2000</v>
      </c>
    </row>
    <row r="3573" spans="1:11" x14ac:dyDescent="0.2">
      <c r="A3573" s="1" t="s">
        <v>4994</v>
      </c>
      <c r="B3573" s="1" t="s">
        <v>4447</v>
      </c>
      <c r="C3573" s="1"/>
      <c r="D3573" s="1"/>
      <c r="E3573" s="1"/>
      <c r="F3573" s="1"/>
      <c r="G3573" s="1"/>
      <c r="H3573" s="1" t="str">
        <f>"7800004507870"</f>
        <v>7800004507870</v>
      </c>
      <c r="I3573" s="3">
        <v>15</v>
      </c>
      <c r="J3573" s="3">
        <v>0</v>
      </c>
      <c r="K3573" s="3">
        <v>2000</v>
      </c>
    </row>
    <row r="3574" spans="1:11" x14ac:dyDescent="0.2">
      <c r="A3574" s="1" t="s">
        <v>4994</v>
      </c>
      <c r="B3574" s="1" t="s">
        <v>4448</v>
      </c>
      <c r="C3574" s="1"/>
      <c r="D3574" s="1"/>
      <c r="E3574" s="1"/>
      <c r="F3574" s="1"/>
      <c r="G3574" s="1"/>
      <c r="H3574" s="1" t="str">
        <f>"7800004005659"</f>
        <v>7800004005659</v>
      </c>
      <c r="I3574" s="3">
        <v>15</v>
      </c>
      <c r="J3574" s="3">
        <v>0</v>
      </c>
      <c r="K3574" s="3">
        <v>3000</v>
      </c>
    </row>
    <row r="3575" spans="1:11" x14ac:dyDescent="0.2">
      <c r="A3575" s="1" t="s">
        <v>4994</v>
      </c>
      <c r="B3575" s="1" t="s">
        <v>4449</v>
      </c>
      <c r="C3575" s="1"/>
      <c r="D3575" s="1"/>
      <c r="E3575" s="1"/>
      <c r="F3575" s="1"/>
      <c r="G3575" s="1"/>
      <c r="H3575" s="1" t="str">
        <f>"7800004501472"</f>
        <v>7800004501472</v>
      </c>
      <c r="I3575" s="3">
        <v>0</v>
      </c>
      <c r="J3575" s="3">
        <v>0</v>
      </c>
      <c r="K3575" s="3">
        <v>1500</v>
      </c>
    </row>
    <row r="3576" spans="1:11" x14ac:dyDescent="0.2">
      <c r="A3576" s="1" t="s">
        <v>4994</v>
      </c>
      <c r="B3576" s="1" t="s">
        <v>4451</v>
      </c>
      <c r="C3576" s="1"/>
      <c r="D3576" s="1"/>
      <c r="E3576" s="1"/>
      <c r="F3576" s="1"/>
      <c r="G3576" s="1"/>
      <c r="H3576" s="1" t="str">
        <f>"7800004369836"</f>
        <v>7800004369836</v>
      </c>
      <c r="I3576" s="3">
        <v>0</v>
      </c>
      <c r="J3576" s="3">
        <v>0</v>
      </c>
      <c r="K3576" s="3">
        <v>500</v>
      </c>
    </row>
    <row r="3577" spans="1:11" x14ac:dyDescent="0.2">
      <c r="A3577" s="1" t="s">
        <v>4994</v>
      </c>
      <c r="B3577" s="1" t="s">
        <v>4452</v>
      </c>
      <c r="C3577" s="1"/>
      <c r="D3577" s="1"/>
      <c r="E3577" s="1"/>
      <c r="F3577" s="1"/>
      <c r="G3577" s="1"/>
      <c r="H3577" s="1" t="str">
        <f>"7800004500901"</f>
        <v>7800004500901</v>
      </c>
      <c r="I3577" s="3">
        <v>5</v>
      </c>
      <c r="J3577" s="3">
        <v>0</v>
      </c>
      <c r="K3577" s="3">
        <v>30000</v>
      </c>
    </row>
    <row r="3578" spans="1:11" x14ac:dyDescent="0.2">
      <c r="A3578" s="1" t="s">
        <v>4994</v>
      </c>
      <c r="B3578" s="1" t="s">
        <v>4453</v>
      </c>
      <c r="C3578" s="1"/>
      <c r="D3578" s="1"/>
      <c r="E3578" s="1"/>
      <c r="F3578" s="1"/>
      <c r="G3578" s="1"/>
      <c r="H3578" s="1" t="str">
        <f>"78005853"</f>
        <v>78005853</v>
      </c>
      <c r="I3578" s="3">
        <v>0</v>
      </c>
      <c r="J3578" s="3">
        <v>0</v>
      </c>
      <c r="K3578" s="3">
        <v>1000</v>
      </c>
    </row>
    <row r="3579" spans="1:11" x14ac:dyDescent="0.2">
      <c r="A3579" s="1" t="s">
        <v>4994</v>
      </c>
      <c r="B3579" s="1" t="s">
        <v>4455</v>
      </c>
      <c r="C3579" s="1"/>
      <c r="D3579" s="1"/>
      <c r="E3579" s="1"/>
      <c r="F3579" s="1"/>
      <c r="G3579" s="1"/>
      <c r="H3579" s="1" t="str">
        <f>"7800004500819"</f>
        <v>7800004500819</v>
      </c>
      <c r="I3579" s="3">
        <v>0</v>
      </c>
      <c r="J3579" s="3">
        <v>0</v>
      </c>
      <c r="K3579" s="3">
        <v>15000</v>
      </c>
    </row>
    <row r="3580" spans="1:11" x14ac:dyDescent="0.2">
      <c r="A3580" s="1" t="s">
        <v>4994</v>
      </c>
      <c r="B3580" s="1" t="s">
        <v>4456</v>
      </c>
      <c r="C3580" s="1"/>
      <c r="D3580" s="1"/>
      <c r="E3580" s="1"/>
      <c r="F3580" s="1"/>
      <c r="G3580" s="1"/>
      <c r="H3580" s="1" t="str">
        <f>"7800004500826"</f>
        <v>7800004500826</v>
      </c>
      <c r="I3580" s="3">
        <v>56</v>
      </c>
      <c r="J3580" s="3">
        <v>0</v>
      </c>
      <c r="K3580" s="3">
        <v>15000</v>
      </c>
    </row>
    <row r="3581" spans="1:11" x14ac:dyDescent="0.2">
      <c r="A3581" s="1" t="s">
        <v>4994</v>
      </c>
      <c r="B3581" s="1" t="s">
        <v>4457</v>
      </c>
      <c r="C3581" s="1"/>
      <c r="D3581" s="1"/>
      <c r="E3581" s="1"/>
      <c r="F3581" s="1"/>
      <c r="G3581" s="1"/>
      <c r="H3581" s="1" t="str">
        <f>"7800004004126"</f>
        <v>7800004004126</v>
      </c>
      <c r="I3581" s="3">
        <v>0</v>
      </c>
      <c r="J3581" s="3">
        <v>0</v>
      </c>
      <c r="K3581" s="3">
        <v>5000</v>
      </c>
    </row>
    <row r="3582" spans="1:11" x14ac:dyDescent="0.2">
      <c r="A3582" s="1" t="s">
        <v>4994</v>
      </c>
      <c r="B3582" s="1" t="s">
        <v>4458</v>
      </c>
      <c r="C3582" s="1"/>
      <c r="D3582" s="1"/>
      <c r="E3582" s="1"/>
      <c r="F3582" s="1"/>
      <c r="G3582" s="1"/>
      <c r="H3582" s="1" t="str">
        <f>"7800070000749"</f>
        <v>7800070000749</v>
      </c>
      <c r="I3582" s="3">
        <v>0</v>
      </c>
      <c r="J3582" s="3">
        <v>0</v>
      </c>
      <c r="K3582" s="3">
        <v>12000</v>
      </c>
    </row>
    <row r="3583" spans="1:11" x14ac:dyDescent="0.2">
      <c r="A3583" s="1" t="s">
        <v>4994</v>
      </c>
      <c r="B3583" s="1" t="s">
        <v>4459</v>
      </c>
      <c r="C3583" s="1"/>
      <c r="D3583" s="1"/>
      <c r="E3583" s="1"/>
      <c r="F3583" s="1"/>
      <c r="G3583" s="1"/>
      <c r="H3583" s="1" t="str">
        <f>"7804945025202"</f>
        <v>7804945025202</v>
      </c>
      <c r="I3583" s="3">
        <v>0</v>
      </c>
      <c r="J3583" s="3">
        <v>0</v>
      </c>
      <c r="K3583" s="3">
        <v>5500</v>
      </c>
    </row>
    <row r="3584" spans="1:11" x14ac:dyDescent="0.2">
      <c r="A3584" s="1" t="s">
        <v>4994</v>
      </c>
      <c r="B3584" s="1" t="s">
        <v>4460</v>
      </c>
      <c r="C3584" s="1"/>
      <c r="D3584" s="1"/>
      <c r="E3584" s="1"/>
      <c r="F3584" s="1"/>
      <c r="G3584" s="1"/>
      <c r="H3584" s="1" t="str">
        <f>"7805357004236"</f>
        <v>7805357004236</v>
      </c>
      <c r="I3584" s="3">
        <v>0</v>
      </c>
      <c r="J3584" s="3">
        <v>0</v>
      </c>
      <c r="K3584" s="3">
        <v>600</v>
      </c>
    </row>
    <row r="3585" spans="1:11" x14ac:dyDescent="0.2">
      <c r="A3585" s="1" t="s">
        <v>4994</v>
      </c>
      <c r="B3585" s="1" t="s">
        <v>4461</v>
      </c>
      <c r="C3585" s="1"/>
      <c r="D3585" s="1"/>
      <c r="E3585" s="1"/>
      <c r="F3585" s="1"/>
      <c r="G3585" s="1"/>
      <c r="H3585" s="1" t="str">
        <f>"7501088615108"</f>
        <v>7501088615108</v>
      </c>
      <c r="I3585" s="3">
        <v>5</v>
      </c>
      <c r="J3585" s="3">
        <v>0</v>
      </c>
      <c r="K3585" s="3">
        <v>12000</v>
      </c>
    </row>
    <row r="3586" spans="1:11" x14ac:dyDescent="0.2">
      <c r="A3586" s="1" t="s">
        <v>4994</v>
      </c>
      <c r="B3586" s="1" t="s">
        <v>4462</v>
      </c>
      <c r="C3586" s="1"/>
      <c r="D3586" s="1"/>
      <c r="E3586" s="1"/>
      <c r="F3586" s="1"/>
      <c r="G3586" s="1"/>
      <c r="H3586" s="1" t="str">
        <f>"650240027468"</f>
        <v>650240027468</v>
      </c>
      <c r="I3586" s="3">
        <v>7</v>
      </c>
      <c r="J3586" s="3">
        <v>0</v>
      </c>
      <c r="K3586" s="3">
        <v>7000</v>
      </c>
    </row>
    <row r="3587" spans="1:11" x14ac:dyDescent="0.2">
      <c r="A3587" s="1" t="s">
        <v>4994</v>
      </c>
      <c r="B3587" s="1" t="s">
        <v>4463</v>
      </c>
      <c r="C3587" s="1"/>
      <c r="D3587" s="1"/>
      <c r="E3587" s="1"/>
      <c r="F3587" s="1"/>
      <c r="G3587" s="1"/>
      <c r="H3587" s="1" t="str">
        <f>"650240032691"</f>
        <v>650240032691</v>
      </c>
      <c r="I3587" s="3">
        <v>2</v>
      </c>
      <c r="J3587" s="3">
        <v>0</v>
      </c>
      <c r="K3587" s="3">
        <v>6000</v>
      </c>
    </row>
    <row r="3588" spans="1:11" x14ac:dyDescent="0.2">
      <c r="A3588" s="1" t="s">
        <v>4994</v>
      </c>
      <c r="B3588" s="1" t="s">
        <v>4464</v>
      </c>
      <c r="C3588" s="1"/>
      <c r="D3588" s="1"/>
      <c r="E3588" s="1"/>
      <c r="F3588" s="1"/>
      <c r="G3588" s="1"/>
      <c r="H3588" s="1" t="str">
        <f>"650240032677"</f>
        <v>650240032677</v>
      </c>
      <c r="I3588" s="3">
        <v>9</v>
      </c>
      <c r="J3588" s="3">
        <v>0</v>
      </c>
      <c r="K3588" s="3">
        <v>6000</v>
      </c>
    </row>
    <row r="3589" spans="1:11" x14ac:dyDescent="0.2">
      <c r="A3589" s="1" t="s">
        <v>4994</v>
      </c>
      <c r="B3589" s="1" t="s">
        <v>4465</v>
      </c>
      <c r="C3589" s="1"/>
      <c r="D3589" s="1"/>
      <c r="E3589" s="1"/>
      <c r="F3589" s="1"/>
      <c r="G3589" s="1"/>
      <c r="H3589" s="1" t="str">
        <f>"650240068904"</f>
        <v>650240068904</v>
      </c>
      <c r="I3589" s="3">
        <v>0</v>
      </c>
      <c r="J3589" s="3">
        <v>0</v>
      </c>
      <c r="K3589" s="3">
        <v>8500</v>
      </c>
    </row>
    <row r="3590" spans="1:11" x14ac:dyDescent="0.2">
      <c r="A3590" s="1" t="s">
        <v>4994</v>
      </c>
      <c r="B3590" s="1" t="s">
        <v>4466</v>
      </c>
      <c r="C3590" s="1"/>
      <c r="D3590" s="1"/>
      <c r="E3590" s="1"/>
      <c r="F3590" s="1"/>
      <c r="G3590" s="1"/>
      <c r="H3590" s="1" t="str">
        <f>"100707387813420"</f>
        <v>100707387813420</v>
      </c>
      <c r="I3590" s="3">
        <v>0</v>
      </c>
      <c r="J3590" s="3">
        <v>0</v>
      </c>
      <c r="K3590" s="3">
        <v>1500</v>
      </c>
    </row>
    <row r="3591" spans="1:11" x14ac:dyDescent="0.2">
      <c r="A3591" s="1" t="s">
        <v>4994</v>
      </c>
      <c r="B3591" s="1" t="s">
        <v>4467</v>
      </c>
      <c r="C3591" s="1"/>
      <c r="D3591" s="1"/>
      <c r="E3591" s="1"/>
      <c r="F3591" s="1"/>
      <c r="G3591" s="1"/>
      <c r="H3591" s="1" t="str">
        <f>"707387813437"</f>
        <v>707387813437</v>
      </c>
      <c r="I3591" s="3">
        <v>0</v>
      </c>
      <c r="J3591" s="3">
        <v>0</v>
      </c>
      <c r="K3591" s="3">
        <v>75000</v>
      </c>
    </row>
    <row r="3592" spans="1:11" x14ac:dyDescent="0.2">
      <c r="A3592" s="1" t="s">
        <v>4994</v>
      </c>
      <c r="B3592" s="1" t="s">
        <v>4468</v>
      </c>
      <c r="C3592" s="1"/>
      <c r="D3592" s="1"/>
      <c r="E3592" s="1"/>
      <c r="F3592" s="1"/>
      <c r="G3592" s="1"/>
      <c r="H3592" s="1" t="str">
        <f>"104064035142742"</f>
        <v>104064035142742</v>
      </c>
      <c r="I3592" s="3">
        <v>0</v>
      </c>
      <c r="J3592" s="3">
        <v>0</v>
      </c>
      <c r="K3592" s="3">
        <v>2500</v>
      </c>
    </row>
    <row r="3593" spans="1:11" x14ac:dyDescent="0.2">
      <c r="A3593" s="1" t="s">
        <v>4994</v>
      </c>
      <c r="B3593" s="1" t="s">
        <v>4469</v>
      </c>
      <c r="C3593" s="1"/>
      <c r="D3593" s="1"/>
      <c r="E3593" s="1"/>
      <c r="F3593" s="1"/>
      <c r="G3593" s="1"/>
      <c r="H3593" s="1" t="str">
        <f>"4064035142759"</f>
        <v>4064035142759</v>
      </c>
      <c r="I3593" s="3">
        <v>0</v>
      </c>
      <c r="J3593" s="3">
        <v>0</v>
      </c>
      <c r="K3593" s="3">
        <v>125000</v>
      </c>
    </row>
    <row r="3594" spans="1:11" x14ac:dyDescent="0.2">
      <c r="A3594" s="1" t="s">
        <v>4994</v>
      </c>
      <c r="B3594" s="1" t="s">
        <v>4470</v>
      </c>
      <c r="C3594" s="1"/>
      <c r="D3594" s="1"/>
      <c r="E3594" s="1"/>
      <c r="F3594" s="1"/>
      <c r="G3594" s="1"/>
      <c r="H3594" s="1" t="str">
        <f>"7800059005932"</f>
        <v>7800059005932</v>
      </c>
      <c r="I3594" s="3">
        <v>0</v>
      </c>
      <c r="J3594" s="3">
        <v>0</v>
      </c>
      <c r="K3594" s="3">
        <v>11000</v>
      </c>
    </row>
    <row r="3595" spans="1:11" x14ac:dyDescent="0.2">
      <c r="A3595" s="1" t="s">
        <v>4994</v>
      </c>
      <c r="B3595" s="1" t="s">
        <v>4471</v>
      </c>
      <c r="C3595" s="1"/>
      <c r="D3595" s="1"/>
      <c r="E3595" s="1"/>
      <c r="F3595" s="1"/>
      <c r="G3595" s="1"/>
      <c r="H3595" s="1" t="str">
        <f>"7800059005925"</f>
        <v>7800059005925</v>
      </c>
      <c r="I3595" s="3">
        <v>0</v>
      </c>
      <c r="J3595" s="3">
        <v>0</v>
      </c>
      <c r="K3595" s="3">
        <v>29000</v>
      </c>
    </row>
    <row r="3596" spans="1:11" x14ac:dyDescent="0.2">
      <c r="A3596" s="1" t="s">
        <v>4994</v>
      </c>
      <c r="B3596" s="1" t="s">
        <v>4472</v>
      </c>
      <c r="C3596" s="1"/>
      <c r="D3596" s="1"/>
      <c r="E3596" s="1"/>
      <c r="F3596" s="1"/>
      <c r="G3596" s="1"/>
      <c r="H3596" s="1" t="str">
        <f>"5997001361887"</f>
        <v>5997001361887</v>
      </c>
      <c r="I3596" s="3">
        <v>8</v>
      </c>
      <c r="J3596" s="3">
        <v>0</v>
      </c>
      <c r="K3596" s="3">
        <v>7500</v>
      </c>
    </row>
    <row r="3597" spans="1:11" x14ac:dyDescent="0.2">
      <c r="A3597" s="1" t="s">
        <v>4994</v>
      </c>
      <c r="B3597" s="1" t="s">
        <v>4473</v>
      </c>
      <c r="C3597" s="1"/>
      <c r="D3597" s="1"/>
      <c r="E3597" s="1"/>
      <c r="F3597" s="1"/>
      <c r="G3597" s="1"/>
      <c r="H3597" s="1" t="str">
        <f>"7806130013070"</f>
        <v>7806130013070</v>
      </c>
      <c r="I3597" s="3">
        <v>0</v>
      </c>
      <c r="J3597" s="3">
        <v>0</v>
      </c>
      <c r="K3597" s="3">
        <v>2500</v>
      </c>
    </row>
    <row r="3598" spans="1:11" x14ac:dyDescent="0.2">
      <c r="A3598" s="1" t="s">
        <v>4994</v>
      </c>
      <c r="B3598" s="1" t="s">
        <v>4474</v>
      </c>
      <c r="C3598" s="1"/>
      <c r="D3598" s="1"/>
      <c r="E3598" s="1"/>
      <c r="F3598" s="1"/>
      <c r="G3598" s="1"/>
      <c r="H3598" s="1" t="str">
        <f>"8000246003683"</f>
        <v>8000246003683</v>
      </c>
      <c r="I3598" s="3">
        <v>0</v>
      </c>
      <c r="J3598" s="3">
        <v>0</v>
      </c>
      <c r="K3598" s="3">
        <v>1500</v>
      </c>
    </row>
    <row r="3599" spans="1:11" x14ac:dyDescent="0.2">
      <c r="A3599" s="1" t="s">
        <v>4994</v>
      </c>
      <c r="B3599" s="1" t="s">
        <v>4475</v>
      </c>
      <c r="C3599" s="1"/>
      <c r="D3599" s="1"/>
      <c r="E3599" s="1"/>
      <c r="F3599" s="1"/>
      <c r="G3599" s="1"/>
      <c r="H3599" s="1" t="str">
        <f>"7806130012172"</f>
        <v>7806130012172</v>
      </c>
      <c r="I3599" s="3">
        <v>0</v>
      </c>
      <c r="J3599" s="3">
        <v>0</v>
      </c>
      <c r="K3599" s="3">
        <v>2000</v>
      </c>
    </row>
    <row r="3600" spans="1:11" x14ac:dyDescent="0.2">
      <c r="A3600" s="1" t="s">
        <v>4994</v>
      </c>
      <c r="B3600" s="1" t="s">
        <v>4478</v>
      </c>
      <c r="C3600" s="1"/>
      <c r="D3600" s="1"/>
      <c r="E3600" s="1"/>
      <c r="F3600" s="1"/>
      <c r="G3600" s="1"/>
      <c r="H3600" s="1" t="str">
        <f>"8903726249093"</f>
        <v>8903726249093</v>
      </c>
      <c r="I3600" s="3">
        <v>0</v>
      </c>
      <c r="J3600" s="3">
        <v>0</v>
      </c>
      <c r="K3600" s="3">
        <v>8500</v>
      </c>
    </row>
    <row r="3601" spans="1:11" x14ac:dyDescent="0.2">
      <c r="A3601" s="1" t="s">
        <v>4994</v>
      </c>
      <c r="B3601" s="1" t="s">
        <v>4481</v>
      </c>
      <c r="C3601" s="1"/>
      <c r="D3601" s="1"/>
      <c r="E3601" s="1"/>
      <c r="F3601" s="1"/>
      <c r="G3601" s="1"/>
      <c r="H3601" s="1" t="str">
        <f>"7800060173378"</f>
        <v>7800060173378</v>
      </c>
      <c r="I3601" s="3">
        <v>0</v>
      </c>
      <c r="J3601" s="3">
        <v>0</v>
      </c>
      <c r="K3601" s="3">
        <v>23000</v>
      </c>
    </row>
    <row r="3602" spans="1:11" x14ac:dyDescent="0.2">
      <c r="A3602" s="1" t="s">
        <v>4994</v>
      </c>
      <c r="B3602" s="1" t="s">
        <v>4485</v>
      </c>
      <c r="C3602" s="1"/>
      <c r="D3602" s="1"/>
      <c r="E3602" s="1"/>
      <c r="F3602" s="1"/>
      <c r="G3602" s="1"/>
      <c r="H3602" s="1" t="str">
        <f>"7501019054327"</f>
        <v>7501019054327</v>
      </c>
      <c r="I3602" s="3">
        <v>0</v>
      </c>
      <c r="J3602" s="3">
        <v>0</v>
      </c>
      <c r="K3602" s="3">
        <v>12000</v>
      </c>
    </row>
    <row r="3603" spans="1:11" x14ac:dyDescent="0.2">
      <c r="A3603" s="1" t="s">
        <v>4994</v>
      </c>
      <c r="B3603" s="1" t="s">
        <v>4486</v>
      </c>
      <c r="C3603" s="1"/>
      <c r="D3603" s="1"/>
      <c r="E3603" s="1"/>
      <c r="F3603" s="1"/>
      <c r="G3603" s="1"/>
      <c r="H3603" s="1" t="str">
        <f>"7501019054334"</f>
        <v>7501019054334</v>
      </c>
      <c r="I3603" s="3">
        <v>0</v>
      </c>
      <c r="J3603" s="3">
        <v>0</v>
      </c>
      <c r="K3603" s="3">
        <v>12000</v>
      </c>
    </row>
    <row r="3604" spans="1:11" x14ac:dyDescent="0.2">
      <c r="A3604" s="1" t="s">
        <v>4994</v>
      </c>
      <c r="B3604" s="1" t="s">
        <v>4487</v>
      </c>
      <c r="C3604" s="1"/>
      <c r="D3604" s="1"/>
      <c r="E3604" s="1"/>
      <c r="F3604" s="1"/>
      <c r="G3604" s="1"/>
      <c r="H3604" s="1" t="str">
        <f>"7501019053252"</f>
        <v>7501019053252</v>
      </c>
      <c r="I3604" s="3">
        <v>0</v>
      </c>
      <c r="J3604" s="3">
        <v>0</v>
      </c>
      <c r="K3604" s="3">
        <v>11000</v>
      </c>
    </row>
    <row r="3605" spans="1:11" x14ac:dyDescent="0.2">
      <c r="A3605" s="1" t="s">
        <v>4994</v>
      </c>
      <c r="B3605" s="1" t="s">
        <v>4488</v>
      </c>
      <c r="C3605" s="1"/>
      <c r="D3605" s="1"/>
      <c r="E3605" s="1"/>
      <c r="F3605" s="1"/>
      <c r="G3605" s="1"/>
      <c r="H3605" s="1" t="str">
        <f>"7800026565483"</f>
        <v>7800026565483</v>
      </c>
      <c r="I3605" s="3">
        <v>0</v>
      </c>
      <c r="J3605" s="3">
        <v>0</v>
      </c>
      <c r="K3605" s="3">
        <v>18000</v>
      </c>
    </row>
    <row r="3606" spans="1:11" x14ac:dyDescent="0.2">
      <c r="A3606" s="1" t="s">
        <v>4994</v>
      </c>
      <c r="B3606" s="1" t="s">
        <v>4489</v>
      </c>
      <c r="C3606" s="1"/>
      <c r="D3606" s="1"/>
      <c r="E3606" s="1"/>
      <c r="F3606" s="1"/>
      <c r="G3606" s="1"/>
      <c r="H3606" s="1" t="str">
        <f>"765066762599"</f>
        <v>765066762599</v>
      </c>
      <c r="I3606" s="3">
        <v>0</v>
      </c>
      <c r="J3606" s="3">
        <v>0</v>
      </c>
      <c r="K3606" s="3">
        <v>20000</v>
      </c>
    </row>
    <row r="3607" spans="1:11" x14ac:dyDescent="0.2">
      <c r="A3607" s="1" t="s">
        <v>4994</v>
      </c>
      <c r="B3607" s="1" t="s">
        <v>4490</v>
      </c>
      <c r="C3607" s="1"/>
      <c r="D3607" s="1"/>
      <c r="E3607" s="1"/>
      <c r="F3607" s="1"/>
      <c r="G3607" s="1"/>
      <c r="H3607" s="1" t="str">
        <f>"7800007152107"</f>
        <v>7800007152107</v>
      </c>
      <c r="I3607" s="3">
        <v>40</v>
      </c>
      <c r="J3607" s="3">
        <v>0</v>
      </c>
      <c r="K3607" s="3">
        <v>12500</v>
      </c>
    </row>
    <row r="3608" spans="1:11" x14ac:dyDescent="0.2">
      <c r="A3608" s="1" t="s">
        <v>4994</v>
      </c>
      <c r="B3608" s="1" t="s">
        <v>4491</v>
      </c>
      <c r="C3608" s="1"/>
      <c r="D3608" s="1"/>
      <c r="E3608" s="1"/>
      <c r="F3608" s="1"/>
      <c r="G3608" s="1"/>
      <c r="H3608" s="1" t="str">
        <f>"7800007809292"</f>
        <v>7800007809292</v>
      </c>
      <c r="I3608" s="3">
        <v>2</v>
      </c>
      <c r="J3608" s="3">
        <v>0</v>
      </c>
      <c r="K3608" s="3">
        <v>26000</v>
      </c>
    </row>
    <row r="3609" spans="1:11" x14ac:dyDescent="0.2">
      <c r="A3609" s="1" t="s">
        <v>4994</v>
      </c>
      <c r="B3609" s="1" t="s">
        <v>4497</v>
      </c>
      <c r="C3609" s="1"/>
      <c r="D3609" s="1"/>
      <c r="E3609" s="1"/>
      <c r="F3609" s="1"/>
      <c r="G3609" s="1"/>
      <c r="H3609" s="1" t="str">
        <f>"7800007805683"</f>
        <v>7800007805683</v>
      </c>
      <c r="I3609" s="3">
        <v>0</v>
      </c>
      <c r="J3609" s="3">
        <v>0</v>
      </c>
      <c r="K3609" s="3">
        <v>23000</v>
      </c>
    </row>
    <row r="3610" spans="1:11" x14ac:dyDescent="0.2">
      <c r="A3610" s="1" t="s">
        <v>4994</v>
      </c>
      <c r="B3610" s="1" t="s">
        <v>4498</v>
      </c>
      <c r="C3610" s="1"/>
      <c r="D3610" s="1"/>
      <c r="E3610" s="1"/>
      <c r="F3610" s="1"/>
      <c r="G3610" s="1"/>
      <c r="H3610" s="1" t="str">
        <f>"8681725027156"</f>
        <v>8681725027156</v>
      </c>
      <c r="I3610" s="3">
        <v>0</v>
      </c>
      <c r="J3610" s="3">
        <v>0</v>
      </c>
      <c r="K3610" s="3">
        <v>1000</v>
      </c>
    </row>
    <row r="3611" spans="1:11" x14ac:dyDescent="0.2">
      <c r="A3611" s="1" t="s">
        <v>4994</v>
      </c>
      <c r="B3611" s="1" t="s">
        <v>4499</v>
      </c>
      <c r="C3611" s="1"/>
      <c r="D3611" s="1"/>
      <c r="E3611" s="1"/>
      <c r="F3611" s="1"/>
      <c r="G3611" s="1"/>
      <c r="H3611" s="1" t="str">
        <f>"781159466823"</f>
        <v>781159466823</v>
      </c>
      <c r="I3611" s="3">
        <v>0</v>
      </c>
      <c r="J3611" s="3">
        <v>0</v>
      </c>
      <c r="K3611" s="3">
        <v>2000</v>
      </c>
    </row>
    <row r="3612" spans="1:11" x14ac:dyDescent="0.2">
      <c r="A3612" s="1" t="s">
        <v>4994</v>
      </c>
      <c r="B3612" s="1" t="s">
        <v>4501</v>
      </c>
      <c r="C3612" s="1"/>
      <c r="D3612" s="1"/>
      <c r="E3612" s="1"/>
      <c r="F3612" s="1"/>
      <c r="G3612" s="1"/>
      <c r="H3612" s="1" t="str">
        <f>"7804673040140"</f>
        <v>7804673040140</v>
      </c>
      <c r="I3612" s="3">
        <v>7</v>
      </c>
      <c r="J3612" s="3">
        <v>0</v>
      </c>
      <c r="K3612" s="3">
        <v>4500</v>
      </c>
    </row>
    <row r="3613" spans="1:11" x14ac:dyDescent="0.2">
      <c r="A3613" s="1" t="s">
        <v>4994</v>
      </c>
      <c r="B3613" s="1" t="s">
        <v>4502</v>
      </c>
      <c r="C3613" s="1"/>
      <c r="D3613" s="1"/>
      <c r="E3613" s="1"/>
      <c r="F3613" s="1"/>
      <c r="G3613" s="1"/>
      <c r="H3613" s="1" t="str">
        <f>"7804650883791"</f>
        <v>7804650883791</v>
      </c>
      <c r="I3613" s="3">
        <v>0</v>
      </c>
      <c r="J3613" s="3">
        <v>0</v>
      </c>
      <c r="K3613" s="3">
        <v>2000</v>
      </c>
    </row>
    <row r="3614" spans="1:11" x14ac:dyDescent="0.2">
      <c r="A3614" s="1" t="s">
        <v>4994</v>
      </c>
      <c r="B3614" s="1" t="s">
        <v>4503</v>
      </c>
      <c r="C3614" s="1"/>
      <c r="D3614" s="1"/>
      <c r="E3614" s="1"/>
      <c r="F3614" s="1"/>
      <c r="G3614" s="1"/>
      <c r="H3614" s="1" t="str">
        <f>"75613068967208"</f>
        <v>75613068967208</v>
      </c>
      <c r="I3614" s="3">
        <v>0</v>
      </c>
      <c r="J3614" s="3">
        <v>0</v>
      </c>
      <c r="K3614" s="3">
        <v>2000</v>
      </c>
    </row>
    <row r="3615" spans="1:11" x14ac:dyDescent="0.2">
      <c r="A3615" s="1" t="s">
        <v>4994</v>
      </c>
      <c r="B3615" s="1" t="s">
        <v>4504</v>
      </c>
      <c r="C3615" s="1"/>
      <c r="D3615" s="1"/>
      <c r="E3615" s="1"/>
      <c r="F3615" s="1"/>
      <c r="G3615" s="1"/>
      <c r="H3615" s="1" t="str">
        <f>"7805633340614"</f>
        <v>7805633340614</v>
      </c>
      <c r="I3615" s="3">
        <v>138</v>
      </c>
      <c r="J3615" s="3">
        <v>0</v>
      </c>
      <c r="K3615" s="3">
        <v>2500</v>
      </c>
    </row>
    <row r="3616" spans="1:11" x14ac:dyDescent="0.2">
      <c r="A3616" s="1" t="s">
        <v>4994</v>
      </c>
      <c r="B3616" s="1" t="s">
        <v>4505</v>
      </c>
      <c r="C3616" s="1"/>
      <c r="D3616" s="1"/>
      <c r="E3616" s="1"/>
      <c r="F3616" s="1"/>
      <c r="G3616" s="1"/>
      <c r="H3616" s="1" t="str">
        <f>"7805633018353"</f>
        <v>7805633018353</v>
      </c>
      <c r="I3616" s="3">
        <v>0</v>
      </c>
      <c r="J3616" s="3">
        <v>0</v>
      </c>
      <c r="K3616" s="3">
        <v>2000</v>
      </c>
    </row>
    <row r="3617" spans="1:11" x14ac:dyDescent="0.2">
      <c r="A3617" s="1" t="s">
        <v>4994</v>
      </c>
      <c r="B3617" s="1" t="s">
        <v>4506</v>
      </c>
      <c r="C3617" s="1"/>
      <c r="D3617" s="1"/>
      <c r="E3617" s="1"/>
      <c r="F3617" s="1"/>
      <c r="G3617" s="1"/>
      <c r="H3617" s="1" t="str">
        <f>"7805633018360"</f>
        <v>7805633018360</v>
      </c>
      <c r="I3617" s="3">
        <v>0</v>
      </c>
      <c r="J3617" s="3">
        <v>0</v>
      </c>
      <c r="K3617" s="3">
        <v>2800</v>
      </c>
    </row>
    <row r="3618" spans="1:11" x14ac:dyDescent="0.2">
      <c r="A3618" s="1" t="s">
        <v>4994</v>
      </c>
      <c r="B3618" s="1" t="s">
        <v>4507</v>
      </c>
      <c r="C3618" s="1"/>
      <c r="D3618" s="1"/>
      <c r="E3618" s="1"/>
      <c r="F3618" s="1"/>
      <c r="G3618" s="1"/>
      <c r="H3618" s="1" t="str">
        <f>"7809601111916"</f>
        <v>7809601111916</v>
      </c>
      <c r="I3618" s="3">
        <v>0</v>
      </c>
      <c r="J3618" s="3">
        <v>0</v>
      </c>
      <c r="K3618" s="3">
        <v>1000</v>
      </c>
    </row>
    <row r="3619" spans="1:11" x14ac:dyDescent="0.2">
      <c r="A3619" s="1" t="s">
        <v>4994</v>
      </c>
      <c r="B3619" s="1" t="s">
        <v>4509</v>
      </c>
      <c r="C3619" s="1"/>
      <c r="D3619" s="1"/>
      <c r="E3619" s="1"/>
      <c r="F3619" s="1"/>
      <c r="G3619" s="1"/>
      <c r="H3619" s="1" t="str">
        <f>"2901114"</f>
        <v>2901114</v>
      </c>
      <c r="I3619" s="3">
        <v>0</v>
      </c>
      <c r="J3619" s="3">
        <v>0</v>
      </c>
      <c r="K3619" s="3">
        <v>2000</v>
      </c>
    </row>
    <row r="3620" spans="1:11" x14ac:dyDescent="0.2">
      <c r="A3620" s="1" t="s">
        <v>4994</v>
      </c>
      <c r="B3620" s="1" t="s">
        <v>4510</v>
      </c>
      <c r="C3620" s="1"/>
      <c r="D3620" s="1"/>
      <c r="E3620" s="1"/>
      <c r="F3620" s="1"/>
      <c r="G3620" s="1"/>
      <c r="H3620" s="1" t="str">
        <f>"2901107"</f>
        <v>2901107</v>
      </c>
      <c r="I3620" s="3">
        <v>0</v>
      </c>
      <c r="J3620" s="3">
        <v>0</v>
      </c>
      <c r="K3620" s="3">
        <v>1500</v>
      </c>
    </row>
    <row r="3621" spans="1:11" x14ac:dyDescent="0.2">
      <c r="A3621" s="1" t="s">
        <v>4994</v>
      </c>
      <c r="B3621" s="1" t="s">
        <v>4511</v>
      </c>
      <c r="C3621" s="1"/>
      <c r="D3621" s="1"/>
      <c r="E3621" s="1"/>
      <c r="F3621" s="1"/>
      <c r="G3621" s="1"/>
      <c r="H3621" s="1" t="str">
        <f>"6950996001656"</f>
        <v>6950996001656</v>
      </c>
      <c r="I3621" s="3">
        <v>0</v>
      </c>
      <c r="J3621" s="3">
        <v>0</v>
      </c>
      <c r="K3621" s="3">
        <v>1000</v>
      </c>
    </row>
    <row r="3622" spans="1:11" x14ac:dyDescent="0.2">
      <c r="A3622" s="1" t="s">
        <v>4994</v>
      </c>
      <c r="B3622" s="1" t="s">
        <v>4512</v>
      </c>
      <c r="C3622" s="1"/>
      <c r="D3622" s="1"/>
      <c r="E3622" s="1"/>
      <c r="F3622" s="1"/>
      <c r="G3622" s="1"/>
      <c r="H3622" s="1" t="str">
        <f>"7805633016168"</f>
        <v>7805633016168</v>
      </c>
      <c r="I3622" s="3">
        <v>56</v>
      </c>
      <c r="J3622" s="3">
        <v>0</v>
      </c>
      <c r="K3622" s="3">
        <v>1000</v>
      </c>
    </row>
    <row r="3623" spans="1:11" x14ac:dyDescent="0.2">
      <c r="A3623" s="1" t="s">
        <v>4994</v>
      </c>
      <c r="B3623" s="1" t="s">
        <v>4513</v>
      </c>
      <c r="C3623" s="1"/>
      <c r="D3623" s="1"/>
      <c r="E3623" s="1"/>
      <c r="F3623" s="1"/>
      <c r="G3623" s="1"/>
      <c r="H3623" s="1" t="str">
        <f>"2901152"</f>
        <v>2901152</v>
      </c>
      <c r="I3623" s="3">
        <v>0</v>
      </c>
      <c r="J3623" s="3">
        <v>0</v>
      </c>
      <c r="K3623" s="3">
        <v>3500</v>
      </c>
    </row>
    <row r="3624" spans="1:11" x14ac:dyDescent="0.2">
      <c r="A3624" s="1" t="s">
        <v>4994</v>
      </c>
      <c r="B3624" s="1" t="s">
        <v>4515</v>
      </c>
      <c r="C3624" s="1"/>
      <c r="D3624" s="1"/>
      <c r="E3624" s="1"/>
      <c r="F3624" s="1"/>
      <c r="G3624" s="1"/>
      <c r="H3624" s="1" t="str">
        <f>"7804669530044"</f>
        <v>7804669530044</v>
      </c>
      <c r="I3624" s="3">
        <v>0</v>
      </c>
      <c r="J3624" s="3">
        <v>0</v>
      </c>
      <c r="K3624" s="3">
        <v>3500</v>
      </c>
    </row>
    <row r="3625" spans="1:11" x14ac:dyDescent="0.2">
      <c r="A3625" s="1" t="s">
        <v>4994</v>
      </c>
      <c r="B3625" s="1" t="s">
        <v>4517</v>
      </c>
      <c r="C3625" s="1"/>
      <c r="D3625" s="1"/>
      <c r="E3625" s="1"/>
      <c r="F3625" s="1"/>
      <c r="G3625" s="1"/>
      <c r="H3625" s="1" t="str">
        <f>"8720689014052"</f>
        <v>8720689014052</v>
      </c>
      <c r="I3625" s="3">
        <v>0</v>
      </c>
      <c r="J3625" s="3">
        <v>0</v>
      </c>
      <c r="K3625" s="3">
        <v>9000</v>
      </c>
    </row>
    <row r="3626" spans="1:11" x14ac:dyDescent="0.2">
      <c r="A3626" s="1" t="s">
        <v>4994</v>
      </c>
      <c r="B3626" s="1" t="s">
        <v>4518</v>
      </c>
      <c r="C3626" s="1"/>
      <c r="D3626" s="1"/>
      <c r="E3626" s="1"/>
      <c r="F3626" s="1"/>
      <c r="G3626" s="1"/>
      <c r="H3626" s="1" t="str">
        <f>"6928691486580"</f>
        <v>6928691486580</v>
      </c>
      <c r="I3626" s="3">
        <v>0</v>
      </c>
      <c r="J3626" s="3">
        <v>0</v>
      </c>
      <c r="K3626" s="3">
        <v>3000</v>
      </c>
    </row>
    <row r="3627" spans="1:11" x14ac:dyDescent="0.2">
      <c r="A3627" s="1" t="s">
        <v>4994</v>
      </c>
      <c r="B3627" s="1" t="s">
        <v>4519</v>
      </c>
      <c r="C3627" s="1"/>
      <c r="D3627" s="1"/>
      <c r="E3627" s="1"/>
      <c r="F3627" s="1"/>
      <c r="G3627" s="1"/>
      <c r="H3627" s="1" t="str">
        <f>"9001616205675"</f>
        <v>9001616205675</v>
      </c>
      <c r="I3627" s="3">
        <v>0</v>
      </c>
      <c r="J3627" s="3">
        <v>0</v>
      </c>
      <c r="K3627" s="3">
        <v>8000</v>
      </c>
    </row>
    <row r="3628" spans="1:11" x14ac:dyDescent="0.2">
      <c r="A3628" s="1" t="s">
        <v>4994</v>
      </c>
      <c r="B3628" s="1" t="s">
        <v>4520</v>
      </c>
      <c r="C3628" s="1"/>
      <c r="D3628" s="1"/>
      <c r="E3628" s="1"/>
      <c r="F3628" s="1"/>
      <c r="G3628" s="1"/>
      <c r="H3628" s="1" t="str">
        <f>"4902508019347"</f>
        <v>4902508019347</v>
      </c>
      <c r="I3628" s="3">
        <v>0</v>
      </c>
      <c r="J3628" s="3">
        <v>0</v>
      </c>
      <c r="K3628" s="3">
        <v>4000</v>
      </c>
    </row>
    <row r="3629" spans="1:11" x14ac:dyDescent="0.2">
      <c r="A3629" s="1" t="s">
        <v>4994</v>
      </c>
      <c r="B3629" s="1" t="s">
        <v>4521</v>
      </c>
      <c r="C3629" s="1"/>
      <c r="D3629" s="1"/>
      <c r="E3629" s="1"/>
      <c r="F3629" s="1"/>
      <c r="G3629" s="1"/>
      <c r="H3629" s="1" t="str">
        <f>"4902508808217"</f>
        <v>4902508808217</v>
      </c>
      <c r="I3629" s="3">
        <v>0</v>
      </c>
      <c r="J3629" s="3">
        <v>0</v>
      </c>
      <c r="K3629" s="3">
        <v>8500</v>
      </c>
    </row>
    <row r="3630" spans="1:11" x14ac:dyDescent="0.2">
      <c r="A3630" s="1" t="s">
        <v>4994</v>
      </c>
      <c r="B3630" s="1" t="s">
        <v>4522</v>
      </c>
      <c r="C3630" s="1"/>
      <c r="D3630" s="1"/>
      <c r="E3630" s="1"/>
      <c r="F3630" s="1"/>
      <c r="G3630" s="1"/>
      <c r="H3630" s="1" t="str">
        <f>"7800063120027"</f>
        <v>7800063120027</v>
      </c>
      <c r="I3630" s="3">
        <v>19</v>
      </c>
      <c r="J3630" s="3">
        <v>0</v>
      </c>
      <c r="K3630" s="3">
        <v>1000</v>
      </c>
    </row>
    <row r="3631" spans="1:11" x14ac:dyDescent="0.2">
      <c r="A3631" s="1" t="s">
        <v>4994</v>
      </c>
      <c r="B3631" s="1" t="s">
        <v>4526</v>
      </c>
      <c r="C3631" s="1"/>
      <c r="D3631" s="1"/>
      <c r="E3631" s="1"/>
      <c r="F3631" s="1"/>
      <c r="G3631" s="1"/>
      <c r="H3631" s="1" t="str">
        <f>"3662042005510"</f>
        <v>3662042005510</v>
      </c>
      <c r="I3631" s="3">
        <v>0</v>
      </c>
      <c r="J3631" s="3">
        <v>0</v>
      </c>
      <c r="K3631" s="3">
        <v>26000</v>
      </c>
    </row>
    <row r="3632" spans="1:11" x14ac:dyDescent="0.2">
      <c r="A3632" s="1" t="s">
        <v>4994</v>
      </c>
      <c r="B3632" s="1" t="s">
        <v>4527</v>
      </c>
      <c r="C3632" s="1"/>
      <c r="D3632" s="1"/>
      <c r="E3632" s="1"/>
      <c r="F3632" s="1"/>
      <c r="G3632" s="1"/>
      <c r="H3632" s="1" t="str">
        <f>"3662042004643"</f>
        <v>3662042004643</v>
      </c>
      <c r="I3632" s="3">
        <v>1</v>
      </c>
      <c r="J3632" s="3">
        <v>0</v>
      </c>
      <c r="K3632" s="3">
        <v>29000</v>
      </c>
    </row>
    <row r="3633" spans="1:11" x14ac:dyDescent="0.2">
      <c r="A3633" s="1" t="s">
        <v>4994</v>
      </c>
      <c r="B3633" s="1" t="s">
        <v>4528</v>
      </c>
      <c r="C3633" s="1"/>
      <c r="D3633" s="1"/>
      <c r="E3633" s="1"/>
      <c r="F3633" s="1"/>
      <c r="G3633" s="1"/>
      <c r="H3633" s="1" t="str">
        <f>"7804631370197"</f>
        <v>7804631370197</v>
      </c>
      <c r="I3633" s="3">
        <v>0</v>
      </c>
      <c r="J3633" s="3">
        <v>0</v>
      </c>
      <c r="K3633" s="3">
        <v>7500</v>
      </c>
    </row>
    <row r="3634" spans="1:11" x14ac:dyDescent="0.2">
      <c r="A3634" s="1" t="s">
        <v>4994</v>
      </c>
      <c r="B3634" s="1" t="s">
        <v>4529</v>
      </c>
      <c r="C3634" s="1"/>
      <c r="D3634" s="1"/>
      <c r="E3634" s="1"/>
      <c r="F3634" s="1"/>
      <c r="G3634" s="1"/>
      <c r="H3634" s="1" t="str">
        <f>"7804631370180"</f>
        <v>7804631370180</v>
      </c>
      <c r="I3634" s="3">
        <v>0</v>
      </c>
      <c r="J3634" s="3">
        <v>0</v>
      </c>
      <c r="K3634" s="3">
        <v>6500</v>
      </c>
    </row>
    <row r="3635" spans="1:11" x14ac:dyDescent="0.2">
      <c r="A3635" s="1" t="s">
        <v>4994</v>
      </c>
      <c r="B3635" s="1" t="s">
        <v>4530</v>
      </c>
      <c r="C3635" s="1"/>
      <c r="D3635" s="1"/>
      <c r="E3635" s="1"/>
      <c r="F3635" s="1"/>
      <c r="G3635" s="1"/>
      <c r="H3635" s="1" t="str">
        <f>"901234123488"</f>
        <v>901234123488</v>
      </c>
      <c r="I3635" s="3">
        <v>0</v>
      </c>
      <c r="J3635" s="3">
        <v>0</v>
      </c>
      <c r="K3635" s="3">
        <v>2000</v>
      </c>
    </row>
    <row r="3636" spans="1:11" x14ac:dyDescent="0.2">
      <c r="A3636" s="1" t="s">
        <v>4994</v>
      </c>
      <c r="B3636" s="1" t="s">
        <v>4531</v>
      </c>
      <c r="C3636" s="1"/>
      <c r="D3636" s="1"/>
      <c r="E3636" s="1"/>
      <c r="F3636" s="1"/>
      <c r="G3636" s="1"/>
      <c r="H3636" s="1" t="str">
        <f>"736085415186"</f>
        <v>736085415186</v>
      </c>
      <c r="I3636" s="3">
        <v>0</v>
      </c>
      <c r="J3636" s="3">
        <v>0</v>
      </c>
      <c r="K3636" s="3">
        <v>2000</v>
      </c>
    </row>
    <row r="3637" spans="1:11" x14ac:dyDescent="0.2">
      <c r="A3637" s="1" t="s">
        <v>4994</v>
      </c>
      <c r="B3637" s="1" t="s">
        <v>4532</v>
      </c>
      <c r="C3637" s="1"/>
      <c r="D3637" s="1"/>
      <c r="E3637" s="1"/>
      <c r="F3637" s="1"/>
      <c r="G3637" s="1"/>
      <c r="H3637" s="1" t="str">
        <f>"2000110424985"</f>
        <v>2000110424985</v>
      </c>
      <c r="I3637" s="3">
        <v>0</v>
      </c>
      <c r="J3637" s="3">
        <v>0</v>
      </c>
      <c r="K3637" s="3">
        <v>4000</v>
      </c>
    </row>
    <row r="3638" spans="1:11" x14ac:dyDescent="0.2">
      <c r="A3638" s="1" t="s">
        <v>4994</v>
      </c>
      <c r="B3638" s="1" t="s">
        <v>4533</v>
      </c>
      <c r="C3638" s="1"/>
      <c r="D3638" s="1"/>
      <c r="E3638" s="1"/>
      <c r="F3638" s="1"/>
      <c r="G3638" s="1"/>
      <c r="H3638" s="1" t="str">
        <f>"2000220324984"</f>
        <v>2000220324984</v>
      </c>
      <c r="I3638" s="3">
        <v>0</v>
      </c>
      <c r="J3638" s="3">
        <v>0</v>
      </c>
      <c r="K3638" s="3">
        <v>2800</v>
      </c>
    </row>
    <row r="3639" spans="1:11" x14ac:dyDescent="0.2">
      <c r="A3639" s="1" t="s">
        <v>4994</v>
      </c>
      <c r="B3639" s="1" t="s">
        <v>4534</v>
      </c>
      <c r="C3639" s="1"/>
      <c r="D3639" s="1"/>
      <c r="E3639" s="1"/>
      <c r="F3639" s="1"/>
      <c r="G3639" s="1"/>
      <c r="H3639" s="1" t="str">
        <f>"2010380024983"</f>
        <v>2010380024983</v>
      </c>
      <c r="I3639" s="3">
        <v>0</v>
      </c>
      <c r="J3639" s="3">
        <v>0</v>
      </c>
      <c r="K3639" s="3">
        <v>6500</v>
      </c>
    </row>
    <row r="3640" spans="1:11" x14ac:dyDescent="0.2">
      <c r="A3640" s="1" t="s">
        <v>4994</v>
      </c>
      <c r="B3640" s="1" t="s">
        <v>4538</v>
      </c>
      <c r="C3640" s="1"/>
      <c r="D3640" s="1"/>
      <c r="E3640" s="1"/>
      <c r="F3640" s="1"/>
      <c r="G3640" s="1"/>
      <c r="H3640" s="1" t="str">
        <f>"7800017073430"</f>
        <v>7800017073430</v>
      </c>
      <c r="I3640" s="3">
        <v>0</v>
      </c>
      <c r="J3640" s="3">
        <v>0</v>
      </c>
      <c r="K3640" s="3">
        <v>21000</v>
      </c>
    </row>
    <row r="3641" spans="1:11" x14ac:dyDescent="0.2">
      <c r="A3641" s="1" t="s">
        <v>4994</v>
      </c>
      <c r="B3641" s="1" t="s">
        <v>4539</v>
      </c>
      <c r="C3641" s="1"/>
      <c r="D3641" s="1"/>
      <c r="E3641" s="1"/>
      <c r="F3641" s="1"/>
      <c r="G3641" s="1"/>
      <c r="H3641" s="1" t="str">
        <f>"7800007154231"</f>
        <v>7800007154231</v>
      </c>
      <c r="I3641" s="3">
        <v>0</v>
      </c>
      <c r="J3641" s="3">
        <v>0</v>
      </c>
      <c r="K3641" s="3">
        <v>4500</v>
      </c>
    </row>
    <row r="3642" spans="1:11" x14ac:dyDescent="0.2">
      <c r="A3642" s="1" t="s">
        <v>4994</v>
      </c>
      <c r="B3642" s="1" t="s">
        <v>4541</v>
      </c>
      <c r="C3642" s="1"/>
      <c r="D3642" s="1"/>
      <c r="E3642" s="1"/>
      <c r="F3642" s="1"/>
      <c r="G3642" s="1"/>
      <c r="H3642" s="1" t="str">
        <f>"7800006000188"</f>
        <v>7800006000188</v>
      </c>
      <c r="I3642" s="3">
        <v>4</v>
      </c>
      <c r="J3642" s="3">
        <v>0</v>
      </c>
      <c r="K3642" s="3">
        <v>3000</v>
      </c>
    </row>
    <row r="3643" spans="1:11" x14ac:dyDescent="0.2">
      <c r="A3643" s="1" t="s">
        <v>4994</v>
      </c>
      <c r="B3643" s="1" t="s">
        <v>4542</v>
      </c>
      <c r="C3643" s="1"/>
      <c r="D3643" s="1"/>
      <c r="E3643" s="1"/>
      <c r="F3643" s="1"/>
      <c r="G3643" s="1"/>
      <c r="H3643" s="1" t="str">
        <f>"8424559090039"</f>
        <v>8424559090039</v>
      </c>
      <c r="I3643" s="3">
        <v>0</v>
      </c>
      <c r="J3643" s="3">
        <v>0</v>
      </c>
      <c r="K3643" s="3">
        <v>1500</v>
      </c>
    </row>
    <row r="3644" spans="1:11" x14ac:dyDescent="0.2">
      <c r="A3644" s="1" t="s">
        <v>4994</v>
      </c>
      <c r="B3644" s="1" t="s">
        <v>4543</v>
      </c>
      <c r="C3644" s="1"/>
      <c r="D3644" s="1"/>
      <c r="E3644" s="1"/>
      <c r="F3644" s="1"/>
      <c r="G3644" s="1"/>
      <c r="H3644" s="1" t="str">
        <f>"7891537395874"</f>
        <v>7891537395874</v>
      </c>
      <c r="I3644" s="3">
        <v>0</v>
      </c>
      <c r="J3644" s="3">
        <v>0</v>
      </c>
      <c r="K3644" s="3">
        <v>600</v>
      </c>
    </row>
    <row r="3645" spans="1:11" x14ac:dyDescent="0.2">
      <c r="A3645" s="1" t="s">
        <v>4994</v>
      </c>
      <c r="B3645" s="1" t="s">
        <v>4544</v>
      </c>
      <c r="C3645" s="1"/>
      <c r="D3645" s="1"/>
      <c r="E3645" s="1"/>
      <c r="F3645" s="1"/>
      <c r="G3645" s="1"/>
      <c r="H3645" s="1" t="str">
        <f>"6956738716161"</f>
        <v>6956738716161</v>
      </c>
      <c r="I3645" s="3">
        <v>0</v>
      </c>
      <c r="J3645" s="3">
        <v>0</v>
      </c>
      <c r="K3645" s="3">
        <v>2000</v>
      </c>
    </row>
    <row r="3646" spans="1:11" x14ac:dyDescent="0.2">
      <c r="A3646" s="1" t="s">
        <v>4994</v>
      </c>
      <c r="B3646" s="1" t="s">
        <v>4545</v>
      </c>
      <c r="C3646" s="1"/>
      <c r="D3646" s="1"/>
      <c r="E3646" s="1"/>
      <c r="F3646" s="1"/>
      <c r="G3646" s="1"/>
      <c r="H3646" s="1" t="str">
        <f>"1003490110715"</f>
        <v>1003490110715</v>
      </c>
      <c r="I3646" s="3">
        <v>0</v>
      </c>
      <c r="J3646" s="3">
        <v>0</v>
      </c>
      <c r="K3646" s="3">
        <v>500</v>
      </c>
    </row>
    <row r="3647" spans="1:11" x14ac:dyDescent="0.2">
      <c r="A3647" s="1" t="s">
        <v>4994</v>
      </c>
      <c r="B3647" s="1" t="s">
        <v>4547</v>
      </c>
      <c r="C3647" s="1"/>
      <c r="D3647" s="1"/>
      <c r="E3647" s="1"/>
      <c r="F3647" s="1"/>
      <c r="G3647" s="1"/>
      <c r="H3647" s="1" t="str">
        <f>"7805357004205"</f>
        <v>7805357004205</v>
      </c>
      <c r="I3647" s="3">
        <v>0</v>
      </c>
      <c r="J3647" s="3">
        <v>0</v>
      </c>
      <c r="K3647" s="3">
        <v>900</v>
      </c>
    </row>
    <row r="3648" spans="1:11" x14ac:dyDescent="0.2">
      <c r="A3648" s="1" t="s">
        <v>4994</v>
      </c>
      <c r="B3648" s="1" t="s">
        <v>4548</v>
      </c>
      <c r="C3648" s="1"/>
      <c r="D3648" s="1"/>
      <c r="E3648" s="1"/>
      <c r="F3648" s="1"/>
      <c r="G3648" s="1"/>
      <c r="H3648" s="1" t="str">
        <f>"7804640560657"</f>
        <v>7804640560657</v>
      </c>
      <c r="I3648" s="3">
        <v>0</v>
      </c>
      <c r="J3648" s="3">
        <v>0</v>
      </c>
      <c r="K3648" s="3">
        <v>2000</v>
      </c>
    </row>
    <row r="3649" spans="1:11" x14ac:dyDescent="0.2">
      <c r="A3649" s="1" t="s">
        <v>4994</v>
      </c>
      <c r="B3649" s="1" t="s">
        <v>4549</v>
      </c>
      <c r="C3649" s="1"/>
      <c r="D3649" s="1"/>
      <c r="E3649" s="1"/>
      <c r="F3649" s="1"/>
      <c r="G3649" s="1"/>
      <c r="H3649" s="1" t="str">
        <f>"7800026009987"</f>
        <v>7800026009987</v>
      </c>
      <c r="I3649" s="3">
        <v>0</v>
      </c>
      <c r="J3649" s="3">
        <v>0</v>
      </c>
      <c r="K3649" s="3">
        <v>25000</v>
      </c>
    </row>
    <row r="3650" spans="1:11" x14ac:dyDescent="0.2">
      <c r="A3650" s="1" t="s">
        <v>4994</v>
      </c>
      <c r="B3650" s="1" t="s">
        <v>4550</v>
      </c>
      <c r="C3650" s="1"/>
      <c r="D3650" s="1"/>
      <c r="E3650" s="1"/>
      <c r="F3650" s="1"/>
      <c r="G3650" s="1"/>
      <c r="H3650" s="1" t="str">
        <f>"7804923031263"</f>
        <v>7804923031263</v>
      </c>
      <c r="I3650" s="3">
        <v>0</v>
      </c>
      <c r="J3650" s="3">
        <v>0</v>
      </c>
      <c r="K3650" s="3">
        <v>2500</v>
      </c>
    </row>
    <row r="3651" spans="1:11" x14ac:dyDescent="0.2">
      <c r="A3651" s="1" t="s">
        <v>4994</v>
      </c>
      <c r="B3651" s="1" t="s">
        <v>4551</v>
      </c>
      <c r="C3651" s="1"/>
      <c r="D3651" s="1"/>
      <c r="E3651" s="1"/>
      <c r="F3651" s="1"/>
      <c r="G3651" s="1"/>
      <c r="H3651" s="1" t="str">
        <f>"7804923031225"</f>
        <v>7804923031225</v>
      </c>
      <c r="I3651" s="3">
        <v>0</v>
      </c>
      <c r="J3651" s="3">
        <v>0</v>
      </c>
      <c r="K3651" s="3">
        <v>2500</v>
      </c>
    </row>
    <row r="3652" spans="1:11" x14ac:dyDescent="0.2">
      <c r="A3652" s="1" t="s">
        <v>4994</v>
      </c>
      <c r="B3652" s="1" t="s">
        <v>4552</v>
      </c>
      <c r="C3652" s="1"/>
      <c r="D3652" s="1"/>
      <c r="E3652" s="1"/>
      <c r="F3652" s="1"/>
      <c r="G3652" s="1"/>
      <c r="H3652" s="1" t="str">
        <f>"7804923031447"</f>
        <v>7804923031447</v>
      </c>
      <c r="I3652" s="3">
        <v>0</v>
      </c>
      <c r="J3652" s="3">
        <v>0</v>
      </c>
      <c r="K3652" s="3">
        <v>2500</v>
      </c>
    </row>
    <row r="3653" spans="1:11" x14ac:dyDescent="0.2">
      <c r="A3653" s="1" t="s">
        <v>4994</v>
      </c>
      <c r="B3653" s="1" t="s">
        <v>4553</v>
      </c>
      <c r="C3653" s="1"/>
      <c r="D3653" s="1"/>
      <c r="E3653" s="1"/>
      <c r="F3653" s="1"/>
      <c r="G3653" s="1"/>
      <c r="H3653" s="1" t="str">
        <f>"7798140259916"</f>
        <v>7798140259916</v>
      </c>
      <c r="I3653" s="3">
        <v>0</v>
      </c>
      <c r="J3653" s="3">
        <v>0</v>
      </c>
      <c r="K3653" s="3">
        <v>6500</v>
      </c>
    </row>
    <row r="3654" spans="1:11" x14ac:dyDescent="0.2">
      <c r="A3654" s="1" t="s">
        <v>4994</v>
      </c>
      <c r="B3654" s="1" t="s">
        <v>4554</v>
      </c>
      <c r="C3654" s="1"/>
      <c r="D3654" s="1"/>
      <c r="E3654" s="1"/>
      <c r="F3654" s="1"/>
      <c r="G3654" s="1"/>
      <c r="H3654" s="1" t="str">
        <f>"7798140258506"</f>
        <v>7798140258506</v>
      </c>
      <c r="I3654" s="3">
        <v>0</v>
      </c>
      <c r="J3654" s="3">
        <v>0</v>
      </c>
      <c r="K3654" s="3">
        <v>6500</v>
      </c>
    </row>
    <row r="3655" spans="1:11" x14ac:dyDescent="0.2">
      <c r="A3655" s="1" t="s">
        <v>4994</v>
      </c>
      <c r="B3655" s="1" t="s">
        <v>4555</v>
      </c>
      <c r="C3655" s="1"/>
      <c r="D3655" s="1"/>
      <c r="E3655" s="1"/>
      <c r="F3655" s="1"/>
      <c r="G3655" s="1"/>
      <c r="H3655" s="1" t="str">
        <f>"650240031977"</f>
        <v>650240031977</v>
      </c>
      <c r="I3655" s="3">
        <v>0</v>
      </c>
      <c r="J3655" s="3">
        <v>0</v>
      </c>
      <c r="K3655" s="3">
        <v>9500</v>
      </c>
    </row>
    <row r="3656" spans="1:11" x14ac:dyDescent="0.2">
      <c r="A3656" s="1" t="s">
        <v>4994</v>
      </c>
      <c r="B3656" s="1" t="s">
        <v>4556</v>
      </c>
      <c r="C3656" s="1"/>
      <c r="D3656" s="1"/>
      <c r="E3656" s="1"/>
      <c r="F3656" s="1"/>
      <c r="G3656" s="1"/>
      <c r="H3656" s="1" t="str">
        <f>"650240057496"</f>
        <v>650240057496</v>
      </c>
      <c r="I3656" s="3">
        <v>0</v>
      </c>
      <c r="J3656" s="3">
        <v>0</v>
      </c>
      <c r="K3656" s="3">
        <v>6500</v>
      </c>
    </row>
    <row r="3657" spans="1:11" x14ac:dyDescent="0.2">
      <c r="A3657" s="1" t="s">
        <v>4994</v>
      </c>
      <c r="B3657" s="1" t="s">
        <v>4557</v>
      </c>
      <c r="C3657" s="1"/>
      <c r="D3657" s="1"/>
      <c r="E3657" s="1"/>
      <c r="F3657" s="1"/>
      <c r="G3657" s="1"/>
      <c r="H3657" s="1" t="str">
        <f>"650240035159"</f>
        <v>650240035159</v>
      </c>
      <c r="I3657" s="3">
        <v>0</v>
      </c>
      <c r="J3657" s="3">
        <v>0</v>
      </c>
      <c r="K3657" s="3">
        <v>9500</v>
      </c>
    </row>
    <row r="3658" spans="1:11" x14ac:dyDescent="0.2">
      <c r="A3658" s="1" t="s">
        <v>4994</v>
      </c>
      <c r="B3658" s="1" t="s">
        <v>4558</v>
      </c>
      <c r="C3658" s="1"/>
      <c r="D3658" s="1"/>
      <c r="E3658" s="1"/>
      <c r="F3658" s="1"/>
      <c r="G3658" s="1"/>
      <c r="H3658" s="1" t="str">
        <f>"650240062070"</f>
        <v>650240062070</v>
      </c>
      <c r="I3658" s="3">
        <v>0</v>
      </c>
      <c r="J3658" s="3">
        <v>0</v>
      </c>
      <c r="K3658" s="3">
        <v>6500</v>
      </c>
    </row>
    <row r="3659" spans="1:11" x14ac:dyDescent="0.2">
      <c r="A3659" s="1" t="s">
        <v>4994</v>
      </c>
      <c r="B3659" s="1" t="s">
        <v>4559</v>
      </c>
      <c r="C3659" s="1"/>
      <c r="D3659" s="1"/>
      <c r="E3659" s="1"/>
      <c r="F3659" s="1"/>
      <c r="G3659" s="1"/>
      <c r="H3659" s="1" t="str">
        <f>"650240015670"</f>
        <v>650240015670</v>
      </c>
      <c r="I3659" s="3">
        <v>0</v>
      </c>
      <c r="J3659" s="3">
        <v>0</v>
      </c>
      <c r="K3659" s="3">
        <v>10000</v>
      </c>
    </row>
    <row r="3660" spans="1:11" x14ac:dyDescent="0.2">
      <c r="A3660" s="1" t="s">
        <v>4994</v>
      </c>
      <c r="B3660" s="1" t="s">
        <v>4560</v>
      </c>
      <c r="C3660" s="1"/>
      <c r="D3660" s="1"/>
      <c r="E3660" s="1"/>
      <c r="F3660" s="1"/>
      <c r="G3660" s="1"/>
      <c r="H3660" s="1" t="str">
        <f>"650240011832"</f>
        <v>650240011832</v>
      </c>
      <c r="I3660" s="3">
        <v>0</v>
      </c>
      <c r="J3660" s="3">
        <v>0</v>
      </c>
      <c r="K3660" s="3">
        <v>10000</v>
      </c>
    </row>
    <row r="3661" spans="1:11" x14ac:dyDescent="0.2">
      <c r="A3661" s="1" t="s">
        <v>4994</v>
      </c>
      <c r="B3661" s="1" t="s">
        <v>4561</v>
      </c>
      <c r="C3661" s="1"/>
      <c r="D3661" s="1"/>
      <c r="E3661" s="1"/>
      <c r="F3661" s="1"/>
      <c r="G3661" s="1"/>
      <c r="H3661" s="1" t="str">
        <f>"TIR8"</f>
        <v>TIR8</v>
      </c>
      <c r="I3661" s="3">
        <v>0</v>
      </c>
      <c r="J3661" s="3">
        <v>0</v>
      </c>
      <c r="K3661" s="3">
        <v>2000</v>
      </c>
    </row>
    <row r="3662" spans="1:11" x14ac:dyDescent="0.2">
      <c r="A3662" s="1" t="s">
        <v>4994</v>
      </c>
      <c r="B3662" s="1" t="s">
        <v>4562</v>
      </c>
      <c r="C3662" s="1"/>
      <c r="D3662" s="1"/>
      <c r="E3662" s="1"/>
      <c r="F3662" s="1"/>
      <c r="G3662" s="1"/>
      <c r="H3662" s="1" t="str">
        <f>"7800046005198"</f>
        <v>7800046005198</v>
      </c>
      <c r="I3662" s="3">
        <v>0</v>
      </c>
      <c r="J3662" s="3">
        <v>0</v>
      </c>
      <c r="K3662" s="3">
        <v>3500</v>
      </c>
    </row>
    <row r="3663" spans="1:11" x14ac:dyDescent="0.2">
      <c r="A3663" s="1" t="s">
        <v>4994</v>
      </c>
      <c r="B3663" s="1" t="s">
        <v>4563</v>
      </c>
      <c r="C3663" s="1"/>
      <c r="D3663" s="1"/>
      <c r="E3663" s="1"/>
      <c r="F3663" s="1"/>
      <c r="G3663" s="1"/>
      <c r="H3663" s="1" t="str">
        <f>"7794626010811"</f>
        <v>7794626010811</v>
      </c>
      <c r="I3663" s="3">
        <v>0</v>
      </c>
      <c r="J3663" s="3">
        <v>0</v>
      </c>
      <c r="K3663" s="3">
        <v>1800</v>
      </c>
    </row>
    <row r="3664" spans="1:11" x14ac:dyDescent="0.2">
      <c r="A3664" s="1" t="s">
        <v>4994</v>
      </c>
      <c r="B3664" s="1" t="s">
        <v>4564</v>
      </c>
      <c r="C3664" s="1"/>
      <c r="D3664" s="1"/>
      <c r="E3664" s="1"/>
      <c r="F3664" s="1"/>
      <c r="G3664" s="1"/>
      <c r="H3664" s="1" t="str">
        <f>"7806500404736"</f>
        <v>7806500404736</v>
      </c>
      <c r="I3664" s="3">
        <v>0</v>
      </c>
      <c r="J3664" s="3">
        <v>0</v>
      </c>
      <c r="K3664" s="3">
        <v>2000</v>
      </c>
    </row>
    <row r="3665" spans="1:11" x14ac:dyDescent="0.2">
      <c r="A3665" s="1" t="s">
        <v>4994</v>
      </c>
      <c r="B3665" s="1" t="s">
        <v>4565</v>
      </c>
      <c r="C3665" s="1"/>
      <c r="D3665" s="1"/>
      <c r="E3665" s="1"/>
      <c r="F3665" s="1"/>
      <c r="G3665" s="1"/>
      <c r="H3665" s="1" t="str">
        <f>"7805633021476"</f>
        <v>7805633021476</v>
      </c>
      <c r="I3665" s="3">
        <v>0</v>
      </c>
      <c r="J3665" s="3">
        <v>0</v>
      </c>
      <c r="K3665" s="3">
        <v>1000</v>
      </c>
    </row>
    <row r="3666" spans="1:11" x14ac:dyDescent="0.2">
      <c r="A3666" s="1" t="s">
        <v>4994</v>
      </c>
      <c r="B3666" s="1" t="s">
        <v>4566</v>
      </c>
      <c r="C3666" s="1"/>
      <c r="D3666" s="1"/>
      <c r="E3666" s="1"/>
      <c r="F3666" s="1"/>
      <c r="G3666" s="1"/>
      <c r="H3666" s="1" t="str">
        <f>"7702031954507"</f>
        <v>7702031954507</v>
      </c>
      <c r="I3666" s="3">
        <v>0</v>
      </c>
      <c r="J3666" s="3">
        <v>0</v>
      </c>
      <c r="K3666" s="3">
        <v>2800</v>
      </c>
    </row>
    <row r="3667" spans="1:11" x14ac:dyDescent="0.2">
      <c r="A3667" s="1" t="s">
        <v>4994</v>
      </c>
      <c r="B3667" s="1" t="s">
        <v>4567</v>
      </c>
      <c r="C3667" s="1"/>
      <c r="D3667" s="1"/>
      <c r="E3667" s="1"/>
      <c r="F3667" s="1"/>
      <c r="G3667" s="1"/>
      <c r="H3667" s="1" t="str">
        <f>"7702425802735"</f>
        <v>7702425802735</v>
      </c>
      <c r="I3667" s="3">
        <v>0</v>
      </c>
      <c r="J3667" s="3">
        <v>0</v>
      </c>
      <c r="K3667" s="3">
        <v>1500</v>
      </c>
    </row>
    <row r="3668" spans="1:11" x14ac:dyDescent="0.2">
      <c r="A3668" s="1" t="s">
        <v>4994</v>
      </c>
      <c r="B3668" s="1" t="s">
        <v>4568</v>
      </c>
      <c r="C3668" s="1"/>
      <c r="D3668" s="1"/>
      <c r="E3668" s="1"/>
      <c r="F3668" s="1"/>
      <c r="G3668" s="1"/>
      <c r="H3668" s="1" t="str">
        <f>"7702026180287"</f>
        <v>7702026180287</v>
      </c>
      <c r="I3668" s="3">
        <v>0</v>
      </c>
      <c r="J3668" s="3">
        <v>0</v>
      </c>
      <c r="K3668" s="3">
        <v>2000</v>
      </c>
    </row>
    <row r="3669" spans="1:11" x14ac:dyDescent="0.2">
      <c r="A3669" s="1" t="s">
        <v>4994</v>
      </c>
      <c r="B3669" s="1" t="s">
        <v>4569</v>
      </c>
      <c r="C3669" s="1"/>
      <c r="D3669" s="1"/>
      <c r="E3669" s="1"/>
      <c r="F3669" s="1"/>
      <c r="G3669" s="1"/>
      <c r="H3669" s="1" t="str">
        <f>"6972699760289"</f>
        <v>6972699760289</v>
      </c>
      <c r="I3669" s="3">
        <v>0</v>
      </c>
      <c r="J3669" s="3">
        <v>0</v>
      </c>
      <c r="K3669" s="3">
        <v>1500</v>
      </c>
    </row>
    <row r="3670" spans="1:11" x14ac:dyDescent="0.2">
      <c r="A3670" s="1" t="s">
        <v>4994</v>
      </c>
      <c r="B3670" s="1" t="s">
        <v>4570</v>
      </c>
      <c r="C3670" s="1"/>
      <c r="D3670" s="1"/>
      <c r="E3670" s="1"/>
      <c r="F3670" s="1"/>
      <c r="G3670" s="1"/>
      <c r="H3670" s="1" t="str">
        <f>"7809536101655"</f>
        <v>7809536101655</v>
      </c>
      <c r="I3670" s="3">
        <v>7</v>
      </c>
      <c r="J3670" s="3">
        <v>0</v>
      </c>
      <c r="K3670" s="3">
        <v>3000</v>
      </c>
    </row>
    <row r="3671" spans="1:11" x14ac:dyDescent="0.2">
      <c r="A3671" s="1" t="s">
        <v>4994</v>
      </c>
      <c r="B3671" s="1" t="s">
        <v>4571</v>
      </c>
      <c r="C3671" s="1"/>
      <c r="D3671" s="1"/>
      <c r="E3671" s="1"/>
      <c r="F3671" s="1"/>
      <c r="G3671" s="1"/>
      <c r="H3671" s="1" t="str">
        <f>"7805633020530"</f>
        <v>7805633020530</v>
      </c>
      <c r="I3671" s="3">
        <v>10</v>
      </c>
      <c r="J3671" s="3">
        <v>0</v>
      </c>
      <c r="K3671" s="3">
        <v>3600</v>
      </c>
    </row>
    <row r="3672" spans="1:11" x14ac:dyDescent="0.2">
      <c r="A3672" s="1" t="s">
        <v>4994</v>
      </c>
      <c r="B3672" s="1" t="s">
        <v>4572</v>
      </c>
      <c r="C3672" s="1"/>
      <c r="D3672" s="1"/>
      <c r="E3672" s="1"/>
      <c r="F3672" s="1"/>
      <c r="G3672" s="1"/>
      <c r="H3672" s="1" t="str">
        <f>"7804603542232"</f>
        <v>7804603542232</v>
      </c>
      <c r="I3672" s="3">
        <v>0</v>
      </c>
      <c r="J3672" s="3">
        <v>0</v>
      </c>
      <c r="K3672" s="3">
        <v>2500</v>
      </c>
    </row>
    <row r="3673" spans="1:11" x14ac:dyDescent="0.2">
      <c r="A3673" s="1" t="s">
        <v>4994</v>
      </c>
      <c r="B3673" s="1" t="s">
        <v>4573</v>
      </c>
      <c r="C3673" s="1"/>
      <c r="D3673" s="1"/>
      <c r="E3673" s="1"/>
      <c r="F3673" s="1"/>
      <c r="G3673" s="1"/>
      <c r="H3673" s="1" t="str">
        <f>"7809604012234"</f>
        <v>7809604012234</v>
      </c>
      <c r="I3673" s="3">
        <v>0</v>
      </c>
      <c r="J3673" s="3">
        <v>0</v>
      </c>
      <c r="K3673" s="3">
        <v>2000</v>
      </c>
    </row>
    <row r="3674" spans="1:11" x14ac:dyDescent="0.2">
      <c r="A3674" s="1" t="s">
        <v>4994</v>
      </c>
      <c r="B3674" s="1" t="s">
        <v>4574</v>
      </c>
      <c r="C3674" s="1"/>
      <c r="D3674" s="1"/>
      <c r="E3674" s="1"/>
      <c r="F3674" s="1"/>
      <c r="G3674" s="1"/>
      <c r="H3674" s="1" t="str">
        <f>"7500435171328"</f>
        <v>7500435171328</v>
      </c>
      <c r="I3674" s="3">
        <v>0</v>
      </c>
      <c r="J3674" s="3">
        <v>0</v>
      </c>
      <c r="K3674" s="3">
        <v>2000</v>
      </c>
    </row>
    <row r="3675" spans="1:11" x14ac:dyDescent="0.2">
      <c r="A3675" s="1" t="s">
        <v>4994</v>
      </c>
      <c r="B3675" s="1" t="s">
        <v>4575</v>
      </c>
      <c r="C3675" s="1"/>
      <c r="D3675" s="1"/>
      <c r="E3675" s="1"/>
      <c r="F3675" s="1"/>
      <c r="G3675" s="1"/>
      <c r="H3675" s="1" t="str">
        <f>"7702026180355"</f>
        <v>7702026180355</v>
      </c>
      <c r="I3675" s="3">
        <v>0</v>
      </c>
      <c r="J3675" s="3">
        <v>0</v>
      </c>
      <c r="K3675" s="3">
        <v>1000</v>
      </c>
    </row>
    <row r="3676" spans="1:11" x14ac:dyDescent="0.2">
      <c r="A3676" s="1" t="s">
        <v>4994</v>
      </c>
      <c r="B3676" s="1" t="s">
        <v>4576</v>
      </c>
      <c r="C3676" s="1"/>
      <c r="D3676" s="1"/>
      <c r="E3676" s="1"/>
      <c r="F3676" s="1"/>
      <c r="G3676" s="1"/>
      <c r="H3676" s="1" t="str">
        <f>"7702027429354"</f>
        <v>7702027429354</v>
      </c>
      <c r="I3676" s="3">
        <v>0</v>
      </c>
      <c r="J3676" s="3">
        <v>0</v>
      </c>
      <c r="K3676" s="3">
        <v>1000</v>
      </c>
    </row>
    <row r="3677" spans="1:11" x14ac:dyDescent="0.2">
      <c r="A3677" s="1" t="s">
        <v>4994</v>
      </c>
      <c r="B3677" s="1" t="s">
        <v>4577</v>
      </c>
      <c r="C3677" s="1"/>
      <c r="D3677" s="1"/>
      <c r="E3677" s="1"/>
      <c r="F3677" s="1"/>
      <c r="G3677" s="1"/>
      <c r="H3677" s="1" t="str">
        <f>"4005900985828"</f>
        <v>4005900985828</v>
      </c>
      <c r="I3677" s="3">
        <v>14</v>
      </c>
      <c r="J3677" s="3">
        <v>0</v>
      </c>
      <c r="K3677" s="3">
        <v>2000</v>
      </c>
    </row>
    <row r="3678" spans="1:11" x14ac:dyDescent="0.2">
      <c r="A3678" s="1" t="s">
        <v>4994</v>
      </c>
      <c r="B3678" s="1" t="s">
        <v>4578</v>
      </c>
      <c r="C3678" s="1"/>
      <c r="D3678" s="1"/>
      <c r="E3678" s="1"/>
      <c r="F3678" s="1"/>
      <c r="G3678" s="1"/>
      <c r="H3678" s="1" t="str">
        <f>"4005900985811"</f>
        <v>4005900985811</v>
      </c>
      <c r="I3678" s="3">
        <v>0</v>
      </c>
      <c r="J3678" s="3">
        <v>0</v>
      </c>
      <c r="K3678" s="3">
        <v>2000</v>
      </c>
    </row>
    <row r="3679" spans="1:11" x14ac:dyDescent="0.2">
      <c r="A3679" s="1" t="s">
        <v>4994</v>
      </c>
      <c r="B3679" s="1" t="s">
        <v>4579</v>
      </c>
      <c r="C3679" s="1"/>
      <c r="D3679" s="1"/>
      <c r="E3679" s="1"/>
      <c r="F3679" s="1"/>
      <c r="G3679" s="1"/>
      <c r="H3679" s="1" t="str">
        <f>"4005900985804"</f>
        <v>4005900985804</v>
      </c>
      <c r="I3679" s="3">
        <v>0</v>
      </c>
      <c r="J3679" s="3">
        <v>0</v>
      </c>
      <c r="K3679" s="3">
        <v>2500</v>
      </c>
    </row>
    <row r="3680" spans="1:11" x14ac:dyDescent="0.2">
      <c r="A3680" s="1" t="s">
        <v>4994</v>
      </c>
      <c r="B3680" s="1" t="s">
        <v>4580</v>
      </c>
      <c r="C3680" s="1"/>
      <c r="D3680" s="1"/>
      <c r="E3680" s="1"/>
      <c r="F3680" s="1"/>
      <c r="G3680" s="1"/>
      <c r="H3680" s="1" t="str">
        <f>"7804603540894"</f>
        <v>7804603540894</v>
      </c>
      <c r="I3680" s="3">
        <v>0</v>
      </c>
      <c r="J3680" s="3">
        <v>0</v>
      </c>
      <c r="K3680" s="3">
        <v>1000</v>
      </c>
    </row>
    <row r="3681" spans="1:11" x14ac:dyDescent="0.2">
      <c r="A3681" s="1" t="s">
        <v>4994</v>
      </c>
      <c r="B3681" s="1" t="s">
        <v>4581</v>
      </c>
      <c r="C3681" s="1"/>
      <c r="D3681" s="1"/>
      <c r="E3681" s="1"/>
      <c r="F3681" s="1"/>
      <c r="G3681" s="1"/>
      <c r="H3681" s="1" t="str">
        <f>"4005900985798"</f>
        <v>4005900985798</v>
      </c>
      <c r="I3681" s="3">
        <v>0</v>
      </c>
      <c r="J3681" s="3">
        <v>0</v>
      </c>
      <c r="K3681" s="3">
        <v>2000</v>
      </c>
    </row>
    <row r="3682" spans="1:11" x14ac:dyDescent="0.2">
      <c r="A3682" s="1" t="s">
        <v>4994</v>
      </c>
      <c r="B3682" s="1" t="s">
        <v>4582</v>
      </c>
      <c r="C3682" s="1"/>
      <c r="D3682" s="1"/>
      <c r="E3682" s="1"/>
      <c r="F3682" s="1"/>
      <c r="G3682" s="1"/>
      <c r="H3682" s="1" t="str">
        <f>"7804907937666"</f>
        <v>7804907937666</v>
      </c>
      <c r="I3682" s="3">
        <v>0</v>
      </c>
      <c r="J3682" s="3">
        <v>0</v>
      </c>
      <c r="K3682" s="3">
        <v>2000</v>
      </c>
    </row>
    <row r="3683" spans="1:11" x14ac:dyDescent="0.2">
      <c r="A3683" s="1" t="s">
        <v>4994</v>
      </c>
      <c r="B3683" s="1" t="s">
        <v>4583</v>
      </c>
      <c r="C3683" s="1"/>
      <c r="D3683" s="1"/>
      <c r="E3683" s="1"/>
      <c r="F3683" s="1"/>
      <c r="G3683" s="1"/>
      <c r="H3683" s="1" t="str">
        <f>"7805633025634"</f>
        <v>7805633025634</v>
      </c>
      <c r="I3683" s="3">
        <v>16</v>
      </c>
      <c r="J3683" s="3">
        <v>0</v>
      </c>
      <c r="K3683" s="3">
        <v>1000</v>
      </c>
    </row>
    <row r="3684" spans="1:11" x14ac:dyDescent="0.2">
      <c r="A3684" s="1" t="s">
        <v>4994</v>
      </c>
      <c r="B3684" s="1" t="s">
        <v>4584</v>
      </c>
      <c r="C3684" s="1"/>
      <c r="D3684" s="1"/>
      <c r="E3684" s="1"/>
      <c r="F3684" s="1"/>
      <c r="G3684" s="1"/>
      <c r="H3684" s="1" t="str">
        <f>"7805633014287"</f>
        <v>7805633014287</v>
      </c>
      <c r="I3684" s="3">
        <v>24</v>
      </c>
      <c r="J3684" s="3">
        <v>0</v>
      </c>
      <c r="K3684" s="3">
        <v>2500</v>
      </c>
    </row>
    <row r="3685" spans="1:11" x14ac:dyDescent="0.2">
      <c r="A3685" s="1" t="s">
        <v>4994</v>
      </c>
      <c r="B3685" s="1" t="s">
        <v>4586</v>
      </c>
      <c r="C3685" s="1"/>
      <c r="D3685" s="1"/>
      <c r="E3685" s="1"/>
      <c r="F3685" s="1"/>
      <c r="G3685" s="1"/>
      <c r="H3685" s="1" t="str">
        <f>"7702425800700"</f>
        <v>7702425800700</v>
      </c>
      <c r="I3685" s="3">
        <v>40</v>
      </c>
      <c r="J3685" s="3">
        <v>0</v>
      </c>
      <c r="K3685" s="3">
        <v>1500</v>
      </c>
    </row>
    <row r="3686" spans="1:11" x14ac:dyDescent="0.2">
      <c r="A3686" s="1" t="s">
        <v>4994</v>
      </c>
      <c r="B3686" s="1" t="s">
        <v>4587</v>
      </c>
      <c r="C3686" s="1"/>
      <c r="D3686" s="1"/>
      <c r="E3686" s="1"/>
      <c r="F3686" s="1"/>
      <c r="G3686" s="1"/>
      <c r="H3686" s="1" t="str">
        <f>"7709957238483"</f>
        <v>7709957238483</v>
      </c>
      <c r="I3686" s="3">
        <v>0</v>
      </c>
      <c r="J3686" s="3">
        <v>0</v>
      </c>
      <c r="K3686" s="3">
        <v>1500</v>
      </c>
    </row>
    <row r="3687" spans="1:11" x14ac:dyDescent="0.2">
      <c r="A3687" s="1" t="s">
        <v>4994</v>
      </c>
      <c r="B3687" s="1" t="s">
        <v>4588</v>
      </c>
      <c r="C3687" s="1"/>
      <c r="D3687" s="1"/>
      <c r="E3687" s="1"/>
      <c r="F3687" s="1"/>
      <c r="G3687" s="1"/>
      <c r="H3687" s="1" t="str">
        <f>"7804603542478"</f>
        <v>7804603542478</v>
      </c>
      <c r="I3687" s="3">
        <v>50</v>
      </c>
      <c r="J3687" s="3">
        <v>0</v>
      </c>
      <c r="K3687" s="3">
        <v>2000</v>
      </c>
    </row>
    <row r="3688" spans="1:11" x14ac:dyDescent="0.2">
      <c r="A3688" s="1" t="s">
        <v>4994</v>
      </c>
      <c r="B3688" s="1" t="s">
        <v>4589</v>
      </c>
      <c r="C3688" s="1"/>
      <c r="D3688" s="1"/>
      <c r="E3688" s="1"/>
      <c r="F3688" s="1"/>
      <c r="G3688" s="1"/>
      <c r="H3688" s="1" t="str">
        <f>"7702425800717"</f>
        <v>7702425800717</v>
      </c>
      <c r="I3688" s="3">
        <v>0</v>
      </c>
      <c r="J3688" s="3">
        <v>0</v>
      </c>
      <c r="K3688" s="3">
        <v>2500</v>
      </c>
    </row>
    <row r="3689" spans="1:11" x14ac:dyDescent="0.2">
      <c r="A3689" s="1" t="s">
        <v>4994</v>
      </c>
      <c r="B3689" s="1" t="s">
        <v>4590</v>
      </c>
      <c r="C3689" s="1"/>
      <c r="D3689" s="1"/>
      <c r="E3689" s="1"/>
      <c r="F3689" s="1"/>
      <c r="G3689" s="1"/>
      <c r="H3689" s="1" t="str">
        <f>"7804945017429"</f>
        <v>7804945017429</v>
      </c>
      <c r="I3689" s="3">
        <v>0</v>
      </c>
      <c r="J3689" s="3">
        <v>0</v>
      </c>
      <c r="K3689" s="3">
        <v>3000</v>
      </c>
    </row>
    <row r="3690" spans="1:11" x14ac:dyDescent="0.2">
      <c r="A3690" s="1" t="s">
        <v>4994</v>
      </c>
      <c r="B3690" s="1" t="s">
        <v>4591</v>
      </c>
      <c r="C3690" s="1"/>
      <c r="D3690" s="1"/>
      <c r="E3690" s="1"/>
      <c r="F3690" s="1"/>
      <c r="G3690" s="1"/>
      <c r="H3690" s="1" t="str">
        <f>"7804641330860"</f>
        <v>7804641330860</v>
      </c>
      <c r="I3690" s="3">
        <v>0</v>
      </c>
      <c r="J3690" s="3">
        <v>0</v>
      </c>
      <c r="K3690" s="3">
        <v>1000</v>
      </c>
    </row>
    <row r="3691" spans="1:11" x14ac:dyDescent="0.2">
      <c r="A3691" s="1" t="s">
        <v>4994</v>
      </c>
      <c r="B3691" s="1" t="s">
        <v>4592</v>
      </c>
      <c r="C3691" s="1"/>
      <c r="D3691" s="1"/>
      <c r="E3691" s="1"/>
      <c r="F3691" s="1"/>
      <c r="G3691" s="1"/>
      <c r="H3691" s="1" t="str">
        <f>"7809536101389"</f>
        <v>7809536101389</v>
      </c>
      <c r="I3691" s="3">
        <v>0</v>
      </c>
      <c r="J3691" s="3">
        <v>0</v>
      </c>
      <c r="K3691" s="3">
        <v>2500</v>
      </c>
    </row>
    <row r="3692" spans="1:11" x14ac:dyDescent="0.2">
      <c r="A3692" s="1" t="s">
        <v>4994</v>
      </c>
      <c r="B3692" s="1" t="s">
        <v>4593</v>
      </c>
      <c r="C3692" s="1"/>
      <c r="D3692" s="1"/>
      <c r="E3692" s="1"/>
      <c r="F3692" s="1"/>
      <c r="G3692" s="1"/>
      <c r="H3692" s="1" t="str">
        <f>"7800007713827"</f>
        <v>7800007713827</v>
      </c>
      <c r="I3692" s="3">
        <v>0</v>
      </c>
      <c r="J3692" s="3">
        <v>0</v>
      </c>
      <c r="K3692" s="3">
        <v>21000</v>
      </c>
    </row>
    <row r="3693" spans="1:11" x14ac:dyDescent="0.2">
      <c r="A3693" s="1" t="s">
        <v>4994</v>
      </c>
      <c r="B3693" s="1" t="s">
        <v>4594</v>
      </c>
      <c r="C3693" s="1"/>
      <c r="D3693" s="1"/>
      <c r="E3693" s="1"/>
      <c r="F3693" s="1"/>
      <c r="G3693" s="1"/>
      <c r="H3693" s="1" t="str">
        <f>"5413895015779"</f>
        <v>5413895015779</v>
      </c>
      <c r="I3693" s="3">
        <v>0</v>
      </c>
      <c r="J3693" s="3">
        <v>0</v>
      </c>
      <c r="K3693" s="3">
        <v>32000</v>
      </c>
    </row>
    <row r="3694" spans="1:11" x14ac:dyDescent="0.2">
      <c r="A3694" s="1" t="s">
        <v>4994</v>
      </c>
      <c r="B3694" s="1" t="s">
        <v>4595</v>
      </c>
      <c r="C3694" s="1"/>
      <c r="D3694" s="1"/>
      <c r="E3694" s="1"/>
      <c r="F3694" s="1"/>
      <c r="G3694" s="1"/>
      <c r="H3694" s="1" t="str">
        <f>"7896548134887"</f>
        <v>7896548134887</v>
      </c>
      <c r="I3694" s="3">
        <v>6</v>
      </c>
      <c r="J3694" s="3">
        <v>0</v>
      </c>
      <c r="K3694" s="3">
        <v>30000</v>
      </c>
    </row>
    <row r="3695" spans="1:11" x14ac:dyDescent="0.2">
      <c r="A3695" s="1" t="s">
        <v>4994</v>
      </c>
      <c r="B3695" s="1" t="s">
        <v>4596</v>
      </c>
      <c r="C3695" s="1"/>
      <c r="D3695" s="1"/>
      <c r="E3695" s="1"/>
      <c r="F3695" s="1"/>
      <c r="G3695" s="1"/>
      <c r="H3695" s="1" t="str">
        <f>"7804640560824"</f>
        <v>7804640560824</v>
      </c>
      <c r="I3695" s="3">
        <v>10</v>
      </c>
      <c r="J3695" s="3">
        <v>0</v>
      </c>
      <c r="K3695" s="3">
        <v>6000</v>
      </c>
    </row>
    <row r="3696" spans="1:11" x14ac:dyDescent="0.2">
      <c r="A3696" s="1" t="s">
        <v>4994</v>
      </c>
      <c r="B3696" s="1" t="s">
        <v>4597</v>
      </c>
      <c r="C3696" s="1"/>
      <c r="D3696" s="1"/>
      <c r="E3696" s="1"/>
      <c r="F3696" s="1"/>
      <c r="G3696" s="1"/>
      <c r="H3696" s="1" t="str">
        <f>"7612797421512"</f>
        <v>7612797421512</v>
      </c>
      <c r="I3696" s="3">
        <v>0</v>
      </c>
      <c r="J3696" s="3">
        <v>0</v>
      </c>
      <c r="K3696" s="3">
        <v>35000</v>
      </c>
    </row>
    <row r="3697" spans="1:11" x14ac:dyDescent="0.2">
      <c r="A3697" s="1" t="s">
        <v>4994</v>
      </c>
      <c r="B3697" s="1" t="s">
        <v>4598</v>
      </c>
      <c r="C3697" s="1"/>
      <c r="D3697" s="1"/>
      <c r="E3697" s="1"/>
      <c r="F3697" s="1"/>
      <c r="G3697" s="1"/>
      <c r="H3697" s="1" t="str">
        <f>"7800028003730"</f>
        <v>7800028003730</v>
      </c>
      <c r="I3697" s="3">
        <v>0</v>
      </c>
      <c r="J3697" s="3">
        <v>0</v>
      </c>
      <c r="K3697" s="3">
        <v>5000</v>
      </c>
    </row>
    <row r="3698" spans="1:11" x14ac:dyDescent="0.2">
      <c r="A3698" s="1" t="s">
        <v>4994</v>
      </c>
      <c r="B3698" s="1" t="s">
        <v>4600</v>
      </c>
      <c r="C3698" s="1"/>
      <c r="D3698" s="1"/>
      <c r="E3698" s="1"/>
      <c r="F3698" s="1"/>
      <c r="G3698" s="1"/>
      <c r="H3698" s="1" t="str">
        <f>"7800060015401"</f>
        <v>7800060015401</v>
      </c>
      <c r="I3698" s="3">
        <v>7</v>
      </c>
      <c r="J3698" s="3">
        <v>0</v>
      </c>
      <c r="K3698" s="3">
        <v>11000</v>
      </c>
    </row>
    <row r="3699" spans="1:11" x14ac:dyDescent="0.2">
      <c r="A3699" s="1" t="s">
        <v>4994</v>
      </c>
      <c r="B3699" s="1" t="s">
        <v>4601</v>
      </c>
      <c r="C3699" s="1"/>
      <c r="D3699" s="1"/>
      <c r="E3699" s="1"/>
      <c r="F3699" s="1"/>
      <c r="G3699" s="1"/>
      <c r="H3699" s="1" t="str">
        <f>"3337875806961"</f>
        <v>3337875806961</v>
      </c>
      <c r="I3699" s="3">
        <v>0</v>
      </c>
      <c r="J3699" s="3">
        <v>0</v>
      </c>
      <c r="K3699" s="3">
        <v>32000</v>
      </c>
    </row>
    <row r="3700" spans="1:11" x14ac:dyDescent="0.2">
      <c r="A3700" s="1" t="s">
        <v>4994</v>
      </c>
      <c r="B3700" s="1" t="s">
        <v>4603</v>
      </c>
      <c r="C3700" s="1"/>
      <c r="D3700" s="1"/>
      <c r="E3700" s="1"/>
      <c r="F3700" s="1"/>
      <c r="G3700" s="1"/>
      <c r="H3700" s="1" t="str">
        <f>"7800007141330"</f>
        <v>7800007141330</v>
      </c>
      <c r="I3700" s="3">
        <v>0</v>
      </c>
      <c r="J3700" s="3">
        <v>0</v>
      </c>
      <c r="K3700" s="3">
        <v>4500</v>
      </c>
    </row>
    <row r="3701" spans="1:11" x14ac:dyDescent="0.2">
      <c r="A3701" s="1" t="s">
        <v>4994</v>
      </c>
      <c r="B3701" s="1" t="s">
        <v>4604</v>
      </c>
      <c r="C3701" s="1"/>
      <c r="D3701" s="1"/>
      <c r="E3701" s="1"/>
      <c r="F3701" s="1"/>
      <c r="G3701" s="1"/>
      <c r="H3701" s="1" t="str">
        <f>"7800007808417"</f>
        <v>7800007808417</v>
      </c>
      <c r="I3701" s="3">
        <v>6</v>
      </c>
      <c r="J3701" s="3">
        <v>0</v>
      </c>
      <c r="K3701" s="3">
        <v>6000</v>
      </c>
    </row>
    <row r="3702" spans="1:11" x14ac:dyDescent="0.2">
      <c r="A3702" s="1" t="s">
        <v>4994</v>
      </c>
      <c r="B3702" s="1" t="s">
        <v>4608</v>
      </c>
      <c r="C3702" s="1"/>
      <c r="D3702" s="1"/>
      <c r="E3702" s="1"/>
      <c r="F3702" s="1"/>
      <c r="G3702" s="1"/>
      <c r="H3702" s="1" t="str">
        <f>"7804653720277"</f>
        <v>7804653720277</v>
      </c>
      <c r="I3702" s="3">
        <v>6</v>
      </c>
      <c r="J3702" s="3">
        <v>0</v>
      </c>
      <c r="K3702" s="3">
        <v>15500</v>
      </c>
    </row>
    <row r="3703" spans="1:11" x14ac:dyDescent="0.2">
      <c r="A3703" s="1" t="s">
        <v>4994</v>
      </c>
      <c r="B3703" s="1" t="s">
        <v>4609</v>
      </c>
      <c r="C3703" s="1"/>
      <c r="D3703" s="1"/>
      <c r="E3703" s="1"/>
      <c r="F3703" s="1"/>
      <c r="G3703" s="1"/>
      <c r="H3703" s="1" t="str">
        <f>"7804653720253"</f>
        <v>7804653720253</v>
      </c>
      <c r="I3703" s="3">
        <v>4</v>
      </c>
      <c r="J3703" s="3">
        <v>0</v>
      </c>
      <c r="K3703" s="3">
        <v>8000</v>
      </c>
    </row>
    <row r="3704" spans="1:11" x14ac:dyDescent="0.2">
      <c r="A3704" s="1" t="s">
        <v>4994</v>
      </c>
      <c r="B3704" s="1" t="s">
        <v>4610</v>
      </c>
      <c r="C3704" s="1"/>
      <c r="D3704" s="1"/>
      <c r="E3704" s="1"/>
      <c r="F3704" s="1"/>
      <c r="G3704" s="1"/>
      <c r="H3704" s="1" t="str">
        <f>"7804653720260"</f>
        <v>7804653720260</v>
      </c>
      <c r="I3704" s="3">
        <v>0</v>
      </c>
      <c r="J3704" s="3">
        <v>0</v>
      </c>
      <c r="K3704" s="3">
        <v>8000</v>
      </c>
    </row>
    <row r="3705" spans="1:11" x14ac:dyDescent="0.2">
      <c r="A3705" s="1" t="s">
        <v>4994</v>
      </c>
      <c r="B3705" s="1" t="s">
        <v>4611</v>
      </c>
      <c r="C3705" s="1"/>
      <c r="D3705" s="1"/>
      <c r="E3705" s="1"/>
      <c r="F3705" s="1"/>
      <c r="G3705" s="1"/>
      <c r="H3705" s="1" t="str">
        <f>"7730969306709"</f>
        <v>7730969306709</v>
      </c>
      <c r="I3705" s="3">
        <v>20</v>
      </c>
      <c r="J3705" s="3">
        <v>0</v>
      </c>
      <c r="K3705" s="3">
        <v>11000</v>
      </c>
    </row>
    <row r="3706" spans="1:11" x14ac:dyDescent="0.2">
      <c r="A3706" s="1" t="s">
        <v>4994</v>
      </c>
      <c r="B3706" s="1" t="s">
        <v>4612</v>
      </c>
      <c r="C3706" s="1"/>
      <c r="D3706" s="1"/>
      <c r="E3706" s="1"/>
      <c r="F3706" s="1"/>
      <c r="G3706" s="1"/>
      <c r="H3706" s="1" t="str">
        <f>"7804620834839"</f>
        <v>7804620834839</v>
      </c>
      <c r="I3706" s="3">
        <v>10</v>
      </c>
      <c r="J3706" s="3">
        <v>0</v>
      </c>
      <c r="K3706" s="3">
        <v>2000</v>
      </c>
    </row>
    <row r="3707" spans="1:11" x14ac:dyDescent="0.2">
      <c r="A3707" s="1" t="s">
        <v>4994</v>
      </c>
      <c r="B3707" s="1" t="s">
        <v>4613</v>
      </c>
      <c r="C3707" s="1"/>
      <c r="D3707" s="1"/>
      <c r="E3707" s="1"/>
      <c r="F3707" s="1"/>
      <c r="G3707" s="1"/>
      <c r="H3707" s="1" t="str">
        <f>"7800063001432"</f>
        <v>7800063001432</v>
      </c>
      <c r="I3707" s="3">
        <v>0</v>
      </c>
      <c r="J3707" s="3">
        <v>0</v>
      </c>
      <c r="K3707" s="3">
        <v>1500</v>
      </c>
    </row>
    <row r="3708" spans="1:11" x14ac:dyDescent="0.2">
      <c r="A3708" s="1" t="s">
        <v>4994</v>
      </c>
      <c r="B3708" s="1" t="s">
        <v>4615</v>
      </c>
      <c r="C3708" s="1"/>
      <c r="D3708" s="1"/>
      <c r="E3708" s="1"/>
      <c r="F3708" s="1"/>
      <c r="G3708" s="1"/>
      <c r="H3708" s="1" t="str">
        <f>"7800055880885"</f>
        <v>7800055880885</v>
      </c>
      <c r="I3708" s="3">
        <v>6</v>
      </c>
      <c r="J3708" s="3">
        <v>0</v>
      </c>
      <c r="K3708" s="3">
        <v>21000</v>
      </c>
    </row>
    <row r="3709" spans="1:11" x14ac:dyDescent="0.2">
      <c r="A3709" s="1" t="s">
        <v>4994</v>
      </c>
      <c r="B3709" s="1" t="s">
        <v>4616</v>
      </c>
      <c r="C3709" s="1"/>
      <c r="D3709" s="1"/>
      <c r="E3709" s="1"/>
      <c r="F3709" s="1"/>
      <c r="G3709" s="1"/>
      <c r="H3709" s="1" t="str">
        <f>"7800055000771"</f>
        <v>7800055000771</v>
      </c>
      <c r="I3709" s="3">
        <v>5</v>
      </c>
      <c r="J3709" s="3">
        <v>0</v>
      </c>
      <c r="K3709" s="3">
        <v>11000</v>
      </c>
    </row>
    <row r="3710" spans="1:11" x14ac:dyDescent="0.2">
      <c r="A3710" s="1" t="s">
        <v>4994</v>
      </c>
      <c r="B3710" s="1" t="s">
        <v>4617</v>
      </c>
      <c r="C3710" s="1"/>
      <c r="D3710" s="1"/>
      <c r="E3710" s="1"/>
      <c r="F3710" s="1"/>
      <c r="G3710" s="1"/>
      <c r="H3710" s="1" t="str">
        <f>"XXU9"</f>
        <v>XXU9</v>
      </c>
      <c r="I3710" s="3">
        <v>0</v>
      </c>
      <c r="J3710" s="3">
        <v>0</v>
      </c>
      <c r="K3710" s="3">
        <v>18000</v>
      </c>
    </row>
    <row r="3711" spans="1:11" x14ac:dyDescent="0.2">
      <c r="A3711" s="1" t="s">
        <v>4994</v>
      </c>
      <c r="B3711" s="1" t="s">
        <v>4619</v>
      </c>
      <c r="C3711" s="1"/>
      <c r="D3711" s="1"/>
      <c r="E3711" s="1"/>
      <c r="F3711" s="1"/>
      <c r="G3711" s="1"/>
      <c r="H3711" s="1" t="str">
        <f>"7805070400803"</f>
        <v>7805070400803</v>
      </c>
      <c r="I3711" s="3">
        <v>3</v>
      </c>
      <c r="J3711" s="3">
        <v>0</v>
      </c>
      <c r="K3711" s="3">
        <v>4500</v>
      </c>
    </row>
    <row r="3712" spans="1:11" x14ac:dyDescent="0.2">
      <c r="A3712" s="1" t="s">
        <v>4994</v>
      </c>
      <c r="B3712" s="1" t="s">
        <v>4620</v>
      </c>
      <c r="C3712" s="1"/>
      <c r="D3712" s="1"/>
      <c r="E3712" s="1"/>
      <c r="F3712" s="1"/>
      <c r="G3712" s="1"/>
      <c r="H3712" s="1" t="str">
        <f>"7805505005436"</f>
        <v>7805505005436</v>
      </c>
      <c r="I3712" s="3">
        <v>5</v>
      </c>
      <c r="J3712" s="3">
        <v>0</v>
      </c>
      <c r="K3712" s="3">
        <v>3000</v>
      </c>
    </row>
    <row r="3713" spans="1:11" x14ac:dyDescent="0.2">
      <c r="A3713" s="1" t="s">
        <v>4994</v>
      </c>
      <c r="B3713" s="1" t="s">
        <v>4621</v>
      </c>
      <c r="C3713" s="1"/>
      <c r="D3713" s="1"/>
      <c r="E3713" s="1"/>
      <c r="F3713" s="1"/>
      <c r="G3713" s="1"/>
      <c r="H3713" s="1" t="str">
        <f>"7805505009359"</f>
        <v>7805505009359</v>
      </c>
      <c r="I3713" s="3">
        <v>4</v>
      </c>
      <c r="J3713" s="3">
        <v>0</v>
      </c>
      <c r="K3713" s="3">
        <v>3000</v>
      </c>
    </row>
    <row r="3714" spans="1:11" x14ac:dyDescent="0.2">
      <c r="A3714" s="1" t="s">
        <v>4994</v>
      </c>
      <c r="B3714" s="1" t="s">
        <v>4623</v>
      </c>
      <c r="C3714" s="1"/>
      <c r="D3714" s="1"/>
      <c r="E3714" s="1"/>
      <c r="F3714" s="1"/>
      <c r="G3714" s="1"/>
      <c r="H3714" s="1" t="str">
        <f>"4005900786470"</f>
        <v>4005900786470</v>
      </c>
      <c r="I3714" s="3">
        <v>0</v>
      </c>
      <c r="J3714" s="3">
        <v>0</v>
      </c>
      <c r="K3714" s="3">
        <v>19000</v>
      </c>
    </row>
    <row r="3715" spans="1:11" x14ac:dyDescent="0.2">
      <c r="A3715" s="1" t="s">
        <v>4994</v>
      </c>
      <c r="B3715" s="1" t="s">
        <v>4624</v>
      </c>
      <c r="C3715" s="1"/>
      <c r="D3715" s="1"/>
      <c r="E3715" s="1"/>
      <c r="F3715" s="1"/>
      <c r="G3715" s="1"/>
      <c r="H3715" s="1" t="str">
        <f>"7509552928563"</f>
        <v>7509552928563</v>
      </c>
      <c r="I3715" s="3">
        <v>0</v>
      </c>
      <c r="J3715" s="3">
        <v>0</v>
      </c>
      <c r="K3715" s="3">
        <v>8500</v>
      </c>
    </row>
    <row r="3716" spans="1:11" x14ac:dyDescent="0.2">
      <c r="A3716" s="1" t="s">
        <v>4994</v>
      </c>
      <c r="B3716" s="1" t="s">
        <v>4625</v>
      </c>
      <c r="C3716" s="1"/>
      <c r="D3716" s="1"/>
      <c r="E3716" s="1"/>
      <c r="F3716" s="1"/>
      <c r="G3716" s="1"/>
      <c r="H3716" s="1" t="str">
        <f>"7809561401461"</f>
        <v>7809561401461</v>
      </c>
      <c r="I3716" s="3">
        <v>0</v>
      </c>
      <c r="J3716" s="3">
        <v>0</v>
      </c>
      <c r="K3716" s="3">
        <v>17000</v>
      </c>
    </row>
    <row r="3717" spans="1:11" x14ac:dyDescent="0.2">
      <c r="A3717" s="1" t="s">
        <v>4994</v>
      </c>
      <c r="B3717" s="1" t="s">
        <v>4626</v>
      </c>
      <c r="C3717" s="1"/>
      <c r="D3717" s="1"/>
      <c r="E3717" s="1"/>
      <c r="F3717" s="1"/>
      <c r="G3717" s="1"/>
      <c r="H3717" s="1" t="str">
        <f>"7809561400143"</f>
        <v>7809561400143</v>
      </c>
      <c r="I3717" s="3">
        <v>7</v>
      </c>
      <c r="J3717" s="3">
        <v>0</v>
      </c>
      <c r="K3717" s="3">
        <v>15000</v>
      </c>
    </row>
    <row r="3718" spans="1:11" x14ac:dyDescent="0.2">
      <c r="A3718" s="1" t="s">
        <v>4994</v>
      </c>
      <c r="B3718" s="1" t="s">
        <v>4627</v>
      </c>
      <c r="C3718" s="1"/>
      <c r="D3718" s="1"/>
      <c r="E3718" s="1"/>
      <c r="F3718" s="1"/>
      <c r="G3718" s="1"/>
      <c r="H3718" s="1" t="str">
        <f>"7809561400631"</f>
        <v>7809561400631</v>
      </c>
      <c r="I3718" s="3">
        <v>0</v>
      </c>
      <c r="J3718" s="3">
        <v>0</v>
      </c>
      <c r="K3718" s="3">
        <v>12500</v>
      </c>
    </row>
    <row r="3719" spans="1:11" x14ac:dyDescent="0.2">
      <c r="A3719" s="1" t="s">
        <v>4994</v>
      </c>
      <c r="B3719" s="1" t="s">
        <v>4628</v>
      </c>
      <c r="C3719" s="1"/>
      <c r="D3719" s="1"/>
      <c r="E3719" s="1"/>
      <c r="F3719" s="1"/>
      <c r="G3719" s="1"/>
      <c r="H3719" s="1" t="str">
        <f>"7809561400327"</f>
        <v>7809561400327</v>
      </c>
      <c r="I3719" s="3">
        <v>0</v>
      </c>
      <c r="J3719" s="3">
        <v>0</v>
      </c>
      <c r="K3719" s="3">
        <v>18000</v>
      </c>
    </row>
    <row r="3720" spans="1:11" x14ac:dyDescent="0.2">
      <c r="A3720" s="1" t="s">
        <v>4994</v>
      </c>
      <c r="B3720" s="1" t="s">
        <v>4631</v>
      </c>
      <c r="C3720" s="1"/>
      <c r="D3720" s="1"/>
      <c r="E3720" s="1"/>
      <c r="F3720" s="1"/>
      <c r="G3720" s="1"/>
      <c r="H3720" s="1" t="str">
        <f>"736085412765"</f>
        <v>736085412765</v>
      </c>
      <c r="I3720" s="3">
        <v>3</v>
      </c>
      <c r="J3720" s="3">
        <v>0</v>
      </c>
      <c r="K3720" s="3">
        <v>21000</v>
      </c>
    </row>
    <row r="3721" spans="1:11" x14ac:dyDescent="0.2">
      <c r="A3721" s="1" t="s">
        <v>4994</v>
      </c>
      <c r="B3721" s="1" t="s">
        <v>4632</v>
      </c>
      <c r="C3721" s="1"/>
      <c r="D3721" s="1"/>
      <c r="E3721" s="1"/>
      <c r="F3721" s="1"/>
      <c r="G3721" s="1"/>
      <c r="H3721" s="1" t="str">
        <f>"736085413229"</f>
        <v>736085413229</v>
      </c>
      <c r="I3721" s="3">
        <v>0</v>
      </c>
      <c r="J3721" s="3">
        <v>0</v>
      </c>
      <c r="K3721" s="3">
        <v>17000</v>
      </c>
    </row>
    <row r="3722" spans="1:11" x14ac:dyDescent="0.2">
      <c r="A3722" s="1" t="s">
        <v>4994</v>
      </c>
      <c r="B3722" s="1" t="s">
        <v>4633</v>
      </c>
      <c r="C3722" s="1"/>
      <c r="D3722" s="1"/>
      <c r="E3722" s="1"/>
      <c r="F3722" s="1"/>
      <c r="G3722" s="1"/>
      <c r="H3722" s="1" t="str">
        <f>"7800063310084"</f>
        <v>7800063310084</v>
      </c>
      <c r="I3722" s="3">
        <v>0</v>
      </c>
      <c r="J3722" s="3">
        <v>0</v>
      </c>
      <c r="K3722" s="3">
        <v>8500</v>
      </c>
    </row>
    <row r="3723" spans="1:11" x14ac:dyDescent="0.2">
      <c r="A3723" s="1" t="s">
        <v>4994</v>
      </c>
      <c r="B3723" s="1" t="s">
        <v>4635</v>
      </c>
      <c r="C3723" s="1"/>
      <c r="D3723" s="1"/>
      <c r="E3723" s="1"/>
      <c r="F3723" s="1"/>
      <c r="G3723" s="1"/>
      <c r="H3723" s="1" t="str">
        <f>"7806130007826"</f>
        <v>7806130007826</v>
      </c>
      <c r="I3723" s="3">
        <v>3</v>
      </c>
      <c r="J3723" s="3">
        <v>0</v>
      </c>
      <c r="K3723" s="3">
        <v>0</v>
      </c>
    </row>
    <row r="3724" spans="1:11" x14ac:dyDescent="0.2">
      <c r="A3724" s="1" t="s">
        <v>4994</v>
      </c>
      <c r="B3724" s="1" t="s">
        <v>4636</v>
      </c>
      <c r="C3724" s="1"/>
      <c r="D3724" s="1"/>
      <c r="E3724" s="1"/>
      <c r="F3724" s="1"/>
      <c r="G3724" s="1"/>
      <c r="H3724" s="1" t="str">
        <f>"7806130007802"</f>
        <v>7806130007802</v>
      </c>
      <c r="I3724" s="3">
        <v>11</v>
      </c>
      <c r="J3724" s="3">
        <v>0</v>
      </c>
      <c r="K3724" s="3">
        <v>4000</v>
      </c>
    </row>
    <row r="3725" spans="1:11" x14ac:dyDescent="0.2">
      <c r="A3725" s="1" t="s">
        <v>4994</v>
      </c>
      <c r="B3725" s="1" t="s">
        <v>4637</v>
      </c>
      <c r="C3725" s="1"/>
      <c r="D3725" s="1"/>
      <c r="E3725" s="1"/>
      <c r="F3725" s="1"/>
      <c r="G3725" s="1"/>
      <c r="H3725" s="1" t="str">
        <f>"7806130007888"</f>
        <v>7806130007888</v>
      </c>
      <c r="I3725" s="3">
        <v>0</v>
      </c>
      <c r="J3725" s="3">
        <v>0</v>
      </c>
      <c r="K3725" s="3">
        <v>3000</v>
      </c>
    </row>
    <row r="3726" spans="1:11" x14ac:dyDescent="0.2">
      <c r="A3726" s="1" t="s">
        <v>4994</v>
      </c>
      <c r="B3726" s="1" t="s">
        <v>4638</v>
      </c>
      <c r="C3726" s="1"/>
      <c r="D3726" s="1"/>
      <c r="E3726" s="1"/>
      <c r="F3726" s="1"/>
      <c r="G3726" s="1"/>
      <c r="H3726" s="1" t="str">
        <f>"7806130007819"</f>
        <v>7806130007819</v>
      </c>
      <c r="I3726" s="3">
        <v>2</v>
      </c>
      <c r="J3726" s="3">
        <v>0</v>
      </c>
      <c r="K3726" s="3">
        <v>4000</v>
      </c>
    </row>
    <row r="3727" spans="1:11" x14ac:dyDescent="0.2">
      <c r="A3727" s="1" t="s">
        <v>4994</v>
      </c>
      <c r="B3727" s="1" t="s">
        <v>4639</v>
      </c>
      <c r="C3727" s="1"/>
      <c r="D3727" s="1"/>
      <c r="E3727" s="1"/>
      <c r="F3727" s="1"/>
      <c r="G3727" s="1"/>
      <c r="H3727" s="1" t="str">
        <f>"7800060409248"</f>
        <v>7800060409248</v>
      </c>
      <c r="I3727" s="3">
        <v>2</v>
      </c>
      <c r="J3727" s="3">
        <v>0</v>
      </c>
      <c r="K3727" s="3">
        <v>18000</v>
      </c>
    </row>
    <row r="3728" spans="1:11" x14ac:dyDescent="0.2">
      <c r="A3728" s="1" t="s">
        <v>4994</v>
      </c>
      <c r="B3728" s="1" t="s">
        <v>4640</v>
      </c>
      <c r="C3728" s="1"/>
      <c r="D3728" s="1"/>
      <c r="E3728" s="1"/>
      <c r="F3728" s="1"/>
      <c r="G3728" s="1"/>
      <c r="H3728" s="1" t="str">
        <f>"7800060410091"</f>
        <v>7800060410091</v>
      </c>
      <c r="I3728" s="3">
        <v>0</v>
      </c>
      <c r="J3728" s="3">
        <v>0</v>
      </c>
      <c r="K3728" s="3">
        <v>24000</v>
      </c>
    </row>
    <row r="3729" spans="1:11" x14ac:dyDescent="0.2">
      <c r="A3729" s="1" t="s">
        <v>4994</v>
      </c>
      <c r="B3729" s="1" t="s">
        <v>4641</v>
      </c>
      <c r="C3729" s="1"/>
      <c r="D3729" s="1"/>
      <c r="E3729" s="1"/>
      <c r="F3729" s="1"/>
      <c r="G3729" s="1"/>
      <c r="H3729" s="1" t="str">
        <f>"7800060416611"</f>
        <v>7800060416611</v>
      </c>
      <c r="I3729" s="3">
        <v>3</v>
      </c>
      <c r="J3729" s="3">
        <v>0</v>
      </c>
      <c r="K3729" s="3">
        <v>21000</v>
      </c>
    </row>
    <row r="3730" spans="1:11" x14ac:dyDescent="0.2">
      <c r="A3730" s="1" t="s">
        <v>4994</v>
      </c>
      <c r="B3730" s="1" t="s">
        <v>4642</v>
      </c>
      <c r="C3730" s="1"/>
      <c r="D3730" s="1"/>
      <c r="E3730" s="1"/>
      <c r="F3730" s="1"/>
      <c r="G3730" s="1"/>
      <c r="H3730" s="1" t="str">
        <f>"7800008000834"</f>
        <v>7800008000834</v>
      </c>
      <c r="I3730" s="3">
        <v>0</v>
      </c>
      <c r="J3730" s="3">
        <v>0</v>
      </c>
      <c r="K3730" s="3">
        <v>4000</v>
      </c>
    </row>
    <row r="3731" spans="1:11" x14ac:dyDescent="0.2">
      <c r="A3731" s="1" t="s">
        <v>4994</v>
      </c>
      <c r="B3731" s="1" t="s">
        <v>4645</v>
      </c>
      <c r="C3731" s="1"/>
      <c r="D3731" s="1"/>
      <c r="E3731" s="1"/>
      <c r="F3731" s="1"/>
      <c r="G3731" s="1"/>
      <c r="H3731" s="1" t="str">
        <f>"7809591400083"</f>
        <v>7809591400083</v>
      </c>
      <c r="I3731" s="3">
        <v>0</v>
      </c>
      <c r="J3731" s="3">
        <v>0</v>
      </c>
      <c r="K3731" s="3">
        <v>15000</v>
      </c>
    </row>
    <row r="3732" spans="1:11" x14ac:dyDescent="0.2">
      <c r="A3732" s="1" t="s">
        <v>4994</v>
      </c>
      <c r="B3732" s="1" t="s">
        <v>4646</v>
      </c>
      <c r="C3732" s="1"/>
      <c r="D3732" s="1"/>
      <c r="E3732" s="1"/>
      <c r="F3732" s="1"/>
      <c r="G3732" s="1"/>
      <c r="H3732" s="1" t="str">
        <f>"7803501004538"</f>
        <v>7803501004538</v>
      </c>
      <c r="I3732" s="3">
        <v>11</v>
      </c>
      <c r="J3732" s="3">
        <v>0</v>
      </c>
      <c r="K3732" s="3">
        <v>5000</v>
      </c>
    </row>
    <row r="3733" spans="1:11" x14ac:dyDescent="0.2">
      <c r="A3733" s="1" t="s">
        <v>4994</v>
      </c>
      <c r="B3733" s="1" t="s">
        <v>4647</v>
      </c>
      <c r="C3733" s="1"/>
      <c r="D3733" s="1"/>
      <c r="E3733" s="1"/>
      <c r="F3733" s="1"/>
      <c r="G3733" s="1"/>
      <c r="H3733" s="1" t="str">
        <f>"7800046005525"</f>
        <v>7800046005525</v>
      </c>
      <c r="I3733" s="3">
        <v>21</v>
      </c>
      <c r="J3733" s="3">
        <v>0</v>
      </c>
      <c r="K3733" s="3">
        <v>2500</v>
      </c>
    </row>
    <row r="3734" spans="1:11" x14ac:dyDescent="0.2">
      <c r="A3734" s="1" t="s">
        <v>4994</v>
      </c>
      <c r="B3734" s="1" t="s">
        <v>4648</v>
      </c>
      <c r="C3734" s="1"/>
      <c r="D3734" s="1"/>
      <c r="E3734" s="1"/>
      <c r="F3734" s="1"/>
      <c r="G3734" s="1"/>
      <c r="H3734" s="1" t="str">
        <f>"7800046004870"</f>
        <v>7800046004870</v>
      </c>
      <c r="I3734" s="3">
        <v>0</v>
      </c>
      <c r="J3734" s="3">
        <v>0</v>
      </c>
      <c r="K3734" s="3">
        <v>2500</v>
      </c>
    </row>
    <row r="3735" spans="1:11" x14ac:dyDescent="0.2">
      <c r="A3735" s="1" t="s">
        <v>4994</v>
      </c>
      <c r="B3735" s="1" t="s">
        <v>4649</v>
      </c>
      <c r="C3735" s="1"/>
      <c r="D3735" s="1"/>
      <c r="E3735" s="1"/>
      <c r="F3735" s="1"/>
      <c r="G3735" s="1"/>
      <c r="H3735" s="1" t="str">
        <f>"7809591402261"</f>
        <v>7809591402261</v>
      </c>
      <c r="I3735" s="3">
        <v>2</v>
      </c>
      <c r="J3735" s="3">
        <v>0</v>
      </c>
      <c r="K3735" s="3">
        <v>40000</v>
      </c>
    </row>
    <row r="3736" spans="1:11" x14ac:dyDescent="0.2">
      <c r="A3736" s="1" t="s">
        <v>4994</v>
      </c>
      <c r="B3736" s="1" t="s">
        <v>4650</v>
      </c>
      <c r="C3736" s="1"/>
      <c r="D3736" s="1"/>
      <c r="E3736" s="1"/>
      <c r="F3736" s="1"/>
      <c r="G3736" s="1"/>
      <c r="H3736" s="1" t="str">
        <f>"7800032001173"</f>
        <v>7800032001173</v>
      </c>
      <c r="I3736" s="3">
        <v>0</v>
      </c>
      <c r="J3736" s="3">
        <v>0</v>
      </c>
      <c r="K3736" s="3">
        <v>43000</v>
      </c>
    </row>
    <row r="3737" spans="1:11" x14ac:dyDescent="0.2">
      <c r="A3737" s="1" t="s">
        <v>4994</v>
      </c>
      <c r="B3737" s="1" t="s">
        <v>4651</v>
      </c>
      <c r="C3737" s="1"/>
      <c r="D3737" s="1"/>
      <c r="E3737" s="1"/>
      <c r="F3737" s="1"/>
      <c r="G3737" s="1"/>
      <c r="H3737" s="1" t="str">
        <f>"071603002128"</f>
        <v>071603002128</v>
      </c>
      <c r="I3737" s="3">
        <v>10</v>
      </c>
      <c r="J3737" s="3">
        <v>0</v>
      </c>
      <c r="K3737" s="3">
        <v>2800</v>
      </c>
    </row>
    <row r="3738" spans="1:11" x14ac:dyDescent="0.2">
      <c r="A3738" s="1" t="s">
        <v>4994</v>
      </c>
      <c r="B3738" s="1" t="s">
        <v>4652</v>
      </c>
      <c r="C3738" s="1"/>
      <c r="D3738" s="1"/>
      <c r="E3738" s="1"/>
      <c r="F3738" s="1"/>
      <c r="G3738" s="1"/>
      <c r="H3738" s="1" t="str">
        <f>"71603002098"</f>
        <v>71603002098</v>
      </c>
      <c r="I3738" s="3">
        <v>0</v>
      </c>
      <c r="J3738" s="3">
        <v>0</v>
      </c>
      <c r="K3738" s="3">
        <v>1500</v>
      </c>
    </row>
    <row r="3739" spans="1:11" x14ac:dyDescent="0.2">
      <c r="A3739" s="1" t="s">
        <v>4994</v>
      </c>
      <c r="B3739" s="1" t="s">
        <v>4653</v>
      </c>
      <c r="C3739" s="1"/>
      <c r="D3739" s="1"/>
      <c r="E3739" s="1"/>
      <c r="F3739" s="1"/>
      <c r="G3739" s="1"/>
      <c r="H3739" s="1" t="str">
        <f>"071603000063"</f>
        <v>071603000063</v>
      </c>
      <c r="I3739" s="3">
        <v>16</v>
      </c>
      <c r="J3739" s="3">
        <v>0</v>
      </c>
      <c r="K3739" s="3">
        <v>3500</v>
      </c>
    </row>
    <row r="3740" spans="1:11" x14ac:dyDescent="0.2">
      <c r="A3740" s="1" t="s">
        <v>4994</v>
      </c>
      <c r="B3740" s="1" t="s">
        <v>4654</v>
      </c>
      <c r="C3740" s="1"/>
      <c r="D3740" s="1"/>
      <c r="E3740" s="1"/>
      <c r="F3740" s="1"/>
      <c r="G3740" s="1"/>
      <c r="H3740" s="1" t="str">
        <f>"7805633019299"</f>
        <v>7805633019299</v>
      </c>
      <c r="I3740" s="3">
        <v>8</v>
      </c>
      <c r="J3740" s="3">
        <v>0</v>
      </c>
      <c r="K3740" s="3">
        <v>2000</v>
      </c>
    </row>
    <row r="3741" spans="1:11" x14ac:dyDescent="0.2">
      <c r="A3741" s="1" t="s">
        <v>4994</v>
      </c>
      <c r="B3741" s="1" t="s">
        <v>4655</v>
      </c>
      <c r="C3741" s="1"/>
      <c r="D3741" s="1"/>
      <c r="E3741" s="1"/>
      <c r="F3741" s="1"/>
      <c r="G3741" s="1"/>
      <c r="H3741" s="1" t="str">
        <f>"71603002494"</f>
        <v>71603002494</v>
      </c>
      <c r="I3741" s="3">
        <v>0</v>
      </c>
      <c r="J3741" s="3">
        <v>0</v>
      </c>
      <c r="K3741" s="3">
        <v>3800</v>
      </c>
    </row>
    <row r="3742" spans="1:11" x14ac:dyDescent="0.2">
      <c r="A3742" s="1" t="s">
        <v>4994</v>
      </c>
      <c r="B3742" s="1" t="s">
        <v>4656</v>
      </c>
      <c r="C3742" s="1"/>
      <c r="D3742" s="1"/>
      <c r="E3742" s="1"/>
      <c r="F3742" s="1"/>
      <c r="G3742" s="1"/>
      <c r="H3742" s="1" t="str">
        <f>"71603002234"</f>
        <v>71603002234</v>
      </c>
      <c r="I3742" s="3">
        <v>0</v>
      </c>
      <c r="J3742" s="3">
        <v>0</v>
      </c>
      <c r="K3742" s="3">
        <v>1500</v>
      </c>
    </row>
    <row r="3743" spans="1:11" x14ac:dyDescent="0.2">
      <c r="A3743" s="1" t="s">
        <v>4994</v>
      </c>
      <c r="B3743" s="1" t="s">
        <v>4657</v>
      </c>
      <c r="C3743" s="1"/>
      <c r="D3743" s="1"/>
      <c r="E3743" s="1"/>
      <c r="F3743" s="1"/>
      <c r="G3743" s="1"/>
      <c r="H3743" s="1" t="str">
        <f>"071603005440"</f>
        <v>071603005440</v>
      </c>
      <c r="I3743" s="3">
        <v>3</v>
      </c>
      <c r="J3743" s="3">
        <v>0</v>
      </c>
      <c r="K3743" s="3">
        <v>2500</v>
      </c>
    </row>
    <row r="3744" spans="1:11" x14ac:dyDescent="0.2">
      <c r="A3744" s="1" t="s">
        <v>4994</v>
      </c>
      <c r="B3744" s="1" t="s">
        <v>4658</v>
      </c>
      <c r="C3744" s="1"/>
      <c r="D3744" s="1"/>
      <c r="E3744" s="1"/>
      <c r="F3744" s="1"/>
      <c r="G3744" s="1"/>
      <c r="H3744" s="1" t="str">
        <f>"071603529007"</f>
        <v>071603529007</v>
      </c>
      <c r="I3744" s="3">
        <v>0</v>
      </c>
      <c r="J3744" s="3">
        <v>0</v>
      </c>
      <c r="K3744" s="3">
        <v>2000</v>
      </c>
    </row>
    <row r="3745" spans="1:11" x14ac:dyDescent="0.2">
      <c r="A3745" s="1" t="s">
        <v>4994</v>
      </c>
      <c r="B3745" s="1" t="s">
        <v>4659</v>
      </c>
      <c r="C3745" s="1"/>
      <c r="D3745" s="1"/>
      <c r="E3745" s="1"/>
      <c r="F3745" s="1"/>
      <c r="G3745" s="1"/>
      <c r="H3745" s="1" t="str">
        <f>"071603002142"</f>
        <v>071603002142</v>
      </c>
      <c r="I3745" s="3">
        <v>0</v>
      </c>
      <c r="J3745" s="3">
        <v>0</v>
      </c>
      <c r="K3745" s="3">
        <v>2000</v>
      </c>
    </row>
    <row r="3746" spans="1:11" x14ac:dyDescent="0.2">
      <c r="A3746" s="1" t="s">
        <v>4994</v>
      </c>
      <c r="B3746" s="1" t="s">
        <v>4660</v>
      </c>
      <c r="C3746" s="1"/>
      <c r="D3746" s="1"/>
      <c r="E3746" s="1"/>
      <c r="F3746" s="1"/>
      <c r="G3746" s="1"/>
      <c r="H3746" s="1" t="str">
        <f>"7800060014916"</f>
        <v>7800060014916</v>
      </c>
      <c r="I3746" s="3">
        <v>0</v>
      </c>
      <c r="J3746" s="3">
        <v>0</v>
      </c>
      <c r="K3746" s="3">
        <v>17000</v>
      </c>
    </row>
    <row r="3747" spans="1:11" x14ac:dyDescent="0.2">
      <c r="A3747" s="1" t="s">
        <v>4994</v>
      </c>
      <c r="B3747" s="1" t="s">
        <v>4664</v>
      </c>
      <c r="C3747" s="1"/>
      <c r="D3747" s="1"/>
      <c r="E3747" s="1"/>
      <c r="F3747" s="1"/>
      <c r="G3747" s="1"/>
      <c r="H3747" s="1" t="str">
        <f>"7800060015678"</f>
        <v>7800060015678</v>
      </c>
      <c r="I3747" s="3">
        <v>0</v>
      </c>
      <c r="J3747" s="3">
        <v>0</v>
      </c>
      <c r="K3747" s="3">
        <v>10500</v>
      </c>
    </row>
    <row r="3748" spans="1:11" x14ac:dyDescent="0.2">
      <c r="A3748" s="1" t="s">
        <v>4994</v>
      </c>
      <c r="B3748" s="1" t="s">
        <v>4667</v>
      </c>
      <c r="C3748" s="1"/>
      <c r="D3748" s="1"/>
      <c r="E3748" s="1"/>
      <c r="F3748" s="1"/>
      <c r="G3748" s="1"/>
      <c r="H3748" s="1" t="str">
        <f>"7800007100146"</f>
        <v>7800007100146</v>
      </c>
      <c r="I3748" s="3">
        <v>7</v>
      </c>
      <c r="J3748" s="3">
        <v>0</v>
      </c>
      <c r="K3748" s="3">
        <v>21000</v>
      </c>
    </row>
    <row r="3749" spans="1:11" x14ac:dyDescent="0.2">
      <c r="A3749" s="1" t="s">
        <v>4994</v>
      </c>
      <c r="B3749" s="1" t="s">
        <v>4668</v>
      </c>
      <c r="C3749" s="1"/>
      <c r="D3749" s="1"/>
      <c r="E3749" s="1"/>
      <c r="F3749" s="1"/>
      <c r="G3749" s="1"/>
      <c r="H3749" s="1" t="str">
        <f>"7800007100306"</f>
        <v>7800007100306</v>
      </c>
      <c r="I3749" s="3">
        <v>15</v>
      </c>
      <c r="J3749" s="3">
        <v>0</v>
      </c>
      <c r="K3749" s="3">
        <v>24000</v>
      </c>
    </row>
    <row r="3750" spans="1:11" x14ac:dyDescent="0.2">
      <c r="A3750" s="1" t="s">
        <v>4994</v>
      </c>
      <c r="B3750" s="1" t="s">
        <v>4669</v>
      </c>
      <c r="C3750" s="1"/>
      <c r="D3750" s="1"/>
      <c r="E3750" s="1"/>
      <c r="F3750" s="1"/>
      <c r="G3750" s="1"/>
      <c r="H3750" s="1" t="str">
        <f>"7800044000492"</f>
        <v>7800044000492</v>
      </c>
      <c r="I3750" s="3">
        <v>0</v>
      </c>
      <c r="J3750" s="3">
        <v>0</v>
      </c>
      <c r="K3750" s="3">
        <v>1000</v>
      </c>
    </row>
    <row r="3751" spans="1:11" x14ac:dyDescent="0.2">
      <c r="A3751" s="1" t="s">
        <v>4994</v>
      </c>
      <c r="B3751" s="1" t="s">
        <v>4670</v>
      </c>
      <c r="C3751" s="1"/>
      <c r="D3751" s="1"/>
      <c r="E3751" s="1"/>
      <c r="F3751" s="1"/>
      <c r="G3751" s="1"/>
      <c r="H3751" s="1" t="str">
        <f>"7800046005464"</f>
        <v>7800046005464</v>
      </c>
      <c r="I3751" s="3">
        <v>10</v>
      </c>
      <c r="J3751" s="3">
        <v>0</v>
      </c>
      <c r="K3751" s="3">
        <v>15000</v>
      </c>
    </row>
    <row r="3752" spans="1:11" x14ac:dyDescent="0.2">
      <c r="A3752" s="1" t="s">
        <v>4994</v>
      </c>
      <c r="B3752" s="1" t="s">
        <v>4673</v>
      </c>
      <c r="C3752" s="1"/>
      <c r="D3752" s="1"/>
      <c r="E3752" s="1"/>
      <c r="F3752" s="1"/>
      <c r="G3752" s="1"/>
      <c r="H3752" s="1" t="str">
        <f>"7800028310425"</f>
        <v>7800028310425</v>
      </c>
      <c r="I3752" s="3">
        <v>0</v>
      </c>
      <c r="J3752" s="3">
        <v>0</v>
      </c>
      <c r="K3752" s="3">
        <v>11000</v>
      </c>
    </row>
    <row r="3753" spans="1:11" x14ac:dyDescent="0.2">
      <c r="A3753" s="1" t="s">
        <v>4994</v>
      </c>
      <c r="B3753" s="1" t="s">
        <v>4674</v>
      </c>
      <c r="C3753" s="1"/>
      <c r="D3753" s="1"/>
      <c r="E3753" s="1"/>
      <c r="F3753" s="1"/>
      <c r="G3753" s="1"/>
      <c r="H3753" s="1" t="str">
        <f>"7804995109693"</f>
        <v>7804995109693</v>
      </c>
      <c r="I3753" s="3">
        <v>0</v>
      </c>
      <c r="J3753" s="3">
        <v>0</v>
      </c>
      <c r="K3753" s="3">
        <v>6500</v>
      </c>
    </row>
    <row r="3754" spans="1:11" x14ac:dyDescent="0.2">
      <c r="A3754" s="1" t="s">
        <v>4994</v>
      </c>
      <c r="B3754" s="1" t="s">
        <v>4675</v>
      </c>
      <c r="C3754" s="1"/>
      <c r="D3754" s="1"/>
      <c r="E3754" s="1"/>
      <c r="F3754" s="1"/>
      <c r="G3754" s="1"/>
      <c r="H3754" s="1" t="str">
        <f>"900800100521"</f>
        <v>900800100521</v>
      </c>
      <c r="I3754" s="3">
        <v>0</v>
      </c>
      <c r="J3754" s="3">
        <v>0</v>
      </c>
      <c r="K3754" s="3">
        <v>6000</v>
      </c>
    </row>
    <row r="3755" spans="1:11" x14ac:dyDescent="0.2">
      <c r="A3755" s="1" t="s">
        <v>4994</v>
      </c>
      <c r="B3755" s="1" t="s">
        <v>4677</v>
      </c>
      <c r="C3755" s="1"/>
      <c r="D3755" s="1"/>
      <c r="E3755" s="1"/>
      <c r="F3755" s="1"/>
      <c r="G3755" s="1"/>
      <c r="H3755" s="1" t="str">
        <f>"7896009490675"</f>
        <v>7896009490675</v>
      </c>
      <c r="I3755" s="3">
        <v>0</v>
      </c>
      <c r="J3755" s="3">
        <v>0</v>
      </c>
      <c r="K3755" s="3">
        <v>6500</v>
      </c>
    </row>
    <row r="3756" spans="1:11" x14ac:dyDescent="0.2">
      <c r="A3756" s="1" t="s">
        <v>4994</v>
      </c>
      <c r="B3756" s="1" t="s">
        <v>4678</v>
      </c>
      <c r="C3756" s="1"/>
      <c r="D3756" s="1"/>
      <c r="E3756" s="1"/>
      <c r="F3756" s="1"/>
      <c r="G3756" s="1"/>
      <c r="H3756" s="1" t="str">
        <f>"7804637360451"</f>
        <v>7804637360451</v>
      </c>
      <c r="I3756" s="3">
        <v>0</v>
      </c>
      <c r="J3756" s="3">
        <v>0</v>
      </c>
      <c r="K3756" s="3">
        <v>20000</v>
      </c>
    </row>
    <row r="3757" spans="1:11" x14ac:dyDescent="0.2">
      <c r="A3757" s="1" t="s">
        <v>4994</v>
      </c>
      <c r="B3757" s="1" t="s">
        <v>4679</v>
      </c>
      <c r="C3757" s="1"/>
      <c r="D3757" s="1"/>
      <c r="E3757" s="1"/>
      <c r="F3757" s="1"/>
      <c r="G3757" s="1"/>
      <c r="H3757" s="1" t="str">
        <f>"7804637360482"</f>
        <v>7804637360482</v>
      </c>
      <c r="I3757" s="3">
        <v>5</v>
      </c>
      <c r="J3757" s="3">
        <v>0</v>
      </c>
      <c r="K3757" s="3">
        <v>34000</v>
      </c>
    </row>
    <row r="3758" spans="1:11" x14ac:dyDescent="0.2">
      <c r="A3758" s="1" t="s">
        <v>4994</v>
      </c>
      <c r="B3758" s="1" t="s">
        <v>4681</v>
      </c>
      <c r="C3758" s="1"/>
      <c r="D3758" s="1"/>
      <c r="E3758" s="1"/>
      <c r="F3758" s="1"/>
      <c r="G3758" s="1"/>
      <c r="H3758" s="1" t="str">
        <f>"7804637360055"</f>
        <v>7804637360055</v>
      </c>
      <c r="I3758" s="3">
        <v>5</v>
      </c>
      <c r="J3758" s="3">
        <v>0</v>
      </c>
      <c r="K3758" s="3">
        <v>18000</v>
      </c>
    </row>
    <row r="3759" spans="1:11" x14ac:dyDescent="0.2">
      <c r="A3759" s="1" t="s">
        <v>4994</v>
      </c>
      <c r="B3759" s="1" t="s">
        <v>4682</v>
      </c>
      <c r="C3759" s="1"/>
      <c r="D3759" s="1"/>
      <c r="E3759" s="1"/>
      <c r="F3759" s="1"/>
      <c r="G3759" s="1"/>
      <c r="H3759" s="1" t="str">
        <f>"7804637360048"</f>
        <v>7804637360048</v>
      </c>
      <c r="I3759" s="3">
        <v>15</v>
      </c>
      <c r="J3759" s="3">
        <v>0</v>
      </c>
      <c r="K3759" s="3">
        <v>27000</v>
      </c>
    </row>
    <row r="3760" spans="1:11" x14ac:dyDescent="0.2">
      <c r="A3760" s="1" t="s">
        <v>4994</v>
      </c>
      <c r="B3760" s="1" t="s">
        <v>4685</v>
      </c>
      <c r="C3760" s="1"/>
      <c r="D3760" s="1"/>
      <c r="E3760" s="1"/>
      <c r="F3760" s="1"/>
      <c r="G3760" s="1"/>
      <c r="H3760" s="1" t="str">
        <f>"4444554877743"</f>
        <v>4444554877743</v>
      </c>
      <c r="I3760" s="3">
        <v>0</v>
      </c>
      <c r="J3760" s="3">
        <v>0</v>
      </c>
      <c r="K3760" s="3">
        <v>5000</v>
      </c>
    </row>
    <row r="3761" spans="1:11" x14ac:dyDescent="0.2">
      <c r="A3761" s="1" t="s">
        <v>4994</v>
      </c>
      <c r="B3761" s="1" t="s">
        <v>4687</v>
      </c>
      <c r="C3761" s="1"/>
      <c r="D3761" s="1"/>
      <c r="E3761" s="1"/>
      <c r="F3761" s="1"/>
      <c r="G3761" s="1"/>
      <c r="H3761" s="1" t="str">
        <f>"2410470226356"</f>
        <v>2410470226356</v>
      </c>
      <c r="I3761" s="3">
        <v>0</v>
      </c>
      <c r="J3761" s="3">
        <v>0</v>
      </c>
      <c r="K3761" s="3">
        <v>7000</v>
      </c>
    </row>
    <row r="3762" spans="1:11" x14ac:dyDescent="0.2">
      <c r="A3762" s="1" t="s">
        <v>4994</v>
      </c>
      <c r="B3762" s="1" t="s">
        <v>4688</v>
      </c>
      <c r="C3762" s="1"/>
      <c r="D3762" s="1"/>
      <c r="E3762" s="1"/>
      <c r="F3762" s="1"/>
      <c r="G3762" s="1"/>
      <c r="H3762" s="1" t="str">
        <f>"7800060409408"</f>
        <v>7800060409408</v>
      </c>
      <c r="I3762" s="3">
        <v>0</v>
      </c>
      <c r="J3762" s="3">
        <v>0</v>
      </c>
      <c r="K3762" s="3">
        <v>20000</v>
      </c>
    </row>
    <row r="3763" spans="1:11" x14ac:dyDescent="0.2">
      <c r="A3763" s="1" t="s">
        <v>4994</v>
      </c>
      <c r="B3763" s="1" t="s">
        <v>4689</v>
      </c>
      <c r="C3763" s="1"/>
      <c r="D3763" s="1"/>
      <c r="E3763" s="1"/>
      <c r="F3763" s="1"/>
      <c r="G3763" s="1"/>
      <c r="H3763" s="1" t="str">
        <f>"7804637360307"</f>
        <v>7804637360307</v>
      </c>
      <c r="I3763" s="3">
        <v>2</v>
      </c>
      <c r="J3763" s="3">
        <v>0</v>
      </c>
      <c r="K3763" s="3">
        <v>12000</v>
      </c>
    </row>
    <row r="3764" spans="1:11" x14ac:dyDescent="0.2">
      <c r="A3764" s="1" t="s">
        <v>4994</v>
      </c>
      <c r="B3764" s="1" t="s">
        <v>4690</v>
      </c>
      <c r="C3764" s="1"/>
      <c r="D3764" s="1"/>
      <c r="E3764" s="1"/>
      <c r="F3764" s="1"/>
      <c r="G3764" s="1"/>
      <c r="H3764" s="1" t="str">
        <f>"7804902043898"</f>
        <v>7804902043898</v>
      </c>
      <c r="I3764" s="3">
        <v>0</v>
      </c>
      <c r="J3764" s="3">
        <v>0</v>
      </c>
      <c r="K3764" s="3">
        <v>3500</v>
      </c>
    </row>
    <row r="3765" spans="1:11" x14ac:dyDescent="0.2">
      <c r="A3765" s="1" t="s">
        <v>4994</v>
      </c>
      <c r="B3765" s="1" t="s">
        <v>4691</v>
      </c>
      <c r="C3765" s="1"/>
      <c r="D3765" s="1"/>
      <c r="E3765" s="1"/>
      <c r="F3765" s="1"/>
      <c r="G3765" s="1"/>
      <c r="H3765" s="1" t="str">
        <f>"7800070004228"</f>
        <v>7800070004228</v>
      </c>
      <c r="I3765" s="3">
        <v>0</v>
      </c>
      <c r="J3765" s="3">
        <v>0</v>
      </c>
      <c r="K3765" s="3">
        <v>13000</v>
      </c>
    </row>
    <row r="3766" spans="1:11" x14ac:dyDescent="0.2">
      <c r="A3766" s="1" t="s">
        <v>4994</v>
      </c>
      <c r="B3766" s="1" t="s">
        <v>4692</v>
      </c>
      <c r="C3766" s="1"/>
      <c r="D3766" s="1"/>
      <c r="E3766" s="1"/>
      <c r="F3766" s="1"/>
      <c r="G3766" s="1"/>
      <c r="H3766" s="1" t="str">
        <f>"7804955001180"</f>
        <v>7804955001180</v>
      </c>
      <c r="I3766" s="3">
        <v>0</v>
      </c>
      <c r="J3766" s="3">
        <v>0</v>
      </c>
      <c r="K3766" s="3">
        <v>15000</v>
      </c>
    </row>
    <row r="3767" spans="1:11" x14ac:dyDescent="0.2">
      <c r="A3767" s="1" t="s">
        <v>4994</v>
      </c>
      <c r="B3767" s="1" t="s">
        <v>4694</v>
      </c>
      <c r="C3767" s="1"/>
      <c r="D3767" s="1"/>
      <c r="E3767" s="1"/>
      <c r="F3767" s="1"/>
      <c r="G3767" s="1"/>
      <c r="H3767" s="1" t="str">
        <f>"7800008010635"</f>
        <v>7800008010635</v>
      </c>
      <c r="I3767" s="3">
        <v>0</v>
      </c>
      <c r="J3767" s="3">
        <v>0</v>
      </c>
      <c r="K3767" s="3">
        <v>15000</v>
      </c>
    </row>
    <row r="3768" spans="1:11" x14ac:dyDescent="0.2">
      <c r="A3768" s="1" t="s">
        <v>4994</v>
      </c>
      <c r="B3768" s="1" t="s">
        <v>4695</v>
      </c>
      <c r="C3768" s="1"/>
      <c r="D3768" s="1"/>
      <c r="E3768" s="1"/>
      <c r="F3768" s="1"/>
      <c r="G3768" s="1"/>
      <c r="H3768" s="1" t="str">
        <f>"7800008010611"</f>
        <v>7800008010611</v>
      </c>
      <c r="I3768" s="3">
        <v>0</v>
      </c>
      <c r="J3768" s="3">
        <v>0</v>
      </c>
      <c r="K3768" s="3">
        <v>6000</v>
      </c>
    </row>
    <row r="3769" spans="1:11" x14ac:dyDescent="0.2">
      <c r="A3769" s="1" t="s">
        <v>4994</v>
      </c>
      <c r="B3769" s="1" t="s">
        <v>4696</v>
      </c>
      <c r="C3769" s="1"/>
      <c r="D3769" s="1"/>
      <c r="E3769" s="1"/>
      <c r="F3769" s="1"/>
      <c r="G3769" s="1"/>
      <c r="H3769" s="1" t="str">
        <f>"7800008011243"</f>
        <v>7800008011243</v>
      </c>
      <c r="I3769" s="3">
        <v>8</v>
      </c>
      <c r="J3769" s="3">
        <v>0</v>
      </c>
      <c r="K3769" s="3">
        <v>13000</v>
      </c>
    </row>
    <row r="3770" spans="1:11" x14ac:dyDescent="0.2">
      <c r="A3770" s="1" t="s">
        <v>4994</v>
      </c>
      <c r="B3770" s="1" t="s">
        <v>4697</v>
      </c>
      <c r="C3770" s="1"/>
      <c r="D3770" s="1"/>
      <c r="E3770" s="1"/>
      <c r="F3770" s="1"/>
      <c r="G3770" s="1"/>
      <c r="H3770" s="1" t="str">
        <f>"7800028002412"</f>
        <v>7800028002412</v>
      </c>
      <c r="I3770" s="3">
        <v>0</v>
      </c>
      <c r="J3770" s="3">
        <v>0</v>
      </c>
      <c r="K3770" s="3">
        <v>8000</v>
      </c>
    </row>
    <row r="3771" spans="1:11" x14ac:dyDescent="0.2">
      <c r="A3771" s="1" t="s">
        <v>4994</v>
      </c>
      <c r="B3771" s="1" t="s">
        <v>4698</v>
      </c>
      <c r="C3771" s="1"/>
      <c r="D3771" s="1"/>
      <c r="E3771" s="1"/>
      <c r="F3771" s="1"/>
      <c r="G3771" s="1"/>
      <c r="H3771" s="1" t="str">
        <f>"7800008102606"</f>
        <v>7800008102606</v>
      </c>
      <c r="I3771" s="3">
        <v>2</v>
      </c>
      <c r="J3771" s="3">
        <v>0</v>
      </c>
      <c r="K3771" s="3">
        <v>7500</v>
      </c>
    </row>
    <row r="3772" spans="1:11" x14ac:dyDescent="0.2">
      <c r="A3772" s="1" t="s">
        <v>4994</v>
      </c>
      <c r="B3772" s="1" t="s">
        <v>4699</v>
      </c>
      <c r="C3772" s="1"/>
      <c r="D3772" s="1"/>
      <c r="E3772" s="1"/>
      <c r="F3772" s="1"/>
      <c r="G3772" s="1"/>
      <c r="H3772" s="1" t="str">
        <f>"7800006007033"</f>
        <v>7800006007033</v>
      </c>
      <c r="I3772" s="3">
        <v>0</v>
      </c>
      <c r="J3772" s="3">
        <v>0</v>
      </c>
      <c r="K3772" s="3">
        <v>8500</v>
      </c>
    </row>
    <row r="3773" spans="1:11" x14ac:dyDescent="0.2">
      <c r="A3773" s="1" t="s">
        <v>4994</v>
      </c>
      <c r="B3773" s="1" t="s">
        <v>4700</v>
      </c>
      <c r="C3773" s="1"/>
      <c r="D3773" s="1"/>
      <c r="E3773" s="1"/>
      <c r="F3773" s="1"/>
      <c r="G3773" s="1"/>
      <c r="H3773" s="1" t="str">
        <f>"76023521537182"</f>
        <v>76023521537182</v>
      </c>
      <c r="I3773" s="3">
        <v>6</v>
      </c>
      <c r="J3773" s="3">
        <v>0</v>
      </c>
      <c r="K3773" s="3">
        <v>11000</v>
      </c>
    </row>
    <row r="3774" spans="1:11" x14ac:dyDescent="0.2">
      <c r="A3774" s="1" t="s">
        <v>4994</v>
      </c>
      <c r="B3774" s="1" t="s">
        <v>4701</v>
      </c>
      <c r="C3774" s="1"/>
      <c r="D3774" s="1"/>
      <c r="E3774" s="1"/>
      <c r="F3774" s="1"/>
      <c r="G3774" s="1"/>
      <c r="H3774" s="1" t="str">
        <f>"76023545727274"</f>
        <v>76023545727274</v>
      </c>
      <c r="I3774" s="3">
        <v>6</v>
      </c>
      <c r="J3774" s="3">
        <v>0</v>
      </c>
      <c r="K3774" s="3">
        <v>10000</v>
      </c>
    </row>
    <row r="3775" spans="1:11" x14ac:dyDescent="0.2">
      <c r="A3775" s="1" t="s">
        <v>4994</v>
      </c>
      <c r="B3775" s="1" t="s">
        <v>4702</v>
      </c>
      <c r="C3775" s="1"/>
      <c r="D3775" s="1"/>
      <c r="E3775" s="1"/>
      <c r="F3775" s="1"/>
      <c r="G3775" s="1"/>
      <c r="H3775" s="1" t="str">
        <f>"8711231103379"</f>
        <v>8711231103379</v>
      </c>
      <c r="I3775" s="3">
        <v>1</v>
      </c>
      <c r="J3775" s="3">
        <v>0</v>
      </c>
      <c r="K3775" s="3">
        <v>13000</v>
      </c>
    </row>
    <row r="3776" spans="1:11" x14ac:dyDescent="0.2">
      <c r="A3776" s="1" t="s">
        <v>4994</v>
      </c>
      <c r="B3776" s="1" t="s">
        <v>4703</v>
      </c>
      <c r="C3776" s="1"/>
      <c r="D3776" s="1"/>
      <c r="E3776" s="1"/>
      <c r="F3776" s="1"/>
      <c r="G3776" s="1"/>
      <c r="H3776" s="1" t="str">
        <f>"7506306207516"</f>
        <v>7506306207516</v>
      </c>
      <c r="I3776" s="3">
        <v>0</v>
      </c>
      <c r="J3776" s="3">
        <v>0</v>
      </c>
      <c r="K3776" s="3">
        <v>4800</v>
      </c>
    </row>
    <row r="3777" spans="1:11" x14ac:dyDescent="0.2">
      <c r="A3777" s="1" t="s">
        <v>4994</v>
      </c>
      <c r="B3777" s="1" t="s">
        <v>4704</v>
      </c>
      <c r="C3777" s="1"/>
      <c r="D3777" s="1"/>
      <c r="E3777" s="1"/>
      <c r="F3777" s="1"/>
      <c r="G3777" s="1"/>
      <c r="H3777" s="1" t="str">
        <f>"7800026056783"</f>
        <v>7800026056783</v>
      </c>
      <c r="I3777" s="3">
        <v>0</v>
      </c>
      <c r="J3777" s="3">
        <v>0</v>
      </c>
      <c r="K3777" s="3">
        <v>24000</v>
      </c>
    </row>
    <row r="3778" spans="1:11" x14ac:dyDescent="0.2">
      <c r="A3778" s="1" t="s">
        <v>4994</v>
      </c>
      <c r="B3778" s="1" t="s">
        <v>4705</v>
      </c>
      <c r="C3778" s="1"/>
      <c r="D3778" s="1"/>
      <c r="E3778" s="1"/>
      <c r="F3778" s="1"/>
      <c r="G3778" s="1"/>
      <c r="H3778" s="1" t="str">
        <f>"7800026457887"</f>
        <v>7800026457887</v>
      </c>
      <c r="I3778" s="3">
        <v>5</v>
      </c>
      <c r="J3778" s="3">
        <v>0</v>
      </c>
      <c r="K3778" s="3">
        <v>24000</v>
      </c>
    </row>
    <row r="3779" spans="1:11" x14ac:dyDescent="0.2">
      <c r="A3779" s="1" t="s">
        <v>4994</v>
      </c>
      <c r="B3779" s="1" t="s">
        <v>4706</v>
      </c>
      <c r="C3779" s="1"/>
      <c r="D3779" s="1"/>
      <c r="E3779" s="1"/>
      <c r="F3779" s="1"/>
      <c r="G3779" s="1"/>
      <c r="H3779" s="1" t="str">
        <f>"7805357001433"</f>
        <v>7805357001433</v>
      </c>
      <c r="I3779" s="3">
        <v>0</v>
      </c>
      <c r="J3779" s="3">
        <v>0</v>
      </c>
      <c r="K3779" s="3">
        <v>500</v>
      </c>
    </row>
    <row r="3780" spans="1:11" x14ac:dyDescent="0.2">
      <c r="A3780" s="1" t="s">
        <v>4994</v>
      </c>
      <c r="B3780" s="1" t="s">
        <v>4707</v>
      </c>
      <c r="C3780" s="1"/>
      <c r="D3780" s="1"/>
      <c r="E3780" s="1"/>
      <c r="F3780" s="1"/>
      <c r="G3780" s="1"/>
      <c r="H3780" s="1" t="str">
        <f>"7800007667021"</f>
        <v>7800007667021</v>
      </c>
      <c r="I3780" s="3">
        <v>0</v>
      </c>
      <c r="J3780" s="3">
        <v>0</v>
      </c>
      <c r="K3780" s="3">
        <v>7500</v>
      </c>
    </row>
    <row r="3781" spans="1:11" x14ac:dyDescent="0.2">
      <c r="A3781" s="1" t="s">
        <v>4994</v>
      </c>
      <c r="B3781" s="1" t="s">
        <v>4708</v>
      </c>
      <c r="C3781" s="1"/>
      <c r="D3781" s="1"/>
      <c r="E3781" s="1"/>
      <c r="F3781" s="1"/>
      <c r="G3781" s="1"/>
      <c r="H3781" s="1" t="str">
        <f>"7800007693617"</f>
        <v>7800007693617</v>
      </c>
      <c r="I3781" s="3">
        <v>0</v>
      </c>
      <c r="J3781" s="3">
        <v>0</v>
      </c>
      <c r="K3781" s="3">
        <v>9000</v>
      </c>
    </row>
    <row r="3782" spans="1:11" x14ac:dyDescent="0.2">
      <c r="A3782" s="1" t="s">
        <v>4994</v>
      </c>
      <c r="B3782" s="1" t="s">
        <v>4709</v>
      </c>
      <c r="C3782" s="1"/>
      <c r="D3782" s="1"/>
      <c r="E3782" s="1"/>
      <c r="F3782" s="1"/>
      <c r="G3782" s="1"/>
      <c r="H3782" s="1" t="str">
        <f>"7800007667618"</f>
        <v>7800007667618</v>
      </c>
      <c r="I3782" s="3">
        <v>0</v>
      </c>
      <c r="J3782" s="3">
        <v>0</v>
      </c>
      <c r="K3782" s="3">
        <v>10000</v>
      </c>
    </row>
    <row r="3783" spans="1:11" x14ac:dyDescent="0.2">
      <c r="A3783" s="1" t="s">
        <v>4994</v>
      </c>
      <c r="B3783" s="1" t="s">
        <v>4711</v>
      </c>
      <c r="C3783" s="1"/>
      <c r="D3783" s="1"/>
      <c r="E3783" s="1"/>
      <c r="F3783" s="1"/>
      <c r="G3783" s="1"/>
      <c r="H3783" s="1" t="str">
        <f>"7800007667298"</f>
        <v>7800007667298</v>
      </c>
      <c r="I3783" s="3">
        <v>0</v>
      </c>
      <c r="J3783" s="3">
        <v>0</v>
      </c>
      <c r="K3783" s="3">
        <v>10000</v>
      </c>
    </row>
    <row r="3784" spans="1:11" x14ac:dyDescent="0.2">
      <c r="A3784" s="1" t="s">
        <v>4994</v>
      </c>
      <c r="B3784" s="1" t="s">
        <v>4712</v>
      </c>
      <c r="C3784" s="1"/>
      <c r="D3784" s="1"/>
      <c r="E3784" s="1"/>
      <c r="F3784" s="1"/>
      <c r="G3784" s="1"/>
      <c r="H3784" s="1" t="str">
        <f>"7800007725165"</f>
        <v>7800007725165</v>
      </c>
      <c r="I3784" s="3">
        <v>0</v>
      </c>
      <c r="J3784" s="3">
        <v>0</v>
      </c>
      <c r="K3784" s="3">
        <v>12500</v>
      </c>
    </row>
    <row r="3785" spans="1:11" x14ac:dyDescent="0.2">
      <c r="A3785" s="1" t="s">
        <v>4994</v>
      </c>
      <c r="B3785" s="1" t="s">
        <v>4713</v>
      </c>
      <c r="C3785" s="1"/>
      <c r="D3785" s="1"/>
      <c r="E3785" s="1"/>
      <c r="F3785" s="1"/>
      <c r="G3785" s="1"/>
      <c r="H3785" s="1" t="str">
        <f>"76046162708323"</f>
        <v>76046162708323</v>
      </c>
      <c r="I3785" s="3">
        <v>8</v>
      </c>
      <c r="J3785" s="3">
        <v>0</v>
      </c>
      <c r="K3785" s="3">
        <v>10000</v>
      </c>
    </row>
    <row r="3786" spans="1:11" x14ac:dyDescent="0.2">
      <c r="A3786" s="1" t="s">
        <v>4994</v>
      </c>
      <c r="B3786" s="1" t="s">
        <v>4722</v>
      </c>
      <c r="C3786" s="1"/>
      <c r="D3786" s="1"/>
      <c r="E3786" s="1"/>
      <c r="F3786" s="1"/>
      <c r="G3786" s="1"/>
      <c r="H3786" s="1" t="str">
        <f>"7800009745390"</f>
        <v>7800009745390</v>
      </c>
      <c r="I3786" s="3">
        <v>0</v>
      </c>
      <c r="J3786" s="3">
        <v>0</v>
      </c>
      <c r="K3786" s="3">
        <v>16000</v>
      </c>
    </row>
    <row r="3787" spans="1:11" x14ac:dyDescent="0.2">
      <c r="A3787" s="1" t="s">
        <v>4994</v>
      </c>
      <c r="B3787" s="1" t="s">
        <v>4725</v>
      </c>
      <c r="C3787" s="1"/>
      <c r="D3787" s="1"/>
      <c r="E3787" s="1"/>
      <c r="F3787" s="1"/>
      <c r="G3787" s="1"/>
      <c r="H3787" s="1" t="str">
        <f>"7804650884552"</f>
        <v>7804650884552</v>
      </c>
      <c r="I3787" s="3">
        <v>0</v>
      </c>
      <c r="J3787" s="3">
        <v>0</v>
      </c>
      <c r="K3787" s="3">
        <v>9500</v>
      </c>
    </row>
    <row r="3788" spans="1:11" x14ac:dyDescent="0.2">
      <c r="A3788" s="1" t="s">
        <v>4994</v>
      </c>
      <c r="B3788" s="1" t="s">
        <v>4726</v>
      </c>
      <c r="C3788" s="1"/>
      <c r="D3788" s="1"/>
      <c r="E3788" s="1"/>
      <c r="F3788" s="1"/>
      <c r="G3788" s="1"/>
      <c r="H3788" s="1" t="str">
        <f>"7804650885177"</f>
        <v>7804650885177</v>
      </c>
      <c r="I3788" s="3">
        <v>0</v>
      </c>
      <c r="J3788" s="3">
        <v>0</v>
      </c>
      <c r="K3788" s="3">
        <v>15000</v>
      </c>
    </row>
    <row r="3789" spans="1:11" x14ac:dyDescent="0.2">
      <c r="A3789" s="1" t="s">
        <v>4994</v>
      </c>
      <c r="B3789" s="1" t="s">
        <v>4727</v>
      </c>
      <c r="C3789" s="1"/>
      <c r="D3789" s="1"/>
      <c r="E3789" s="1"/>
      <c r="F3789" s="1"/>
      <c r="G3789" s="1"/>
      <c r="H3789" s="1" t="str">
        <f>"7804650885191"</f>
        <v>7804650885191</v>
      </c>
      <c r="I3789" s="3">
        <v>0</v>
      </c>
      <c r="J3789" s="3">
        <v>0</v>
      </c>
      <c r="K3789" s="3">
        <v>14000</v>
      </c>
    </row>
    <row r="3790" spans="1:11" x14ac:dyDescent="0.2">
      <c r="A3790" s="1" t="s">
        <v>4994</v>
      </c>
      <c r="B3790" s="1" t="s">
        <v>4728</v>
      </c>
      <c r="C3790" s="1"/>
      <c r="D3790" s="1"/>
      <c r="E3790" s="1"/>
      <c r="F3790" s="1"/>
      <c r="G3790" s="1"/>
      <c r="H3790" s="1" t="str">
        <f>"7800026190180"</f>
        <v>7800026190180</v>
      </c>
      <c r="I3790" s="3">
        <v>0</v>
      </c>
      <c r="J3790" s="3">
        <v>0</v>
      </c>
      <c r="K3790" s="3">
        <v>12000</v>
      </c>
    </row>
    <row r="3791" spans="1:11" x14ac:dyDescent="0.2">
      <c r="A3791" s="1" t="s">
        <v>4994</v>
      </c>
      <c r="B3791" s="1" t="s">
        <v>4730</v>
      </c>
      <c r="C3791" s="1"/>
      <c r="D3791" s="1"/>
      <c r="E3791" s="1"/>
      <c r="F3791" s="1"/>
      <c r="G3791" s="1"/>
      <c r="H3791" s="1" t="str">
        <f>"7800026026588"</f>
        <v>7800026026588</v>
      </c>
      <c r="I3791" s="3">
        <v>0</v>
      </c>
      <c r="J3791" s="3">
        <v>0</v>
      </c>
      <c r="K3791" s="3">
        <v>5000</v>
      </c>
    </row>
    <row r="3792" spans="1:11" x14ac:dyDescent="0.2">
      <c r="A3792" s="1" t="s">
        <v>4994</v>
      </c>
      <c r="B3792" s="1" t="s">
        <v>4731</v>
      </c>
      <c r="C3792" s="1"/>
      <c r="D3792" s="1"/>
      <c r="E3792" s="1"/>
      <c r="F3792" s="1"/>
      <c r="G3792" s="1"/>
      <c r="H3792" s="1" t="str">
        <f>"7800026026632"</f>
        <v>7800026026632</v>
      </c>
      <c r="I3792" s="3">
        <v>0</v>
      </c>
      <c r="J3792" s="3">
        <v>0</v>
      </c>
      <c r="K3792" s="3">
        <v>11000</v>
      </c>
    </row>
    <row r="3793" spans="1:11" x14ac:dyDescent="0.2">
      <c r="A3793" s="1" t="s">
        <v>4994</v>
      </c>
      <c r="B3793" s="1" t="s">
        <v>4733</v>
      </c>
      <c r="C3793" s="1"/>
      <c r="D3793" s="1"/>
      <c r="E3793" s="1"/>
      <c r="F3793" s="1"/>
      <c r="G3793" s="1"/>
      <c r="H3793" s="1" t="str">
        <f>"8903726193556"</f>
        <v>8903726193556</v>
      </c>
      <c r="I3793" s="3">
        <v>0</v>
      </c>
      <c r="J3793" s="3">
        <v>0</v>
      </c>
      <c r="K3793" s="3">
        <v>6500</v>
      </c>
    </row>
    <row r="3794" spans="1:11" x14ac:dyDescent="0.2">
      <c r="A3794" s="1" t="s">
        <v>4994</v>
      </c>
      <c r="B3794" s="1" t="s">
        <v>4734</v>
      </c>
      <c r="C3794" s="1"/>
      <c r="D3794" s="1"/>
      <c r="E3794" s="1"/>
      <c r="F3794" s="1"/>
      <c r="G3794" s="1"/>
      <c r="H3794" s="1" t="str">
        <f>"7800060149151"</f>
        <v>7800060149151</v>
      </c>
      <c r="I3794" s="3">
        <v>0</v>
      </c>
      <c r="J3794" s="3">
        <v>0</v>
      </c>
      <c r="K3794" s="3">
        <v>29000</v>
      </c>
    </row>
    <row r="3795" spans="1:11" x14ac:dyDescent="0.2">
      <c r="A3795" s="1" t="s">
        <v>4994</v>
      </c>
      <c r="B3795" s="1" t="s">
        <v>4735</v>
      </c>
      <c r="C3795" s="1"/>
      <c r="D3795" s="1"/>
      <c r="E3795" s="1"/>
      <c r="F3795" s="1"/>
      <c r="G3795" s="1"/>
      <c r="H3795" s="1" t="str">
        <f>"8903726312391"</f>
        <v>8903726312391</v>
      </c>
      <c r="I3795" s="3">
        <v>0</v>
      </c>
      <c r="J3795" s="3">
        <v>0</v>
      </c>
      <c r="K3795" s="3">
        <v>5000</v>
      </c>
    </row>
    <row r="3796" spans="1:11" x14ac:dyDescent="0.2">
      <c r="A3796" s="1" t="s">
        <v>4994</v>
      </c>
      <c r="B3796" s="1" t="s">
        <v>4736</v>
      </c>
      <c r="C3796" s="1"/>
      <c r="D3796" s="1"/>
      <c r="E3796" s="1"/>
      <c r="F3796" s="1"/>
      <c r="G3796" s="1"/>
      <c r="H3796" s="1" t="str">
        <f>"7803504005501"</f>
        <v>7803504005501</v>
      </c>
      <c r="I3796" s="3">
        <v>2</v>
      </c>
      <c r="J3796" s="3">
        <v>0</v>
      </c>
      <c r="K3796" s="3">
        <v>3000</v>
      </c>
    </row>
    <row r="3797" spans="1:11" x14ac:dyDescent="0.2">
      <c r="A3797" s="1" t="s">
        <v>4994</v>
      </c>
      <c r="B3797" s="1" t="s">
        <v>4737</v>
      </c>
      <c r="C3797" s="1"/>
      <c r="D3797" s="1"/>
      <c r="E3797" s="1"/>
      <c r="F3797" s="1"/>
      <c r="G3797" s="1"/>
      <c r="H3797" s="1" t="str">
        <f>"7803504005600"</f>
        <v>7803504005600</v>
      </c>
      <c r="I3797" s="3">
        <v>10</v>
      </c>
      <c r="J3797" s="3">
        <v>0</v>
      </c>
      <c r="K3797" s="3">
        <v>6000</v>
      </c>
    </row>
    <row r="3798" spans="1:11" x14ac:dyDescent="0.2">
      <c r="A3798" s="1" t="s">
        <v>4994</v>
      </c>
      <c r="B3798" s="1" t="s">
        <v>4739</v>
      </c>
      <c r="C3798" s="1"/>
      <c r="D3798" s="1"/>
      <c r="E3798" s="1"/>
      <c r="F3798" s="1"/>
      <c r="G3798" s="1"/>
      <c r="H3798" s="1" t="str">
        <f>"7321831691629"</f>
        <v>7321831691629</v>
      </c>
      <c r="I3798" s="3">
        <v>1</v>
      </c>
      <c r="J3798" s="3">
        <v>0</v>
      </c>
      <c r="K3798" s="3">
        <v>65000</v>
      </c>
    </row>
    <row r="3799" spans="1:11" x14ac:dyDescent="0.2">
      <c r="A3799" s="1" t="s">
        <v>4994</v>
      </c>
      <c r="B3799" s="1" t="s">
        <v>4741</v>
      </c>
      <c r="C3799" s="1"/>
      <c r="D3799" s="1"/>
      <c r="E3799" s="1"/>
      <c r="F3799" s="1"/>
      <c r="G3799" s="1"/>
      <c r="H3799" s="1" t="str">
        <f>"7800059003464"</f>
        <v>7800059003464</v>
      </c>
      <c r="I3799" s="3">
        <v>0</v>
      </c>
      <c r="J3799" s="3">
        <v>0</v>
      </c>
      <c r="K3799" s="3">
        <v>10000</v>
      </c>
    </row>
    <row r="3800" spans="1:11" x14ac:dyDescent="0.2">
      <c r="A3800" s="1" t="s">
        <v>4994</v>
      </c>
      <c r="B3800" s="1" t="s">
        <v>4742</v>
      </c>
      <c r="C3800" s="1"/>
      <c r="D3800" s="1"/>
      <c r="E3800" s="1"/>
      <c r="F3800" s="1"/>
      <c r="G3800" s="1"/>
      <c r="H3800" s="1" t="str">
        <f>"7803504000223"</f>
        <v>7803504000223</v>
      </c>
      <c r="I3800" s="3">
        <v>9</v>
      </c>
      <c r="J3800" s="3">
        <v>0</v>
      </c>
      <c r="K3800" s="3">
        <v>7000</v>
      </c>
    </row>
    <row r="3801" spans="1:11" x14ac:dyDescent="0.2">
      <c r="A3801" s="1" t="s">
        <v>4994</v>
      </c>
      <c r="B3801" s="1" t="s">
        <v>4743</v>
      </c>
      <c r="C3801" s="1"/>
      <c r="D3801" s="1"/>
      <c r="E3801" s="1"/>
      <c r="F3801" s="1"/>
      <c r="G3801" s="1"/>
      <c r="H3801" s="1" t="str">
        <f>"7805633015956"</f>
        <v>7805633015956</v>
      </c>
      <c r="I3801" s="3">
        <v>0</v>
      </c>
      <c r="J3801" s="3">
        <v>0</v>
      </c>
      <c r="K3801" s="3">
        <v>1000</v>
      </c>
    </row>
    <row r="3802" spans="1:11" x14ac:dyDescent="0.2">
      <c r="A3802" s="1" t="s">
        <v>4994</v>
      </c>
      <c r="B3802" s="1" t="s">
        <v>4745</v>
      </c>
      <c r="C3802" s="1"/>
      <c r="D3802" s="1"/>
      <c r="E3802" s="1"/>
      <c r="F3802" s="1"/>
      <c r="G3802" s="1"/>
      <c r="H3802" s="1" t="str">
        <f>"10032510"</f>
        <v>10032510</v>
      </c>
      <c r="I3802" s="3">
        <v>436</v>
      </c>
      <c r="J3802" s="3">
        <v>0</v>
      </c>
      <c r="K3802" s="3">
        <v>1500</v>
      </c>
    </row>
    <row r="3803" spans="1:11" x14ac:dyDescent="0.2">
      <c r="A3803" s="1" t="s">
        <v>4994</v>
      </c>
      <c r="B3803" s="1" t="s">
        <v>4746</v>
      </c>
      <c r="C3803" s="1"/>
      <c r="D3803" s="1"/>
      <c r="E3803" s="1"/>
      <c r="F3803" s="1"/>
      <c r="G3803" s="1"/>
      <c r="H3803" s="1" t="str">
        <f>"7805357009248"</f>
        <v>7805357009248</v>
      </c>
      <c r="I3803" s="3">
        <v>0</v>
      </c>
      <c r="J3803" s="3">
        <v>0</v>
      </c>
      <c r="K3803" s="3">
        <v>12200</v>
      </c>
    </row>
    <row r="3804" spans="1:11" x14ac:dyDescent="0.2">
      <c r="A3804" s="1" t="s">
        <v>4994</v>
      </c>
      <c r="B3804" s="1" t="s">
        <v>4747</v>
      </c>
      <c r="C3804" s="1"/>
      <c r="D3804" s="1"/>
      <c r="E3804" s="1"/>
      <c r="F3804" s="1"/>
      <c r="G3804" s="1"/>
      <c r="H3804" s="1" t="str">
        <f>"7805357009149"</f>
        <v>7805357009149</v>
      </c>
      <c r="I3804" s="3">
        <v>0</v>
      </c>
      <c r="J3804" s="3">
        <v>0</v>
      </c>
      <c r="K3804" s="3">
        <v>7500</v>
      </c>
    </row>
    <row r="3805" spans="1:11" x14ac:dyDescent="0.2">
      <c r="A3805" s="1" t="s">
        <v>4994</v>
      </c>
      <c r="B3805" s="1" t="s">
        <v>4748</v>
      </c>
      <c r="C3805" s="1"/>
      <c r="D3805" s="1"/>
      <c r="E3805" s="1"/>
      <c r="F3805" s="1"/>
      <c r="G3805" s="1"/>
      <c r="H3805" s="1" t="str">
        <f>"7805357001976"</f>
        <v>7805357001976</v>
      </c>
      <c r="I3805" s="3">
        <v>45</v>
      </c>
      <c r="J3805" s="3">
        <v>0</v>
      </c>
      <c r="K3805" s="3">
        <v>1800</v>
      </c>
    </row>
    <row r="3806" spans="1:11" x14ac:dyDescent="0.2">
      <c r="A3806" s="1" t="s">
        <v>4994</v>
      </c>
      <c r="B3806" s="1" t="s">
        <v>4749</v>
      </c>
      <c r="C3806" s="1"/>
      <c r="D3806" s="1"/>
      <c r="E3806" s="1"/>
      <c r="F3806" s="1"/>
      <c r="G3806" s="1"/>
      <c r="H3806" s="1" t="str">
        <f>"7805357001440"</f>
        <v>7805357001440</v>
      </c>
      <c r="I3806" s="3">
        <v>0</v>
      </c>
      <c r="J3806" s="3">
        <v>0</v>
      </c>
      <c r="K3806" s="3">
        <v>1500</v>
      </c>
    </row>
    <row r="3807" spans="1:11" x14ac:dyDescent="0.2">
      <c r="A3807" s="1" t="s">
        <v>4994</v>
      </c>
      <c r="B3807" s="1" t="s">
        <v>4750</v>
      </c>
      <c r="C3807" s="1"/>
      <c r="D3807" s="1"/>
      <c r="E3807" s="1"/>
      <c r="F3807" s="1"/>
      <c r="G3807" s="1"/>
      <c r="H3807" s="1" t="str">
        <f>"7804907001138"</f>
        <v>7804907001138</v>
      </c>
      <c r="I3807" s="3">
        <v>6</v>
      </c>
      <c r="J3807" s="3">
        <v>0</v>
      </c>
      <c r="K3807" s="3">
        <v>4000</v>
      </c>
    </row>
    <row r="3808" spans="1:11" x14ac:dyDescent="0.2">
      <c r="A3808" s="1" t="s">
        <v>4994</v>
      </c>
      <c r="B3808" s="1" t="s">
        <v>4751</v>
      </c>
      <c r="C3808" s="1"/>
      <c r="D3808" s="1"/>
      <c r="E3808" s="1"/>
      <c r="F3808" s="1"/>
      <c r="G3808" s="1"/>
      <c r="H3808" s="1" t="str">
        <f>"7805357002331"</f>
        <v>7805357002331</v>
      </c>
      <c r="I3808" s="3">
        <v>0</v>
      </c>
      <c r="J3808" s="3">
        <v>0</v>
      </c>
      <c r="K3808" s="3">
        <v>10000</v>
      </c>
    </row>
    <row r="3809" spans="1:11" x14ac:dyDescent="0.2">
      <c r="A3809" s="1" t="s">
        <v>4994</v>
      </c>
      <c r="B3809" s="1" t="s">
        <v>4752</v>
      </c>
      <c r="C3809" s="1"/>
      <c r="D3809" s="1"/>
      <c r="E3809" s="1"/>
      <c r="F3809" s="1"/>
      <c r="G3809" s="1"/>
      <c r="H3809" s="1" t="str">
        <f>"7800044001697"</f>
        <v>7800044001697</v>
      </c>
      <c r="I3809" s="3">
        <v>20</v>
      </c>
      <c r="J3809" s="3">
        <v>0</v>
      </c>
      <c r="K3809" s="3">
        <v>2500</v>
      </c>
    </row>
    <row r="3810" spans="1:11" x14ac:dyDescent="0.2">
      <c r="A3810" s="1" t="s">
        <v>4994</v>
      </c>
      <c r="B3810" s="1" t="s">
        <v>4753</v>
      </c>
      <c r="C3810" s="1"/>
      <c r="D3810" s="1"/>
      <c r="E3810" s="1"/>
      <c r="F3810" s="1"/>
      <c r="G3810" s="1"/>
      <c r="H3810" s="1" t="str">
        <f>"7800007109286"</f>
        <v>7800007109286</v>
      </c>
      <c r="I3810" s="3">
        <v>6</v>
      </c>
      <c r="J3810" s="3">
        <v>0</v>
      </c>
      <c r="K3810" s="3">
        <v>2000</v>
      </c>
    </row>
    <row r="3811" spans="1:11" x14ac:dyDescent="0.2">
      <c r="A3811" s="1" t="s">
        <v>4994</v>
      </c>
      <c r="B3811" s="1" t="s">
        <v>4754</v>
      </c>
      <c r="C3811" s="1"/>
      <c r="D3811" s="1"/>
      <c r="E3811" s="1"/>
      <c r="F3811" s="1"/>
      <c r="G3811" s="1"/>
      <c r="H3811" s="1" t="str">
        <f>"7805357002324"</f>
        <v>7805357002324</v>
      </c>
      <c r="I3811" s="3">
        <v>0</v>
      </c>
      <c r="J3811" s="3">
        <v>0</v>
      </c>
      <c r="K3811" s="3">
        <v>2500</v>
      </c>
    </row>
    <row r="3812" spans="1:11" x14ac:dyDescent="0.2">
      <c r="A3812" s="1" t="s">
        <v>4994</v>
      </c>
      <c r="B3812" s="1" t="s">
        <v>4755</v>
      </c>
      <c r="C3812" s="1"/>
      <c r="D3812" s="1"/>
      <c r="E3812" s="1"/>
      <c r="F3812" s="1"/>
      <c r="G3812" s="1"/>
      <c r="H3812" s="1" t="str">
        <f>"7804945002074"</f>
        <v>7804945002074</v>
      </c>
      <c r="I3812" s="3">
        <v>0</v>
      </c>
      <c r="J3812" s="3">
        <v>0</v>
      </c>
      <c r="K3812" s="3">
        <v>3500</v>
      </c>
    </row>
    <row r="3813" spans="1:11" x14ac:dyDescent="0.2">
      <c r="A3813" s="1" t="s">
        <v>4994</v>
      </c>
      <c r="B3813" s="1" t="s">
        <v>4756</v>
      </c>
      <c r="C3813" s="1"/>
      <c r="D3813" s="1"/>
      <c r="E3813" s="1"/>
      <c r="F3813" s="1"/>
      <c r="G3813" s="1"/>
      <c r="H3813" s="1" t="str">
        <f>"7805357001310"</f>
        <v>7805357001310</v>
      </c>
      <c r="I3813" s="3">
        <v>0</v>
      </c>
      <c r="J3813" s="3">
        <v>0</v>
      </c>
      <c r="K3813" s="3">
        <v>2800</v>
      </c>
    </row>
    <row r="3814" spans="1:11" x14ac:dyDescent="0.2">
      <c r="A3814" s="1" t="s">
        <v>4994</v>
      </c>
      <c r="B3814" s="1" t="s">
        <v>4757</v>
      </c>
      <c r="C3814" s="1"/>
      <c r="D3814" s="1"/>
      <c r="E3814" s="1"/>
      <c r="F3814" s="1"/>
      <c r="G3814" s="1"/>
      <c r="H3814" s="1" t="str">
        <f>"7800023226424"</f>
        <v>7800023226424</v>
      </c>
      <c r="I3814" s="3">
        <v>26</v>
      </c>
      <c r="J3814" s="3">
        <v>0</v>
      </c>
      <c r="K3814" s="3">
        <v>13000</v>
      </c>
    </row>
    <row r="3815" spans="1:11" x14ac:dyDescent="0.2">
      <c r="A3815" s="1" t="s">
        <v>4994</v>
      </c>
      <c r="B3815" s="1" t="s">
        <v>4758</v>
      </c>
      <c r="C3815" s="1"/>
      <c r="D3815" s="1"/>
      <c r="E3815" s="1"/>
      <c r="F3815" s="1"/>
      <c r="G3815" s="1"/>
      <c r="H3815" s="1" t="str">
        <f>"7800023226431"</f>
        <v>7800023226431</v>
      </c>
      <c r="I3815" s="3">
        <v>0</v>
      </c>
      <c r="J3815" s="3">
        <v>0</v>
      </c>
      <c r="K3815" s="3">
        <v>12000</v>
      </c>
    </row>
    <row r="3816" spans="1:11" x14ac:dyDescent="0.2">
      <c r="A3816" s="1" t="s">
        <v>4994</v>
      </c>
      <c r="B3816" s="1" t="s">
        <v>4759</v>
      </c>
      <c r="C3816" s="1"/>
      <c r="D3816" s="1"/>
      <c r="E3816" s="1"/>
      <c r="F3816" s="1"/>
      <c r="G3816" s="1"/>
      <c r="H3816" s="1" t="str">
        <f>"737186233099"</f>
        <v>737186233099</v>
      </c>
      <c r="I3816" s="3">
        <v>0</v>
      </c>
      <c r="J3816" s="3">
        <v>0</v>
      </c>
      <c r="K3816" s="3">
        <v>9000</v>
      </c>
    </row>
    <row r="3817" spans="1:11" x14ac:dyDescent="0.2">
      <c r="A3817" s="1" t="s">
        <v>4994</v>
      </c>
      <c r="B3817" s="1" t="s">
        <v>4760</v>
      </c>
      <c r="C3817" s="1"/>
      <c r="D3817" s="1"/>
      <c r="E3817" s="1"/>
      <c r="F3817" s="1"/>
      <c r="G3817" s="1"/>
      <c r="H3817" s="1" t="str">
        <f>"737186233105"</f>
        <v>737186233105</v>
      </c>
      <c r="I3817" s="3">
        <v>0</v>
      </c>
      <c r="J3817" s="3">
        <v>0</v>
      </c>
      <c r="K3817" s="3">
        <v>9000</v>
      </c>
    </row>
    <row r="3818" spans="1:11" x14ac:dyDescent="0.2">
      <c r="A3818" s="1" t="s">
        <v>4994</v>
      </c>
      <c r="B3818" s="1" t="s">
        <v>4760</v>
      </c>
      <c r="C3818" s="1"/>
      <c r="D3818" s="1"/>
      <c r="E3818" s="1"/>
      <c r="F3818" s="1"/>
      <c r="G3818" s="1"/>
      <c r="H3818" s="1" t="str">
        <f>"781159466786"</f>
        <v>781159466786</v>
      </c>
      <c r="I3818" s="3">
        <v>10</v>
      </c>
      <c r="J3818" s="3">
        <v>0</v>
      </c>
      <c r="K3818" s="3">
        <v>9000</v>
      </c>
    </row>
    <row r="3819" spans="1:11" x14ac:dyDescent="0.2">
      <c r="A3819" s="1" t="s">
        <v>4994</v>
      </c>
      <c r="B3819" s="1" t="s">
        <v>4761</v>
      </c>
      <c r="C3819" s="1"/>
      <c r="D3819" s="1"/>
      <c r="E3819" s="1"/>
      <c r="F3819" s="1"/>
      <c r="G3819" s="1"/>
      <c r="H3819" s="1" t="str">
        <f>"8410104274160"</f>
        <v>8410104274160</v>
      </c>
      <c r="I3819" s="3">
        <v>12</v>
      </c>
      <c r="J3819" s="3">
        <v>0</v>
      </c>
      <c r="K3819" s="3">
        <v>8500</v>
      </c>
    </row>
    <row r="3820" spans="1:11" x14ac:dyDescent="0.2">
      <c r="A3820" s="1" t="s">
        <v>4994</v>
      </c>
      <c r="B3820" s="1" t="s">
        <v>4762</v>
      </c>
      <c r="C3820" s="1"/>
      <c r="D3820" s="1"/>
      <c r="E3820" s="1"/>
      <c r="F3820" s="1"/>
      <c r="G3820" s="1"/>
      <c r="H3820" s="1" t="str">
        <f>"7805010002135"</f>
        <v>7805010002135</v>
      </c>
      <c r="I3820" s="3">
        <v>10</v>
      </c>
      <c r="J3820" s="3">
        <v>0</v>
      </c>
      <c r="K3820" s="3">
        <v>6500</v>
      </c>
    </row>
    <row r="3821" spans="1:11" x14ac:dyDescent="0.2">
      <c r="A3821" s="1" t="s">
        <v>4994</v>
      </c>
      <c r="B3821" s="1" t="s">
        <v>4763</v>
      </c>
      <c r="C3821" s="1"/>
      <c r="D3821" s="1"/>
      <c r="E3821" s="1"/>
      <c r="F3821" s="1"/>
      <c r="G3821" s="1"/>
      <c r="H3821" s="1" t="str">
        <f>"7506460101064"</f>
        <v>7506460101064</v>
      </c>
      <c r="I3821" s="3">
        <v>10</v>
      </c>
      <c r="J3821" s="3">
        <v>0</v>
      </c>
      <c r="K3821" s="3">
        <v>8500</v>
      </c>
    </row>
    <row r="3822" spans="1:11" x14ac:dyDescent="0.2">
      <c r="A3822" s="1" t="s">
        <v>4994</v>
      </c>
      <c r="B3822" s="1" t="s">
        <v>4764</v>
      </c>
      <c r="C3822" s="1"/>
      <c r="D3822" s="1"/>
      <c r="E3822" s="1"/>
      <c r="F3822" s="1"/>
      <c r="G3822" s="1"/>
      <c r="H3822" s="1" t="str">
        <f>"76046173500350"</f>
        <v>76046173500350</v>
      </c>
      <c r="I3822" s="3">
        <v>4</v>
      </c>
      <c r="J3822" s="3">
        <v>0</v>
      </c>
      <c r="K3822" s="3">
        <v>24000</v>
      </c>
    </row>
    <row r="3823" spans="1:11" x14ac:dyDescent="0.2">
      <c r="A3823" s="1" t="s">
        <v>4994</v>
      </c>
      <c r="B3823" s="1" t="s">
        <v>4765</v>
      </c>
      <c r="C3823" s="1"/>
      <c r="D3823" s="1"/>
      <c r="E3823" s="1"/>
      <c r="F3823" s="1"/>
      <c r="G3823" s="1"/>
      <c r="H3823" s="1" t="str">
        <f>"4042809022858"</f>
        <v>4042809022858</v>
      </c>
      <c r="I3823" s="3">
        <v>90</v>
      </c>
      <c r="J3823" s="3">
        <v>0</v>
      </c>
      <c r="K3823" s="3">
        <v>1000</v>
      </c>
    </row>
    <row r="3824" spans="1:11" x14ac:dyDescent="0.2">
      <c r="A3824" s="1" t="s">
        <v>4994</v>
      </c>
      <c r="B3824" s="1" t="s">
        <v>4766</v>
      </c>
      <c r="C3824" s="1"/>
      <c r="D3824" s="1"/>
      <c r="E3824" s="1"/>
      <c r="F3824" s="1"/>
      <c r="G3824" s="1"/>
      <c r="H3824" s="1" t="str">
        <f>"6920200224096"</f>
        <v>6920200224096</v>
      </c>
      <c r="I3824" s="3">
        <v>2</v>
      </c>
      <c r="J3824" s="3">
        <v>0</v>
      </c>
      <c r="K3824" s="3">
        <v>9600</v>
      </c>
    </row>
    <row r="3825" spans="1:11" x14ac:dyDescent="0.2">
      <c r="A3825" s="1" t="s">
        <v>4994</v>
      </c>
      <c r="B3825" s="1" t="s">
        <v>4767</v>
      </c>
      <c r="C3825" s="1"/>
      <c r="D3825" s="1"/>
      <c r="E3825" s="1"/>
      <c r="F3825" s="1"/>
      <c r="G3825" s="1"/>
      <c r="H3825" s="1" t="str">
        <f>"AKSJDNFHASJ"</f>
        <v>AKSJDNFHASJ</v>
      </c>
      <c r="I3825" s="3">
        <v>0</v>
      </c>
      <c r="J3825" s="3">
        <v>0</v>
      </c>
      <c r="K3825" s="3">
        <v>600</v>
      </c>
    </row>
    <row r="3826" spans="1:11" x14ac:dyDescent="0.2">
      <c r="A3826" s="1" t="s">
        <v>4994</v>
      </c>
      <c r="B3826" s="1" t="s">
        <v>4768</v>
      </c>
      <c r="C3826" s="1"/>
      <c r="D3826" s="1"/>
      <c r="E3826" s="1"/>
      <c r="F3826" s="1"/>
      <c r="G3826" s="1"/>
      <c r="H3826" s="1" t="str">
        <f>"6920200224089"</f>
        <v>6920200224089</v>
      </c>
      <c r="I3826" s="3">
        <v>2</v>
      </c>
      <c r="J3826" s="3">
        <v>0</v>
      </c>
      <c r="K3826" s="3">
        <v>7200</v>
      </c>
    </row>
    <row r="3827" spans="1:11" x14ac:dyDescent="0.2">
      <c r="A3827" s="1" t="s">
        <v>4994</v>
      </c>
      <c r="B3827" s="1" t="s">
        <v>4769</v>
      </c>
      <c r="C3827" s="1"/>
      <c r="D3827" s="1"/>
      <c r="E3827" s="1"/>
      <c r="F3827" s="1"/>
      <c r="G3827" s="1"/>
      <c r="H3827" s="1" t="str">
        <f>"7805070401329"</f>
        <v>7805070401329</v>
      </c>
      <c r="I3827" s="3">
        <v>0</v>
      </c>
      <c r="J3827" s="3">
        <v>0</v>
      </c>
      <c r="K3827" s="3">
        <v>7000</v>
      </c>
    </row>
    <row r="3828" spans="1:11" x14ac:dyDescent="0.2">
      <c r="A3828" s="1" t="s">
        <v>4994</v>
      </c>
      <c r="B3828" s="1" t="s">
        <v>4770</v>
      </c>
      <c r="C3828" s="1"/>
      <c r="D3828" s="1"/>
      <c r="E3828" s="1"/>
      <c r="F3828" s="1"/>
      <c r="G3828" s="1"/>
      <c r="H3828" s="1" t="str">
        <f>"6920200224041"</f>
        <v>6920200224041</v>
      </c>
      <c r="I3828" s="3">
        <v>0</v>
      </c>
      <c r="J3828" s="3">
        <v>0</v>
      </c>
      <c r="K3828" s="3">
        <v>2000</v>
      </c>
    </row>
    <row r="3829" spans="1:11" x14ac:dyDescent="0.2">
      <c r="A3829" s="1" t="s">
        <v>4994</v>
      </c>
      <c r="B3829" s="1" t="s">
        <v>4771</v>
      </c>
      <c r="C3829" s="1"/>
      <c r="D3829" s="1"/>
      <c r="E3829" s="1"/>
      <c r="F3829" s="1"/>
      <c r="G3829" s="1"/>
      <c r="H3829" s="1" t="str">
        <f>"5656153165"</f>
        <v>5656153165</v>
      </c>
      <c r="I3829" s="3">
        <v>0</v>
      </c>
      <c r="J3829" s="3">
        <v>0</v>
      </c>
      <c r="K3829" s="3">
        <v>2000</v>
      </c>
    </row>
    <row r="3830" spans="1:11" x14ac:dyDescent="0.2">
      <c r="A3830" s="1" t="s">
        <v>4994</v>
      </c>
      <c r="B3830" s="1" t="s">
        <v>4771</v>
      </c>
      <c r="C3830" s="1"/>
      <c r="D3830" s="1"/>
      <c r="E3830" s="1"/>
      <c r="F3830" s="1"/>
      <c r="G3830" s="1"/>
      <c r="H3830" s="1" t="str">
        <f>"75613047157036"</f>
        <v>75613047157036</v>
      </c>
      <c r="I3830" s="3">
        <v>0</v>
      </c>
      <c r="J3830" s="3">
        <v>0</v>
      </c>
      <c r="K3830" s="3">
        <v>2000</v>
      </c>
    </row>
    <row r="3831" spans="1:11" x14ac:dyDescent="0.2">
      <c r="A3831" s="1" t="s">
        <v>4994</v>
      </c>
      <c r="B3831" s="1" t="s">
        <v>4772</v>
      </c>
      <c r="C3831" s="1"/>
      <c r="D3831" s="1"/>
      <c r="E3831" s="1"/>
      <c r="F3831" s="1"/>
      <c r="G3831" s="1"/>
      <c r="H3831" s="1" t="str">
        <f>"75613045918815"</f>
        <v>75613045918815</v>
      </c>
      <c r="I3831" s="3">
        <v>0</v>
      </c>
      <c r="J3831" s="3">
        <v>0</v>
      </c>
      <c r="K3831" s="3">
        <v>2000</v>
      </c>
    </row>
    <row r="3832" spans="1:11" x14ac:dyDescent="0.2">
      <c r="A3832" s="1" t="s">
        <v>4994</v>
      </c>
      <c r="B3832" s="1" t="s">
        <v>4773</v>
      </c>
      <c r="C3832" s="1"/>
      <c r="D3832" s="1"/>
      <c r="E3832" s="1"/>
      <c r="F3832" s="1"/>
      <c r="G3832" s="1"/>
      <c r="H3832" s="1" t="str">
        <f>"VENDA6"</f>
        <v>VENDA6</v>
      </c>
      <c r="I3832" s="3">
        <v>0</v>
      </c>
      <c r="J3832" s="3">
        <v>0</v>
      </c>
      <c r="K3832" s="3">
        <v>500</v>
      </c>
    </row>
    <row r="3833" spans="1:11" x14ac:dyDescent="0.2">
      <c r="A3833" s="1" t="s">
        <v>4994</v>
      </c>
      <c r="B3833" s="1" t="s">
        <v>4774</v>
      </c>
      <c r="C3833" s="1"/>
      <c r="D3833" s="1"/>
      <c r="E3833" s="1"/>
      <c r="F3833" s="1"/>
      <c r="G3833" s="1"/>
      <c r="H3833" s="1" t="str">
        <f>"4042809022810"</f>
        <v>4042809022810</v>
      </c>
      <c r="I3833" s="3">
        <v>0</v>
      </c>
      <c r="J3833" s="3">
        <v>0</v>
      </c>
      <c r="K3833" s="3">
        <v>1000</v>
      </c>
    </row>
    <row r="3834" spans="1:11" x14ac:dyDescent="0.2">
      <c r="A3834" s="1" t="s">
        <v>4994</v>
      </c>
      <c r="B3834" s="1" t="s">
        <v>4775</v>
      </c>
      <c r="C3834" s="1"/>
      <c r="D3834" s="1"/>
      <c r="E3834" s="1"/>
      <c r="F3834" s="1"/>
      <c r="G3834" s="1"/>
      <c r="H3834" s="1" t="str">
        <f>"6920221110019"</f>
        <v>6920221110019</v>
      </c>
      <c r="I3834" s="3">
        <v>20</v>
      </c>
      <c r="J3834" s="3">
        <v>0</v>
      </c>
      <c r="K3834" s="3">
        <v>1000</v>
      </c>
    </row>
    <row r="3835" spans="1:11" x14ac:dyDescent="0.2">
      <c r="A3835" s="1" t="s">
        <v>4994</v>
      </c>
      <c r="B3835" s="1" t="s">
        <v>4776</v>
      </c>
      <c r="C3835" s="1"/>
      <c r="D3835" s="1"/>
      <c r="E3835" s="1"/>
      <c r="F3835" s="1"/>
      <c r="G3835" s="1"/>
      <c r="H3835" s="1" t="str">
        <f>"7806130016323"</f>
        <v>7806130016323</v>
      </c>
      <c r="I3835" s="3">
        <v>11</v>
      </c>
      <c r="J3835" s="3">
        <v>0</v>
      </c>
      <c r="K3835" s="3">
        <v>1000</v>
      </c>
    </row>
    <row r="3836" spans="1:11" x14ac:dyDescent="0.2">
      <c r="A3836" s="1" t="s">
        <v>4994</v>
      </c>
      <c r="B3836" s="1" t="s">
        <v>4777</v>
      </c>
      <c r="C3836" s="1"/>
      <c r="D3836" s="1"/>
      <c r="E3836" s="1"/>
      <c r="F3836" s="1"/>
      <c r="G3836" s="1"/>
      <c r="H3836" s="1" t="str">
        <f>"7806130006775"</f>
        <v>7806130006775</v>
      </c>
      <c r="I3836" s="3">
        <v>5</v>
      </c>
      <c r="J3836" s="3">
        <v>0</v>
      </c>
      <c r="K3836" s="3">
        <v>1000</v>
      </c>
    </row>
    <row r="3837" spans="1:11" x14ac:dyDescent="0.2">
      <c r="A3837" s="1" t="s">
        <v>4994</v>
      </c>
      <c r="B3837" s="1" t="s">
        <v>4778</v>
      </c>
      <c r="C3837" s="1"/>
      <c r="D3837" s="1"/>
      <c r="E3837" s="1"/>
      <c r="F3837" s="1"/>
      <c r="G3837" s="1"/>
      <c r="H3837" s="1" t="str">
        <f>"7806130012639"</f>
        <v>7806130012639</v>
      </c>
      <c r="I3837" s="3">
        <v>0</v>
      </c>
      <c r="J3837" s="3">
        <v>0</v>
      </c>
      <c r="K3837" s="3">
        <v>500</v>
      </c>
    </row>
    <row r="3838" spans="1:11" x14ac:dyDescent="0.2">
      <c r="A3838" s="1" t="s">
        <v>4994</v>
      </c>
      <c r="B3838" s="1" t="s">
        <v>4779</v>
      </c>
      <c r="C3838" s="1"/>
      <c r="D3838" s="1"/>
      <c r="E3838" s="1"/>
      <c r="F3838" s="1"/>
      <c r="G3838" s="1"/>
      <c r="H3838" s="1" t="str">
        <f>"VENDA10"</f>
        <v>VENDA10</v>
      </c>
      <c r="I3838" s="3">
        <v>0</v>
      </c>
      <c r="J3838" s="3">
        <v>0</v>
      </c>
      <c r="K3838" s="3">
        <v>1800</v>
      </c>
    </row>
    <row r="3839" spans="1:11" x14ac:dyDescent="0.2">
      <c r="A3839" s="1" t="s">
        <v>4994</v>
      </c>
      <c r="B3839" s="1" t="s">
        <v>4780</v>
      </c>
      <c r="C3839" s="1"/>
      <c r="D3839" s="1"/>
      <c r="E3839" s="1"/>
      <c r="F3839" s="1"/>
      <c r="G3839" s="1"/>
      <c r="H3839" s="1" t="str">
        <f>"6920190327036"</f>
        <v>6920190327036</v>
      </c>
      <c r="I3839" s="3">
        <v>0</v>
      </c>
      <c r="J3839" s="3">
        <v>0</v>
      </c>
      <c r="K3839" s="3">
        <v>1800</v>
      </c>
    </row>
    <row r="3840" spans="1:11" x14ac:dyDescent="0.2">
      <c r="A3840" s="1" t="s">
        <v>4994</v>
      </c>
      <c r="B3840" s="1" t="s">
        <v>4781</v>
      </c>
      <c r="C3840" s="1"/>
      <c r="D3840" s="1"/>
      <c r="E3840" s="1"/>
      <c r="F3840" s="1"/>
      <c r="G3840" s="1"/>
      <c r="H3840" s="1" t="str">
        <f>"VENDA"</f>
        <v>VENDA</v>
      </c>
      <c r="I3840" s="3">
        <v>0</v>
      </c>
      <c r="J3840" s="3">
        <v>0</v>
      </c>
      <c r="K3840" s="3">
        <v>1000</v>
      </c>
    </row>
    <row r="3841" spans="1:11" x14ac:dyDescent="0.2">
      <c r="A3841" s="1" t="s">
        <v>4994</v>
      </c>
      <c r="B3841" s="1" t="s">
        <v>4782</v>
      </c>
      <c r="C3841" s="1"/>
      <c r="D3841" s="1"/>
      <c r="E3841" s="1"/>
      <c r="F3841" s="1"/>
      <c r="G3841" s="1"/>
      <c r="H3841" s="1" t="str">
        <f>"6920190327012"</f>
        <v>6920190327012</v>
      </c>
      <c r="I3841" s="3">
        <v>0</v>
      </c>
      <c r="J3841" s="3">
        <v>0</v>
      </c>
      <c r="K3841" s="3">
        <v>1000</v>
      </c>
    </row>
    <row r="3842" spans="1:11" x14ac:dyDescent="0.2">
      <c r="A3842" s="1" t="s">
        <v>4994</v>
      </c>
      <c r="B3842" s="1" t="s">
        <v>4783</v>
      </c>
      <c r="C3842" s="1"/>
      <c r="D3842" s="1"/>
      <c r="E3842" s="1"/>
      <c r="F3842" s="1"/>
      <c r="G3842" s="1"/>
      <c r="H3842" s="1" t="str">
        <f>"53564641"</f>
        <v>53564641</v>
      </c>
      <c r="I3842" s="3">
        <v>0</v>
      </c>
      <c r="J3842" s="3">
        <v>0</v>
      </c>
      <c r="K3842" s="3">
        <v>1500</v>
      </c>
    </row>
    <row r="3843" spans="1:11" x14ac:dyDescent="0.2">
      <c r="A3843" s="1" t="s">
        <v>4994</v>
      </c>
      <c r="B3843" s="1" t="s">
        <v>4784</v>
      </c>
      <c r="C3843" s="1"/>
      <c r="D3843" s="1"/>
      <c r="E3843" s="1"/>
      <c r="F3843" s="1"/>
      <c r="G3843" s="1"/>
      <c r="H3843" s="1" t="str">
        <f>"6920190327029"</f>
        <v>6920190327029</v>
      </c>
      <c r="I3843" s="3">
        <v>0</v>
      </c>
      <c r="J3843" s="3">
        <v>0</v>
      </c>
      <c r="K3843" s="3">
        <v>1500</v>
      </c>
    </row>
    <row r="3844" spans="1:11" x14ac:dyDescent="0.2">
      <c r="A3844" s="1" t="s">
        <v>4994</v>
      </c>
      <c r="B3844" s="1" t="s">
        <v>4785</v>
      </c>
      <c r="C3844" s="1"/>
      <c r="D3844" s="1"/>
      <c r="E3844" s="1"/>
      <c r="F3844" s="1"/>
      <c r="G3844" s="1"/>
      <c r="H3844" s="1" t="str">
        <f>"564486"</f>
        <v>564486</v>
      </c>
      <c r="I3844" s="3">
        <v>24</v>
      </c>
      <c r="J3844" s="3">
        <v>0</v>
      </c>
      <c r="K3844" s="3">
        <v>1000</v>
      </c>
    </row>
    <row r="3845" spans="1:11" x14ac:dyDescent="0.2">
      <c r="A3845" s="1" t="s">
        <v>4994</v>
      </c>
      <c r="B3845" s="1" t="s">
        <v>4786</v>
      </c>
      <c r="C3845" s="1"/>
      <c r="D3845" s="1"/>
      <c r="E3845" s="1"/>
      <c r="F3845" s="1"/>
      <c r="G3845" s="1"/>
      <c r="H3845" s="1" t="str">
        <f>"6920200224072"</f>
        <v>6920200224072</v>
      </c>
      <c r="I3845" s="3">
        <v>26</v>
      </c>
      <c r="J3845" s="3">
        <v>0</v>
      </c>
      <c r="K3845" s="3">
        <v>500</v>
      </c>
    </row>
    <row r="3846" spans="1:11" x14ac:dyDescent="0.2">
      <c r="A3846" s="1" t="s">
        <v>4994</v>
      </c>
      <c r="B3846" s="1" t="s">
        <v>4787</v>
      </c>
      <c r="C3846" s="1"/>
      <c r="D3846" s="1"/>
      <c r="E3846" s="1"/>
      <c r="F3846" s="1"/>
      <c r="G3846" s="1"/>
      <c r="H3846" s="1" t="str">
        <f>"75883244288229"</f>
        <v>75883244288229</v>
      </c>
      <c r="I3846" s="3">
        <v>24</v>
      </c>
      <c r="J3846" s="3">
        <v>0</v>
      </c>
      <c r="K3846" s="3">
        <v>600</v>
      </c>
    </row>
    <row r="3847" spans="1:11" x14ac:dyDescent="0.2">
      <c r="A3847" s="1" t="s">
        <v>4994</v>
      </c>
      <c r="B3847" s="1" t="s">
        <v>4788</v>
      </c>
      <c r="C3847" s="1"/>
      <c r="D3847" s="1"/>
      <c r="E3847" s="1"/>
      <c r="F3847" s="1"/>
      <c r="G3847" s="1"/>
      <c r="H3847" s="1" t="str">
        <f>"4042809022841"</f>
        <v>4042809022841</v>
      </c>
      <c r="I3847" s="3">
        <v>0</v>
      </c>
      <c r="J3847" s="3">
        <v>0</v>
      </c>
      <c r="K3847" s="3">
        <v>1500</v>
      </c>
    </row>
    <row r="3848" spans="1:11" x14ac:dyDescent="0.2">
      <c r="A3848" s="1" t="s">
        <v>4994</v>
      </c>
      <c r="B3848" s="1" t="s">
        <v>4789</v>
      </c>
      <c r="C3848" s="1"/>
      <c r="D3848" s="1"/>
      <c r="E3848" s="1"/>
      <c r="F3848" s="1"/>
      <c r="G3848" s="1"/>
      <c r="H3848" s="1" t="str">
        <f>"4042809022421"</f>
        <v>4042809022421</v>
      </c>
      <c r="I3848" s="3">
        <v>0</v>
      </c>
      <c r="J3848" s="3">
        <v>0</v>
      </c>
      <c r="K3848" s="3">
        <v>500</v>
      </c>
    </row>
    <row r="3849" spans="1:11" x14ac:dyDescent="0.2">
      <c r="A3849" s="1" t="s">
        <v>4994</v>
      </c>
      <c r="B3849" s="1" t="s">
        <v>4790</v>
      </c>
      <c r="C3849" s="1"/>
      <c r="D3849" s="1"/>
      <c r="E3849" s="1"/>
      <c r="F3849" s="1"/>
      <c r="G3849" s="1"/>
      <c r="H3849" s="1" t="str">
        <f>"4042809022780"</f>
        <v>4042809022780</v>
      </c>
      <c r="I3849" s="3">
        <v>0</v>
      </c>
      <c r="J3849" s="3">
        <v>0</v>
      </c>
      <c r="K3849" s="3">
        <v>800</v>
      </c>
    </row>
    <row r="3850" spans="1:11" x14ac:dyDescent="0.2">
      <c r="A3850" s="1" t="s">
        <v>4994</v>
      </c>
      <c r="B3850" s="1" t="s">
        <v>4791</v>
      </c>
      <c r="C3850" s="1"/>
      <c r="D3850" s="1"/>
      <c r="E3850" s="1"/>
      <c r="F3850" s="1"/>
      <c r="G3850" s="1"/>
      <c r="H3850" s="1" t="str">
        <f>"4042809022797"</f>
        <v>4042809022797</v>
      </c>
      <c r="I3850" s="3">
        <v>60</v>
      </c>
      <c r="J3850" s="3">
        <v>0</v>
      </c>
      <c r="K3850" s="3">
        <v>800</v>
      </c>
    </row>
    <row r="3851" spans="1:11" x14ac:dyDescent="0.2">
      <c r="A3851" s="1" t="s">
        <v>4994</v>
      </c>
      <c r="B3851" s="1" t="s">
        <v>4792</v>
      </c>
      <c r="C3851" s="1"/>
      <c r="D3851" s="1"/>
      <c r="E3851" s="1"/>
      <c r="F3851" s="1"/>
      <c r="G3851" s="1"/>
      <c r="H3851" s="1" t="str">
        <f>"65674444"</f>
        <v>65674444</v>
      </c>
      <c r="I3851" s="3">
        <v>3</v>
      </c>
      <c r="J3851" s="3">
        <v>0</v>
      </c>
      <c r="K3851" s="3">
        <v>4000</v>
      </c>
    </row>
    <row r="3852" spans="1:11" x14ac:dyDescent="0.2">
      <c r="A3852" s="1" t="s">
        <v>4994</v>
      </c>
      <c r="B3852" s="1" t="s">
        <v>4793</v>
      </c>
      <c r="C3852" s="1"/>
      <c r="D3852" s="1"/>
      <c r="E3852" s="1"/>
      <c r="F3852" s="1"/>
      <c r="G3852" s="1"/>
      <c r="H3852" s="1" t="str">
        <f>"7804656850193"</f>
        <v>7804656850193</v>
      </c>
      <c r="I3852" s="3">
        <v>0</v>
      </c>
      <c r="J3852" s="3">
        <v>0</v>
      </c>
      <c r="K3852" s="3">
        <v>2000</v>
      </c>
    </row>
    <row r="3853" spans="1:11" x14ac:dyDescent="0.2">
      <c r="A3853" s="1" t="s">
        <v>4994</v>
      </c>
      <c r="B3853" s="1" t="s">
        <v>4794</v>
      </c>
      <c r="C3853" s="1"/>
      <c r="D3853" s="1"/>
      <c r="E3853" s="1"/>
      <c r="F3853" s="1"/>
      <c r="G3853" s="1"/>
      <c r="H3853" s="1" t="str">
        <f>"4042809475326"</f>
        <v>4042809475326</v>
      </c>
      <c r="I3853" s="3">
        <v>0</v>
      </c>
      <c r="J3853" s="3">
        <v>0</v>
      </c>
      <c r="K3853" s="3">
        <v>6000</v>
      </c>
    </row>
    <row r="3854" spans="1:11" x14ac:dyDescent="0.2">
      <c r="A3854" s="1" t="s">
        <v>4994</v>
      </c>
      <c r="B3854" s="1" t="s">
        <v>4795</v>
      </c>
      <c r="C3854" s="1"/>
      <c r="D3854" s="1"/>
      <c r="E3854" s="1"/>
      <c r="F3854" s="1"/>
      <c r="G3854" s="1"/>
      <c r="H3854" s="1" t="str">
        <f>"7804653720314"</f>
        <v>7804653720314</v>
      </c>
      <c r="I3854" s="3">
        <v>0</v>
      </c>
      <c r="J3854" s="3">
        <v>0</v>
      </c>
      <c r="K3854" s="3">
        <v>21980</v>
      </c>
    </row>
    <row r="3855" spans="1:11" x14ac:dyDescent="0.2">
      <c r="A3855" s="1" t="s">
        <v>4994</v>
      </c>
      <c r="B3855" s="1" t="s">
        <v>4796</v>
      </c>
      <c r="C3855" s="1"/>
      <c r="D3855" s="1"/>
      <c r="E3855" s="1"/>
      <c r="F3855" s="1"/>
      <c r="G3855" s="1"/>
      <c r="H3855" s="1" t="str">
        <f>"7804653720307"</f>
        <v>7804653720307</v>
      </c>
      <c r="I3855" s="3">
        <v>0</v>
      </c>
      <c r="J3855" s="3">
        <v>0</v>
      </c>
      <c r="K3855" s="3">
        <v>7500</v>
      </c>
    </row>
    <row r="3856" spans="1:11" x14ac:dyDescent="0.2">
      <c r="A3856" s="1" t="s">
        <v>4994</v>
      </c>
      <c r="B3856" s="1" t="s">
        <v>4797</v>
      </c>
      <c r="C3856" s="1"/>
      <c r="D3856" s="1"/>
      <c r="E3856" s="1"/>
      <c r="F3856" s="1"/>
      <c r="G3856" s="1"/>
      <c r="H3856" s="1" t="str">
        <f>"7804650885573"</f>
        <v>7804650885573</v>
      </c>
      <c r="I3856" s="3">
        <v>0</v>
      </c>
      <c r="J3856" s="3">
        <v>0</v>
      </c>
      <c r="K3856" s="3">
        <v>21000</v>
      </c>
    </row>
    <row r="3857" spans="1:11" x14ac:dyDescent="0.2">
      <c r="A3857" s="1" t="s">
        <v>4994</v>
      </c>
      <c r="B3857" s="1" t="s">
        <v>4798</v>
      </c>
      <c r="C3857" s="1"/>
      <c r="D3857" s="1"/>
      <c r="E3857" s="1"/>
      <c r="F3857" s="1"/>
      <c r="G3857" s="1"/>
      <c r="H3857" s="1" t="str">
        <f>"7804650886198"</f>
        <v>7804650886198</v>
      </c>
      <c r="I3857" s="3">
        <v>0</v>
      </c>
      <c r="J3857" s="3">
        <v>0</v>
      </c>
      <c r="K3857" s="3">
        <v>7500</v>
      </c>
    </row>
    <row r="3858" spans="1:11" x14ac:dyDescent="0.2">
      <c r="A3858" s="1" t="s">
        <v>4994</v>
      </c>
      <c r="B3858" s="1" t="s">
        <v>4800</v>
      </c>
      <c r="C3858" s="1"/>
      <c r="D3858" s="1"/>
      <c r="E3858" s="1"/>
      <c r="F3858" s="1"/>
      <c r="G3858" s="1"/>
      <c r="H3858" s="1" t="str">
        <f>"8436024610260"</f>
        <v>8436024610260</v>
      </c>
      <c r="I3858" s="3">
        <v>0</v>
      </c>
      <c r="J3858" s="3">
        <v>0</v>
      </c>
      <c r="K3858" s="3">
        <v>22000</v>
      </c>
    </row>
    <row r="3859" spans="1:11" x14ac:dyDescent="0.2">
      <c r="A3859" s="1" t="s">
        <v>4994</v>
      </c>
      <c r="B3859" s="1" t="s">
        <v>4802</v>
      </c>
      <c r="C3859" s="1"/>
      <c r="D3859" s="1"/>
      <c r="E3859" s="1"/>
      <c r="F3859" s="1"/>
      <c r="G3859" s="1"/>
      <c r="H3859" s="1" t="str">
        <f>"7500435148306"</f>
        <v>7500435148306</v>
      </c>
      <c r="I3859" s="3">
        <v>0</v>
      </c>
      <c r="J3859" s="3">
        <v>0</v>
      </c>
      <c r="K3859" s="3">
        <v>5000</v>
      </c>
    </row>
    <row r="3860" spans="1:11" x14ac:dyDescent="0.2">
      <c r="A3860" s="1" t="s">
        <v>4994</v>
      </c>
      <c r="B3860" s="1" t="s">
        <v>4804</v>
      </c>
      <c r="C3860" s="1"/>
      <c r="D3860" s="1"/>
      <c r="E3860" s="1"/>
      <c r="F3860" s="1"/>
      <c r="G3860" s="1"/>
      <c r="H3860" s="1" t="str">
        <f>"7891317205720"</f>
        <v>7891317205720</v>
      </c>
      <c r="I3860" s="3">
        <v>0</v>
      </c>
      <c r="J3860" s="3">
        <v>0</v>
      </c>
      <c r="K3860" s="3">
        <v>8500</v>
      </c>
    </row>
    <row r="3861" spans="1:11" x14ac:dyDescent="0.2">
      <c r="A3861" s="1" t="s">
        <v>4994</v>
      </c>
      <c r="B3861" s="1" t="s">
        <v>4805</v>
      </c>
      <c r="C3861" s="1"/>
      <c r="D3861" s="1"/>
      <c r="E3861" s="1"/>
      <c r="F3861" s="1"/>
      <c r="G3861" s="1"/>
      <c r="H3861" s="1" t="str">
        <f>"7800023226455"</f>
        <v>7800023226455</v>
      </c>
      <c r="I3861" s="3">
        <v>8</v>
      </c>
      <c r="J3861" s="3">
        <v>0</v>
      </c>
      <c r="K3861" s="3">
        <v>6000</v>
      </c>
    </row>
    <row r="3862" spans="1:11" x14ac:dyDescent="0.2">
      <c r="A3862" s="1" t="s">
        <v>4994</v>
      </c>
      <c r="B3862" s="1" t="s">
        <v>4806</v>
      </c>
      <c r="C3862" s="1"/>
      <c r="D3862" s="1"/>
      <c r="E3862" s="1"/>
      <c r="F3862" s="1"/>
      <c r="G3862" s="1"/>
      <c r="H3862" s="1" t="str">
        <f>"7800023226479"</f>
        <v>7800023226479</v>
      </c>
      <c r="I3862" s="3">
        <v>0</v>
      </c>
      <c r="J3862" s="3">
        <v>0</v>
      </c>
      <c r="K3862" s="3">
        <v>6500</v>
      </c>
    </row>
    <row r="3863" spans="1:11" x14ac:dyDescent="0.2">
      <c r="A3863" s="1" t="s">
        <v>4994</v>
      </c>
      <c r="B3863" s="1" t="s">
        <v>4807</v>
      </c>
      <c r="C3863" s="1"/>
      <c r="D3863" s="1"/>
      <c r="E3863" s="1"/>
      <c r="F3863" s="1"/>
      <c r="G3863" s="1"/>
      <c r="H3863" s="1" t="str">
        <f>"7795373013964"</f>
        <v>7795373013964</v>
      </c>
      <c r="I3863" s="3">
        <v>0</v>
      </c>
      <c r="J3863" s="3">
        <v>0</v>
      </c>
      <c r="K3863" s="3">
        <v>20000</v>
      </c>
    </row>
    <row r="3864" spans="1:11" x14ac:dyDescent="0.2">
      <c r="A3864" s="1" t="s">
        <v>4994</v>
      </c>
      <c r="B3864" s="1" t="s">
        <v>4808</v>
      </c>
      <c r="C3864" s="1"/>
      <c r="D3864" s="1"/>
      <c r="E3864" s="1"/>
      <c r="F3864" s="1"/>
      <c r="G3864" s="1"/>
      <c r="H3864" s="1" t="str">
        <f>"7800060167728"</f>
        <v>7800060167728</v>
      </c>
      <c r="I3864" s="3">
        <v>0</v>
      </c>
      <c r="J3864" s="3">
        <v>0</v>
      </c>
      <c r="K3864" s="3">
        <v>11000</v>
      </c>
    </row>
    <row r="3865" spans="1:11" x14ac:dyDescent="0.2">
      <c r="A3865" s="1" t="s">
        <v>4994</v>
      </c>
      <c r="B3865" s="1" t="s">
        <v>4809</v>
      </c>
      <c r="C3865" s="1"/>
      <c r="D3865" s="1"/>
      <c r="E3865" s="1"/>
      <c r="F3865" s="1"/>
      <c r="G3865" s="1"/>
      <c r="H3865" s="1" t="str">
        <f>"7800060167803"</f>
        <v>7800060167803</v>
      </c>
      <c r="I3865" s="3">
        <v>0</v>
      </c>
      <c r="J3865" s="3">
        <v>0</v>
      </c>
      <c r="K3865" s="3">
        <v>15000</v>
      </c>
    </row>
    <row r="3866" spans="1:11" x14ac:dyDescent="0.2">
      <c r="A3866" s="1" t="s">
        <v>4994</v>
      </c>
      <c r="B3866" s="1" t="s">
        <v>4810</v>
      </c>
      <c r="C3866" s="1"/>
      <c r="D3866" s="1"/>
      <c r="E3866" s="1"/>
      <c r="F3866" s="1"/>
      <c r="G3866" s="1"/>
      <c r="H3866" s="1" t="str">
        <f>"7809561400334"</f>
        <v>7809561400334</v>
      </c>
      <c r="I3866" s="3">
        <v>4</v>
      </c>
      <c r="J3866" s="3">
        <v>0</v>
      </c>
      <c r="K3866" s="3">
        <v>19000</v>
      </c>
    </row>
    <row r="3867" spans="1:11" x14ac:dyDescent="0.2">
      <c r="A3867" s="1" t="s">
        <v>4994</v>
      </c>
      <c r="B3867" s="1" t="s">
        <v>4811</v>
      </c>
      <c r="C3867" s="1"/>
      <c r="D3867" s="1"/>
      <c r="E3867" s="1"/>
      <c r="F3867" s="1"/>
      <c r="G3867" s="1"/>
      <c r="H3867" s="1" t="str">
        <f>"7809561400358"</f>
        <v>7809561400358</v>
      </c>
      <c r="I3867" s="3">
        <v>7</v>
      </c>
      <c r="J3867" s="3">
        <v>0</v>
      </c>
      <c r="K3867" s="3">
        <v>20000</v>
      </c>
    </row>
    <row r="3868" spans="1:11" x14ac:dyDescent="0.2">
      <c r="A3868" s="1" t="s">
        <v>4994</v>
      </c>
      <c r="B3868" s="1" t="s">
        <v>4812</v>
      </c>
      <c r="C3868" s="1"/>
      <c r="D3868" s="1"/>
      <c r="E3868" s="1"/>
      <c r="F3868" s="1"/>
      <c r="G3868" s="1"/>
      <c r="H3868" s="1" t="str">
        <f>"7800060128156"</f>
        <v>7800060128156</v>
      </c>
      <c r="I3868" s="3">
        <v>8</v>
      </c>
      <c r="J3868" s="3">
        <v>0</v>
      </c>
      <c r="K3868" s="3">
        <v>17000</v>
      </c>
    </row>
    <row r="3869" spans="1:11" x14ac:dyDescent="0.2">
      <c r="A3869" s="1" t="s">
        <v>4994</v>
      </c>
      <c r="B3869" s="1" t="s">
        <v>4814</v>
      </c>
      <c r="C3869" s="1"/>
      <c r="D3869" s="1"/>
      <c r="E3869" s="1"/>
      <c r="F3869" s="1"/>
      <c r="G3869" s="1"/>
      <c r="H3869" s="1" t="str">
        <f>"7800046005549"</f>
        <v>7800046005549</v>
      </c>
      <c r="I3869" s="3">
        <v>3</v>
      </c>
      <c r="J3869" s="3">
        <v>0</v>
      </c>
      <c r="K3869" s="3">
        <v>16500</v>
      </c>
    </row>
    <row r="3870" spans="1:11" x14ac:dyDescent="0.2">
      <c r="A3870" s="1" t="s">
        <v>4994</v>
      </c>
      <c r="B3870" s="1" t="s">
        <v>4815</v>
      </c>
      <c r="C3870" s="1"/>
      <c r="D3870" s="1"/>
      <c r="E3870" s="1"/>
      <c r="F3870" s="1"/>
      <c r="G3870" s="1"/>
      <c r="H3870" s="1" t="str">
        <f>"7800046005532"</f>
        <v>7800046005532</v>
      </c>
      <c r="I3870" s="3">
        <v>5</v>
      </c>
      <c r="J3870" s="3">
        <v>0</v>
      </c>
      <c r="K3870" s="3">
        <v>12000</v>
      </c>
    </row>
    <row r="3871" spans="1:11" x14ac:dyDescent="0.2">
      <c r="A3871" s="1" t="s">
        <v>4994</v>
      </c>
      <c r="B3871" s="1" t="s">
        <v>4816</v>
      </c>
      <c r="C3871" s="1"/>
      <c r="D3871" s="1"/>
      <c r="E3871" s="1"/>
      <c r="F3871" s="1"/>
      <c r="G3871" s="1"/>
      <c r="H3871" s="1" t="str">
        <f>"7800007753458"</f>
        <v>7800007753458</v>
      </c>
      <c r="I3871" s="3">
        <v>0</v>
      </c>
      <c r="J3871" s="3">
        <v>0</v>
      </c>
      <c r="K3871" s="3">
        <v>13000</v>
      </c>
    </row>
    <row r="3872" spans="1:11" x14ac:dyDescent="0.2">
      <c r="A3872" s="1" t="s">
        <v>4994</v>
      </c>
      <c r="B3872" s="1" t="s">
        <v>4817</v>
      </c>
      <c r="C3872" s="1"/>
      <c r="D3872" s="1"/>
      <c r="E3872" s="1"/>
      <c r="F3872" s="1"/>
      <c r="G3872" s="1"/>
      <c r="H3872" s="1" t="str">
        <f>"7800007714046"</f>
        <v>7800007714046</v>
      </c>
      <c r="I3872" s="3">
        <v>9</v>
      </c>
      <c r="J3872" s="3">
        <v>0</v>
      </c>
      <c r="K3872" s="3">
        <v>14000</v>
      </c>
    </row>
    <row r="3873" spans="1:11" x14ac:dyDescent="0.2">
      <c r="A3873" s="1" t="s">
        <v>4994</v>
      </c>
      <c r="B3873" s="1" t="s">
        <v>4818</v>
      </c>
      <c r="C3873" s="1"/>
      <c r="D3873" s="1"/>
      <c r="E3873" s="1"/>
      <c r="F3873" s="1"/>
      <c r="G3873" s="1"/>
      <c r="H3873" s="1" t="str">
        <f>"7800059005840"</f>
        <v>7800059005840</v>
      </c>
      <c r="I3873" s="3">
        <v>300</v>
      </c>
      <c r="J3873" s="3">
        <v>0</v>
      </c>
      <c r="K3873" s="3">
        <v>3000</v>
      </c>
    </row>
    <row r="3874" spans="1:11" x14ac:dyDescent="0.2">
      <c r="A3874" s="1" t="s">
        <v>4994</v>
      </c>
      <c r="B3874" s="1" t="s">
        <v>4819</v>
      </c>
      <c r="C3874" s="1"/>
      <c r="D3874" s="1"/>
      <c r="E3874" s="1"/>
      <c r="F3874" s="1"/>
      <c r="G3874" s="1"/>
      <c r="H3874" s="1" t="str">
        <f>"7861148020458"</f>
        <v>7861148020458</v>
      </c>
      <c r="I3874" s="3">
        <v>2</v>
      </c>
      <c r="J3874" s="3">
        <v>0</v>
      </c>
      <c r="K3874" s="3">
        <v>5500</v>
      </c>
    </row>
    <row r="3875" spans="1:11" x14ac:dyDescent="0.2">
      <c r="A3875" s="1" t="s">
        <v>4994</v>
      </c>
      <c r="B3875" s="1" t="s">
        <v>4820</v>
      </c>
      <c r="C3875" s="1"/>
      <c r="D3875" s="1"/>
      <c r="E3875" s="1"/>
      <c r="F3875" s="1"/>
      <c r="G3875" s="1"/>
      <c r="H3875" s="1" t="str">
        <f>"7730698014869"</f>
        <v>7730698014869</v>
      </c>
      <c r="I3875" s="3">
        <v>322</v>
      </c>
      <c r="J3875" s="3">
        <v>0</v>
      </c>
      <c r="K3875" s="3">
        <v>3000</v>
      </c>
    </row>
    <row r="3876" spans="1:11" x14ac:dyDescent="0.2">
      <c r="A3876" s="1" t="s">
        <v>4994</v>
      </c>
      <c r="B3876" s="1" t="s">
        <v>4821</v>
      </c>
      <c r="C3876" s="1"/>
      <c r="D3876" s="1"/>
      <c r="E3876" s="1"/>
      <c r="F3876" s="1"/>
      <c r="G3876" s="1"/>
      <c r="H3876" s="1" t="str">
        <f>"7730969302091"</f>
        <v>7730969302091</v>
      </c>
      <c r="I3876" s="3">
        <v>11</v>
      </c>
      <c r="J3876" s="3">
        <v>0</v>
      </c>
      <c r="K3876" s="3">
        <v>6000</v>
      </c>
    </row>
    <row r="3877" spans="1:11" x14ac:dyDescent="0.2">
      <c r="A3877" s="1" t="s">
        <v>4994</v>
      </c>
      <c r="B3877" s="1" t="s">
        <v>4822</v>
      </c>
      <c r="C3877" s="1"/>
      <c r="D3877" s="1"/>
      <c r="E3877" s="1"/>
      <c r="F3877" s="1"/>
      <c r="G3877" s="1"/>
      <c r="H3877" s="1" t="str">
        <f>"7730698014852"</f>
        <v>7730698014852</v>
      </c>
      <c r="I3877" s="3">
        <v>348</v>
      </c>
      <c r="J3877" s="3">
        <v>0</v>
      </c>
      <c r="K3877" s="3">
        <v>3000</v>
      </c>
    </row>
    <row r="3878" spans="1:11" x14ac:dyDescent="0.2">
      <c r="A3878" s="1" t="s">
        <v>4994</v>
      </c>
      <c r="B3878" s="1" t="s">
        <v>4823</v>
      </c>
      <c r="C3878" s="1"/>
      <c r="D3878" s="1"/>
      <c r="E3878" s="1"/>
      <c r="F3878" s="1"/>
      <c r="G3878" s="1"/>
      <c r="H3878" s="1" t="str">
        <f>"7861148020465"</f>
        <v>7861148020465</v>
      </c>
      <c r="I3878" s="3">
        <v>4</v>
      </c>
      <c r="J3878" s="3">
        <v>0</v>
      </c>
      <c r="K3878" s="3">
        <v>5000</v>
      </c>
    </row>
    <row r="3879" spans="1:11" x14ac:dyDescent="0.2">
      <c r="A3879" s="1" t="s">
        <v>4994</v>
      </c>
      <c r="B3879" s="1" t="s">
        <v>4824</v>
      </c>
      <c r="C3879" s="1"/>
      <c r="D3879" s="1"/>
      <c r="E3879" s="1"/>
      <c r="F3879" s="1"/>
      <c r="G3879" s="1"/>
      <c r="H3879" s="1" t="str">
        <f>"7804620836222"</f>
        <v>7804620836222</v>
      </c>
      <c r="I3879" s="3">
        <v>0</v>
      </c>
      <c r="J3879" s="3">
        <v>0</v>
      </c>
      <c r="K3879" s="3">
        <v>1500</v>
      </c>
    </row>
    <row r="3880" spans="1:11" x14ac:dyDescent="0.2">
      <c r="A3880" s="1" t="s">
        <v>4994</v>
      </c>
      <c r="B3880" s="1" t="s">
        <v>4825</v>
      </c>
      <c r="C3880" s="1"/>
      <c r="D3880" s="1"/>
      <c r="E3880" s="1"/>
      <c r="F3880" s="1"/>
      <c r="G3880" s="1"/>
      <c r="H3880" s="1" t="str">
        <f>"75046330"</f>
        <v>75046330</v>
      </c>
      <c r="I3880" s="3">
        <v>3</v>
      </c>
      <c r="J3880" s="3">
        <v>0</v>
      </c>
      <c r="K3880" s="3">
        <v>1000</v>
      </c>
    </row>
    <row r="3881" spans="1:11" x14ac:dyDescent="0.2">
      <c r="A3881" s="1" t="s">
        <v>4994</v>
      </c>
      <c r="B3881" s="1" t="s">
        <v>4827</v>
      </c>
      <c r="C3881" s="1"/>
      <c r="D3881" s="1"/>
      <c r="E3881" s="1"/>
      <c r="F3881" s="1"/>
      <c r="G3881" s="1"/>
      <c r="H3881" s="1" t="str">
        <f>"7800038000682"</f>
        <v>7800038000682</v>
      </c>
      <c r="I3881" s="3">
        <v>5</v>
      </c>
      <c r="J3881" s="3">
        <v>0</v>
      </c>
      <c r="K3881" s="3">
        <v>11500</v>
      </c>
    </row>
    <row r="3882" spans="1:11" x14ac:dyDescent="0.2">
      <c r="A3882" s="1" t="s">
        <v>4994</v>
      </c>
      <c r="B3882" s="1" t="s">
        <v>4828</v>
      </c>
      <c r="C3882" s="1"/>
      <c r="D3882" s="1"/>
      <c r="E3882" s="1"/>
      <c r="F3882" s="1"/>
      <c r="G3882" s="1"/>
      <c r="H3882" s="1" t="str">
        <f>"7804614932022"</f>
        <v>7804614932022</v>
      </c>
      <c r="I3882" s="3">
        <v>0</v>
      </c>
      <c r="J3882" s="3">
        <v>0</v>
      </c>
      <c r="K3882" s="3">
        <v>15000</v>
      </c>
    </row>
    <row r="3883" spans="1:11" x14ac:dyDescent="0.2">
      <c r="A3883" s="1" t="s">
        <v>4994</v>
      </c>
      <c r="B3883" s="1" t="s">
        <v>4829</v>
      </c>
      <c r="C3883" s="1"/>
      <c r="D3883" s="1"/>
      <c r="E3883" s="1"/>
      <c r="F3883" s="1"/>
      <c r="G3883" s="1"/>
      <c r="H3883" s="1" t="str">
        <f>"7804614932015"</f>
        <v>7804614932015</v>
      </c>
      <c r="I3883" s="3">
        <v>0</v>
      </c>
      <c r="J3883" s="3">
        <v>0</v>
      </c>
      <c r="K3883" s="3">
        <v>8000</v>
      </c>
    </row>
    <row r="3884" spans="1:11" x14ac:dyDescent="0.2">
      <c r="A3884" s="1" t="s">
        <v>4994</v>
      </c>
      <c r="B3884" s="1" t="s">
        <v>4830</v>
      </c>
      <c r="C3884" s="1"/>
      <c r="D3884" s="1"/>
      <c r="E3884" s="1"/>
      <c r="F3884" s="1"/>
      <c r="G3884" s="1"/>
      <c r="H3884" s="1" t="str">
        <f>"7804614932053"</f>
        <v>7804614932053</v>
      </c>
      <c r="I3884" s="3">
        <v>0</v>
      </c>
      <c r="J3884" s="3">
        <v>0</v>
      </c>
      <c r="K3884" s="3">
        <v>12000</v>
      </c>
    </row>
    <row r="3885" spans="1:11" x14ac:dyDescent="0.2">
      <c r="A3885" s="1" t="s">
        <v>4994</v>
      </c>
      <c r="B3885" s="1" t="s">
        <v>4831</v>
      </c>
      <c r="C3885" s="1"/>
      <c r="D3885" s="1"/>
      <c r="E3885" s="1"/>
      <c r="F3885" s="1"/>
      <c r="G3885" s="1"/>
      <c r="H3885" s="1" t="str">
        <f>"7800032002989"</f>
        <v>7800032002989</v>
      </c>
      <c r="I3885" s="3">
        <v>0</v>
      </c>
      <c r="J3885" s="3">
        <v>0</v>
      </c>
      <c r="K3885" s="3">
        <v>55000</v>
      </c>
    </row>
    <row r="3886" spans="1:11" x14ac:dyDescent="0.2">
      <c r="A3886" s="1" t="s">
        <v>4994</v>
      </c>
      <c r="B3886" s="1" t="s">
        <v>4835</v>
      </c>
      <c r="C3886" s="1"/>
      <c r="D3886" s="1"/>
      <c r="E3886" s="1"/>
      <c r="F3886" s="1"/>
      <c r="G3886" s="1"/>
      <c r="H3886" s="1" t="str">
        <f>"7730969308260"</f>
        <v>7730969308260</v>
      </c>
      <c r="I3886" s="3">
        <v>0</v>
      </c>
      <c r="J3886" s="3">
        <v>0</v>
      </c>
      <c r="K3886" s="3">
        <v>12000</v>
      </c>
    </row>
    <row r="3887" spans="1:11" x14ac:dyDescent="0.2">
      <c r="A3887" s="1" t="s">
        <v>4994</v>
      </c>
      <c r="B3887" s="1" t="s">
        <v>4836</v>
      </c>
      <c r="C3887" s="1"/>
      <c r="D3887" s="1"/>
      <c r="E3887" s="1"/>
      <c r="F3887" s="1"/>
      <c r="G3887" s="1"/>
      <c r="H3887" s="1" t="str">
        <f>"7730969308277"</f>
        <v>7730969308277</v>
      </c>
      <c r="I3887" s="3">
        <v>0</v>
      </c>
      <c r="J3887" s="3">
        <v>0</v>
      </c>
      <c r="K3887" s="3">
        <v>6500</v>
      </c>
    </row>
    <row r="3888" spans="1:11" x14ac:dyDescent="0.2">
      <c r="A3888" s="1" t="s">
        <v>4994</v>
      </c>
      <c r="B3888" s="1" t="s">
        <v>4838</v>
      </c>
      <c r="C3888" s="1"/>
      <c r="D3888" s="1"/>
      <c r="E3888" s="1"/>
      <c r="F3888" s="1"/>
      <c r="G3888" s="1"/>
      <c r="H3888" s="1" t="str">
        <f>"7808705400155"</f>
        <v>7808705400155</v>
      </c>
      <c r="I3888" s="3">
        <v>0</v>
      </c>
      <c r="J3888" s="3">
        <v>0</v>
      </c>
      <c r="K3888" s="3">
        <v>4500</v>
      </c>
    </row>
    <row r="3889" spans="1:11" x14ac:dyDescent="0.2">
      <c r="A3889" s="1" t="s">
        <v>4994</v>
      </c>
      <c r="B3889" s="1" t="s">
        <v>4839</v>
      </c>
      <c r="C3889" s="1"/>
      <c r="D3889" s="1"/>
      <c r="E3889" s="1"/>
      <c r="F3889" s="1"/>
      <c r="G3889" s="1"/>
      <c r="H3889" s="1" t="str">
        <f>"7803319004225"</f>
        <v>7803319004225</v>
      </c>
      <c r="I3889" s="3">
        <v>3</v>
      </c>
      <c r="J3889" s="3">
        <v>0</v>
      </c>
      <c r="K3889" s="3">
        <v>3500</v>
      </c>
    </row>
    <row r="3890" spans="1:11" x14ac:dyDescent="0.2">
      <c r="A3890" s="1" t="s">
        <v>4994</v>
      </c>
      <c r="B3890" s="1" t="s">
        <v>4840</v>
      </c>
      <c r="C3890" s="1"/>
      <c r="D3890" s="1"/>
      <c r="E3890" s="1"/>
      <c r="F3890" s="1"/>
      <c r="G3890" s="1"/>
      <c r="H3890" s="1" t="str">
        <f>"7804665350448"</f>
        <v>7804665350448</v>
      </c>
      <c r="I3890" s="3">
        <v>0</v>
      </c>
      <c r="J3890" s="3">
        <v>0</v>
      </c>
      <c r="K3890" s="3">
        <v>6000</v>
      </c>
    </row>
    <row r="3891" spans="1:11" x14ac:dyDescent="0.2">
      <c r="A3891" s="1" t="s">
        <v>4994</v>
      </c>
      <c r="B3891" s="1" t="s">
        <v>4842</v>
      </c>
      <c r="C3891" s="1"/>
      <c r="D3891" s="1"/>
      <c r="E3891" s="1"/>
      <c r="F3891" s="1"/>
      <c r="G3891" s="1"/>
      <c r="H3891" s="1" t="str">
        <f>"7803504000216"</f>
        <v>7803504000216</v>
      </c>
      <c r="I3891" s="3">
        <v>0</v>
      </c>
      <c r="J3891" s="3">
        <v>0</v>
      </c>
      <c r="K3891" s="3">
        <v>4500</v>
      </c>
    </row>
    <row r="3892" spans="1:11" x14ac:dyDescent="0.2">
      <c r="A3892" s="1" t="s">
        <v>4994</v>
      </c>
      <c r="B3892" s="1" t="s">
        <v>4843</v>
      </c>
      <c r="C3892" s="1"/>
      <c r="D3892" s="1"/>
      <c r="E3892" s="1"/>
      <c r="F3892" s="1"/>
      <c r="G3892" s="1"/>
      <c r="H3892" s="1" t="str">
        <f>"7809561400099"</f>
        <v>7809561400099</v>
      </c>
      <c r="I3892" s="3">
        <v>0</v>
      </c>
      <c r="J3892" s="3">
        <v>0</v>
      </c>
      <c r="K3892" s="3">
        <v>15000</v>
      </c>
    </row>
    <row r="3893" spans="1:11" x14ac:dyDescent="0.2">
      <c r="A3893" s="1" t="s">
        <v>4994</v>
      </c>
      <c r="B3893" s="1" t="s">
        <v>4844</v>
      </c>
      <c r="C3893" s="1"/>
      <c r="D3893" s="1"/>
      <c r="E3893" s="1"/>
      <c r="F3893" s="1"/>
      <c r="G3893" s="1"/>
      <c r="H3893" s="1" t="str">
        <f>"7800059004409"</f>
        <v>7800059004409</v>
      </c>
      <c r="I3893" s="3">
        <v>0</v>
      </c>
      <c r="J3893" s="3">
        <v>0</v>
      </c>
      <c r="K3893" s="3">
        <v>7500</v>
      </c>
    </row>
    <row r="3894" spans="1:11" x14ac:dyDescent="0.2">
      <c r="A3894" s="1" t="s">
        <v>4994</v>
      </c>
      <c r="B3894" s="1" t="s">
        <v>4845</v>
      </c>
      <c r="C3894" s="1"/>
      <c r="D3894" s="1"/>
      <c r="E3894" s="1"/>
      <c r="F3894" s="1"/>
      <c r="G3894" s="1"/>
      <c r="H3894" s="1" t="str">
        <f>"7800059004416"</f>
        <v>7800059004416</v>
      </c>
      <c r="I3894" s="3">
        <v>0</v>
      </c>
      <c r="J3894" s="3">
        <v>0</v>
      </c>
      <c r="K3894" s="3">
        <v>7500</v>
      </c>
    </row>
    <row r="3895" spans="1:11" x14ac:dyDescent="0.2">
      <c r="A3895" s="1" t="s">
        <v>4994</v>
      </c>
      <c r="B3895" s="1" t="s">
        <v>4846</v>
      </c>
      <c r="C3895" s="1"/>
      <c r="D3895" s="1"/>
      <c r="E3895" s="1"/>
      <c r="F3895" s="1"/>
      <c r="G3895" s="1"/>
      <c r="H3895" s="1" t="str">
        <f>"7804656600019"</f>
        <v>7804656600019</v>
      </c>
      <c r="I3895" s="3">
        <v>7</v>
      </c>
      <c r="J3895" s="3">
        <v>0</v>
      </c>
      <c r="K3895" s="3">
        <v>17000</v>
      </c>
    </row>
    <row r="3896" spans="1:11" x14ac:dyDescent="0.2">
      <c r="A3896" s="1" t="s">
        <v>4994</v>
      </c>
      <c r="B3896" s="1" t="s">
        <v>4847</v>
      </c>
      <c r="C3896" s="1"/>
      <c r="D3896" s="1"/>
      <c r="E3896" s="1"/>
      <c r="F3896" s="1"/>
      <c r="G3896" s="1"/>
      <c r="H3896" s="1" t="str">
        <f>"7804656600118"</f>
        <v>7804656600118</v>
      </c>
      <c r="I3896" s="3">
        <v>4</v>
      </c>
      <c r="J3896" s="3">
        <v>0</v>
      </c>
      <c r="K3896" s="3">
        <v>17000</v>
      </c>
    </row>
    <row r="3897" spans="1:11" x14ac:dyDescent="0.2">
      <c r="A3897" s="1" t="s">
        <v>4994</v>
      </c>
      <c r="B3897" s="1" t="s">
        <v>4848</v>
      </c>
      <c r="C3897" s="1"/>
      <c r="D3897" s="1"/>
      <c r="E3897" s="1"/>
      <c r="F3897" s="1"/>
      <c r="G3897" s="1"/>
      <c r="H3897" s="1" t="str">
        <f>"7804650883425"</f>
        <v>7804650883425</v>
      </c>
      <c r="I3897" s="3">
        <v>7</v>
      </c>
      <c r="J3897" s="3">
        <v>0</v>
      </c>
      <c r="K3897" s="3">
        <v>11000</v>
      </c>
    </row>
    <row r="3898" spans="1:11" x14ac:dyDescent="0.2">
      <c r="A3898" s="1" t="s">
        <v>4994</v>
      </c>
      <c r="B3898" s="1" t="s">
        <v>4849</v>
      </c>
      <c r="C3898" s="1"/>
      <c r="D3898" s="1"/>
      <c r="E3898" s="1"/>
      <c r="F3898" s="1"/>
      <c r="G3898" s="1"/>
      <c r="H3898" s="1" t="str">
        <f>"7804650883647"</f>
        <v>7804650883647</v>
      </c>
      <c r="I3898" s="3">
        <v>3</v>
      </c>
      <c r="J3898" s="3">
        <v>0</v>
      </c>
      <c r="K3898" s="3">
        <v>29000</v>
      </c>
    </row>
    <row r="3899" spans="1:11" x14ac:dyDescent="0.2">
      <c r="A3899" s="1" t="s">
        <v>4994</v>
      </c>
      <c r="B3899" s="1" t="s">
        <v>4852</v>
      </c>
      <c r="C3899" s="1"/>
      <c r="D3899" s="1"/>
      <c r="E3899" s="1"/>
      <c r="F3899" s="1"/>
      <c r="G3899" s="1"/>
      <c r="H3899" s="1" t="str">
        <f>"781159466915"</f>
        <v>781159466915</v>
      </c>
      <c r="I3899" s="3">
        <v>60</v>
      </c>
      <c r="J3899" s="3">
        <v>0</v>
      </c>
      <c r="K3899" s="3">
        <v>0</v>
      </c>
    </row>
    <row r="3900" spans="1:11" x14ac:dyDescent="0.2">
      <c r="A3900" s="1" t="s">
        <v>4994</v>
      </c>
      <c r="B3900" s="1" t="s">
        <v>4854</v>
      </c>
      <c r="C3900" s="1"/>
      <c r="D3900" s="1"/>
      <c r="E3900" s="1"/>
      <c r="F3900" s="1"/>
      <c r="G3900" s="1"/>
      <c r="H3900" s="1" t="str">
        <f>"7806130014169"</f>
        <v>7806130014169</v>
      </c>
      <c r="I3900" s="3">
        <v>7</v>
      </c>
      <c r="J3900" s="3">
        <v>0</v>
      </c>
      <c r="K3900" s="3">
        <v>7500</v>
      </c>
    </row>
    <row r="3901" spans="1:11" x14ac:dyDescent="0.2">
      <c r="A3901" s="1" t="s">
        <v>4994</v>
      </c>
      <c r="B3901" s="1" t="s">
        <v>4855</v>
      </c>
      <c r="C3901" s="1"/>
      <c r="D3901" s="1"/>
      <c r="E3901" s="1"/>
      <c r="F3901" s="1"/>
      <c r="G3901" s="1"/>
      <c r="H3901" s="1" t="str">
        <f>"737186232887"</f>
        <v>737186232887</v>
      </c>
      <c r="I3901" s="3">
        <v>0</v>
      </c>
      <c r="J3901" s="3">
        <v>0</v>
      </c>
      <c r="K3901" s="3">
        <v>5000</v>
      </c>
    </row>
    <row r="3902" spans="1:11" x14ac:dyDescent="0.2">
      <c r="A3902" s="1" t="s">
        <v>4994</v>
      </c>
      <c r="B3902" s="1" t="s">
        <v>4856</v>
      </c>
      <c r="C3902" s="1"/>
      <c r="D3902" s="1"/>
      <c r="E3902" s="1"/>
      <c r="F3902" s="1"/>
      <c r="G3902" s="1"/>
      <c r="H3902" s="1" t="str">
        <f>"7800038000316"</f>
        <v>7800038000316</v>
      </c>
      <c r="I3902" s="3">
        <v>1</v>
      </c>
      <c r="J3902" s="3">
        <v>0</v>
      </c>
      <c r="K3902" s="3">
        <v>10000</v>
      </c>
    </row>
    <row r="3903" spans="1:11" x14ac:dyDescent="0.2">
      <c r="A3903" s="1" t="s">
        <v>4994</v>
      </c>
      <c r="B3903" s="1" t="s">
        <v>4857</v>
      </c>
      <c r="C3903" s="1"/>
      <c r="D3903" s="1"/>
      <c r="E3903" s="1"/>
      <c r="F3903" s="1"/>
      <c r="G3903" s="1"/>
      <c r="H3903" s="1" t="str">
        <f>"7800038000309"</f>
        <v>7800038000309</v>
      </c>
      <c r="I3903" s="3">
        <v>0</v>
      </c>
      <c r="J3903" s="3">
        <v>0</v>
      </c>
      <c r="K3903" s="3">
        <v>7000</v>
      </c>
    </row>
    <row r="3904" spans="1:11" x14ac:dyDescent="0.2">
      <c r="A3904" s="1" t="s">
        <v>4994</v>
      </c>
      <c r="B3904" s="1" t="s">
        <v>4858</v>
      </c>
      <c r="C3904" s="1"/>
      <c r="D3904" s="1"/>
      <c r="E3904" s="1"/>
      <c r="F3904" s="1"/>
      <c r="G3904" s="1"/>
      <c r="H3904" s="1" t="str">
        <f>"7800038000293"</f>
        <v>7800038000293</v>
      </c>
      <c r="I3904" s="3">
        <v>0</v>
      </c>
      <c r="J3904" s="3">
        <v>0</v>
      </c>
      <c r="K3904" s="3">
        <v>13000</v>
      </c>
    </row>
    <row r="3905" spans="1:11" x14ac:dyDescent="0.2">
      <c r="A3905" s="1" t="s">
        <v>4994</v>
      </c>
      <c r="B3905" s="1" t="s">
        <v>4859</v>
      </c>
      <c r="C3905" s="1"/>
      <c r="D3905" s="1"/>
      <c r="E3905" s="1"/>
      <c r="F3905" s="1"/>
      <c r="G3905" s="1"/>
      <c r="H3905" s="1" t="str">
        <f>"7800038000323"</f>
        <v>7800038000323</v>
      </c>
      <c r="I3905" s="3">
        <v>0</v>
      </c>
      <c r="J3905" s="3">
        <v>0</v>
      </c>
      <c r="K3905" s="3">
        <v>7000</v>
      </c>
    </row>
    <row r="3906" spans="1:11" x14ac:dyDescent="0.2">
      <c r="A3906" s="1" t="s">
        <v>4994</v>
      </c>
      <c r="B3906" s="1" t="s">
        <v>4860</v>
      </c>
      <c r="C3906" s="1"/>
      <c r="D3906" s="1"/>
      <c r="E3906" s="1"/>
      <c r="F3906" s="1"/>
      <c r="G3906" s="1"/>
      <c r="H3906" s="1" t="str">
        <f>"7800044002168"</f>
        <v>7800044002168</v>
      </c>
      <c r="I3906" s="3">
        <v>0</v>
      </c>
      <c r="J3906" s="3">
        <v>0</v>
      </c>
      <c r="K3906" s="3">
        <v>2000</v>
      </c>
    </row>
    <row r="3907" spans="1:11" x14ac:dyDescent="0.2">
      <c r="A3907" s="1" t="s">
        <v>4994</v>
      </c>
      <c r="B3907" s="1" t="s">
        <v>4861</v>
      </c>
      <c r="C3907" s="1"/>
      <c r="D3907" s="1"/>
      <c r="E3907" s="1"/>
      <c r="F3907" s="1"/>
      <c r="G3907" s="1"/>
      <c r="H3907" s="1" t="str">
        <f>"609143536003"</f>
        <v>609143536003</v>
      </c>
      <c r="I3907" s="3">
        <v>0</v>
      </c>
      <c r="J3907" s="3">
        <v>0</v>
      </c>
      <c r="K3907" s="3">
        <v>7000</v>
      </c>
    </row>
    <row r="3908" spans="1:11" x14ac:dyDescent="0.2">
      <c r="A3908" s="1" t="s">
        <v>4994</v>
      </c>
      <c r="B3908" s="1" t="s">
        <v>4862</v>
      </c>
      <c r="C3908" s="1"/>
      <c r="D3908" s="1"/>
      <c r="E3908" s="1"/>
      <c r="F3908" s="1"/>
      <c r="G3908" s="1"/>
      <c r="H3908" s="1" t="str">
        <f>"7805357002010"</f>
        <v>7805357002010</v>
      </c>
      <c r="I3908" s="3">
        <v>6</v>
      </c>
      <c r="J3908" s="3">
        <v>0</v>
      </c>
      <c r="K3908" s="3">
        <v>5500</v>
      </c>
    </row>
    <row r="3909" spans="1:11" x14ac:dyDescent="0.2">
      <c r="A3909" s="1" t="s">
        <v>4994</v>
      </c>
      <c r="B3909" s="1" t="s">
        <v>4863</v>
      </c>
      <c r="C3909" s="1"/>
      <c r="D3909" s="1"/>
      <c r="E3909" s="1"/>
      <c r="F3909" s="1"/>
      <c r="G3909" s="1"/>
      <c r="H3909" s="1" t="str">
        <f>"7805633024934"</f>
        <v>7805633024934</v>
      </c>
      <c r="I3909" s="3">
        <v>0</v>
      </c>
      <c r="J3909" s="3">
        <v>0</v>
      </c>
      <c r="K3909" s="3">
        <v>4500</v>
      </c>
    </row>
    <row r="3910" spans="1:11" x14ac:dyDescent="0.2">
      <c r="A3910" s="1" t="s">
        <v>4994</v>
      </c>
      <c r="B3910" s="1" t="s">
        <v>4865</v>
      </c>
      <c r="C3910" s="1"/>
      <c r="D3910" s="1"/>
      <c r="E3910" s="1"/>
      <c r="F3910" s="1"/>
      <c r="G3910" s="1"/>
      <c r="H3910" s="1" t="str">
        <f>"7804640561241"</f>
        <v>7804640561241</v>
      </c>
      <c r="I3910" s="3">
        <v>0</v>
      </c>
      <c r="J3910" s="3">
        <v>0</v>
      </c>
      <c r="K3910" s="3">
        <v>2000</v>
      </c>
    </row>
    <row r="3911" spans="1:11" x14ac:dyDescent="0.2">
      <c r="A3911" s="1" t="s">
        <v>4994</v>
      </c>
      <c r="B3911" s="1" t="s">
        <v>4866</v>
      </c>
      <c r="C3911" s="1"/>
      <c r="D3911" s="1"/>
      <c r="E3911" s="1"/>
      <c r="F3911" s="1"/>
      <c r="G3911" s="1"/>
      <c r="H3911" s="1" t="str">
        <f>"4022679129840"</f>
        <v>4022679129840</v>
      </c>
      <c r="I3911" s="3">
        <v>50</v>
      </c>
      <c r="J3911" s="3">
        <v>0</v>
      </c>
      <c r="K3911" s="3">
        <v>2500</v>
      </c>
    </row>
    <row r="3912" spans="1:11" x14ac:dyDescent="0.2">
      <c r="A3912" s="1" t="s">
        <v>4994</v>
      </c>
      <c r="B3912" s="1" t="s">
        <v>4867</v>
      </c>
      <c r="C3912" s="1"/>
      <c r="D3912" s="1"/>
      <c r="E3912" s="1"/>
      <c r="F3912" s="1"/>
      <c r="G3912" s="1"/>
      <c r="H3912" s="1" t="str">
        <f>"7804673040010"</f>
        <v>7804673040010</v>
      </c>
      <c r="I3912" s="3">
        <v>19</v>
      </c>
      <c r="J3912" s="3">
        <v>0</v>
      </c>
      <c r="K3912" s="3">
        <v>2500</v>
      </c>
    </row>
    <row r="3913" spans="1:11" x14ac:dyDescent="0.2">
      <c r="A3913" s="1" t="s">
        <v>4994</v>
      </c>
      <c r="B3913" s="1" t="s">
        <v>4868</v>
      </c>
      <c r="C3913" s="1"/>
      <c r="D3913" s="1"/>
      <c r="E3913" s="1"/>
      <c r="F3913" s="1"/>
      <c r="G3913" s="1"/>
      <c r="H3913" s="1" t="str">
        <f>"75643231709185"</f>
        <v>75643231709185</v>
      </c>
      <c r="I3913" s="3">
        <v>0</v>
      </c>
      <c r="J3913" s="3">
        <v>0</v>
      </c>
      <c r="K3913" s="3">
        <v>0</v>
      </c>
    </row>
    <row r="3914" spans="1:11" x14ac:dyDescent="0.2">
      <c r="A3914" s="1" t="s">
        <v>4994</v>
      </c>
      <c r="B3914" s="1" t="s">
        <v>4870</v>
      </c>
      <c r="C3914" s="1"/>
      <c r="D3914" s="1"/>
      <c r="E3914" s="1"/>
      <c r="F3914" s="1"/>
      <c r="G3914" s="1"/>
      <c r="H3914" s="1" t="str">
        <f>"7805633024705"</f>
        <v>7805633024705</v>
      </c>
      <c r="I3914" s="3">
        <v>0</v>
      </c>
      <c r="J3914" s="3">
        <v>0</v>
      </c>
      <c r="K3914" s="3">
        <v>1500</v>
      </c>
    </row>
    <row r="3915" spans="1:11" x14ac:dyDescent="0.2">
      <c r="A3915" s="1" t="s">
        <v>4994</v>
      </c>
      <c r="B3915" s="1" t="s">
        <v>4871</v>
      </c>
      <c r="C3915" s="1"/>
      <c r="D3915" s="1"/>
      <c r="E3915" s="1"/>
      <c r="F3915" s="1"/>
      <c r="G3915" s="1"/>
      <c r="H3915" s="1" t="str">
        <f>"7804918404119"</f>
        <v>7804918404119</v>
      </c>
      <c r="I3915" s="3">
        <v>0</v>
      </c>
      <c r="J3915" s="3">
        <v>0</v>
      </c>
      <c r="K3915" s="3">
        <v>1500</v>
      </c>
    </row>
    <row r="3916" spans="1:11" x14ac:dyDescent="0.2">
      <c r="A3916" s="1" t="s">
        <v>4994</v>
      </c>
      <c r="B3916" s="1" t="s">
        <v>4872</v>
      </c>
      <c r="C3916" s="1"/>
      <c r="D3916" s="1"/>
      <c r="E3916" s="1"/>
      <c r="F3916" s="1"/>
      <c r="G3916" s="1"/>
      <c r="H3916" s="1" t="str">
        <f>"7804673040003"</f>
        <v>7804673040003</v>
      </c>
      <c r="I3916" s="3">
        <v>0</v>
      </c>
      <c r="J3916" s="3">
        <v>0</v>
      </c>
      <c r="K3916" s="3">
        <v>2000</v>
      </c>
    </row>
    <row r="3917" spans="1:11" x14ac:dyDescent="0.2">
      <c r="A3917" s="1" t="s">
        <v>4994</v>
      </c>
      <c r="B3917" s="1" t="s">
        <v>4873</v>
      </c>
      <c r="C3917" s="1"/>
      <c r="D3917" s="1"/>
      <c r="E3917" s="1"/>
      <c r="F3917" s="1"/>
      <c r="G3917" s="1"/>
      <c r="H3917" s="1" t="str">
        <f>"7800044001543"</f>
        <v>7800044001543</v>
      </c>
      <c r="I3917" s="3">
        <v>0</v>
      </c>
      <c r="J3917" s="3">
        <v>0</v>
      </c>
      <c r="K3917" s="3">
        <v>1500</v>
      </c>
    </row>
    <row r="3918" spans="1:11" x14ac:dyDescent="0.2">
      <c r="A3918" s="1" t="s">
        <v>4994</v>
      </c>
      <c r="B3918" s="1" t="s">
        <v>4874</v>
      </c>
      <c r="C3918" s="1"/>
      <c r="D3918" s="1"/>
      <c r="E3918" s="1"/>
      <c r="F3918" s="1"/>
      <c r="G3918" s="1"/>
      <c r="H3918" s="1" t="str">
        <f>"7800044001550"</f>
        <v>7800044001550</v>
      </c>
      <c r="I3918" s="3">
        <v>0</v>
      </c>
      <c r="J3918" s="3">
        <v>0</v>
      </c>
      <c r="K3918" s="3">
        <v>150</v>
      </c>
    </row>
    <row r="3919" spans="1:11" x14ac:dyDescent="0.2">
      <c r="A3919" s="1" t="s">
        <v>4994</v>
      </c>
      <c r="B3919" s="1" t="s">
        <v>4875</v>
      </c>
      <c r="C3919" s="1"/>
      <c r="D3919" s="1"/>
      <c r="E3919" s="1"/>
      <c r="F3919" s="1"/>
      <c r="G3919" s="1"/>
      <c r="H3919" s="1" t="str">
        <f>"7804918404096"</f>
        <v>7804918404096</v>
      </c>
      <c r="I3919" s="3">
        <v>0</v>
      </c>
      <c r="J3919" s="3">
        <v>0</v>
      </c>
      <c r="K3919" s="3">
        <v>1500</v>
      </c>
    </row>
    <row r="3920" spans="1:11" x14ac:dyDescent="0.2">
      <c r="A3920" s="1" t="s">
        <v>4994</v>
      </c>
      <c r="B3920" s="1" t="s">
        <v>4876</v>
      </c>
      <c r="C3920" s="1"/>
      <c r="D3920" s="1"/>
      <c r="E3920" s="1"/>
      <c r="F3920" s="1"/>
      <c r="G3920" s="1"/>
      <c r="H3920" s="1" t="str">
        <f>"78704918452868"</f>
        <v>78704918452868</v>
      </c>
      <c r="I3920" s="3">
        <v>0</v>
      </c>
      <c r="J3920" s="3">
        <v>0</v>
      </c>
      <c r="K3920" s="3">
        <v>1500</v>
      </c>
    </row>
    <row r="3921" spans="1:11" x14ac:dyDescent="0.2">
      <c r="A3921" s="1" t="s">
        <v>4994</v>
      </c>
      <c r="B3921" s="1" t="s">
        <v>4877</v>
      </c>
      <c r="C3921" s="1"/>
      <c r="D3921" s="1"/>
      <c r="E3921" s="1"/>
      <c r="F3921" s="1"/>
      <c r="G3921" s="1"/>
      <c r="H3921" s="1" t="str">
        <f>"7805633023395"</f>
        <v>7805633023395</v>
      </c>
      <c r="I3921" s="3">
        <v>39</v>
      </c>
      <c r="J3921" s="3">
        <v>0</v>
      </c>
      <c r="K3921" s="3">
        <v>2000</v>
      </c>
    </row>
    <row r="3922" spans="1:11" x14ac:dyDescent="0.2">
      <c r="A3922" s="1" t="s">
        <v>4994</v>
      </c>
      <c r="B3922" s="1" t="s">
        <v>4878</v>
      </c>
      <c r="C3922" s="1"/>
      <c r="D3922" s="1"/>
      <c r="E3922" s="1"/>
      <c r="F3922" s="1"/>
      <c r="G3922" s="1"/>
      <c r="H3922" s="1" t="str">
        <f>"7800063004624"</f>
        <v>7800063004624</v>
      </c>
      <c r="I3922" s="3">
        <v>20</v>
      </c>
      <c r="J3922" s="3">
        <v>0</v>
      </c>
      <c r="K3922" s="3">
        <v>2000</v>
      </c>
    </row>
    <row r="3923" spans="1:11" x14ac:dyDescent="0.2">
      <c r="A3923" s="1" t="s">
        <v>4994</v>
      </c>
      <c r="B3923" s="1" t="s">
        <v>4879</v>
      </c>
      <c r="C3923" s="1"/>
      <c r="D3923" s="1"/>
      <c r="E3923" s="1"/>
      <c r="F3923" s="1"/>
      <c r="G3923" s="1"/>
      <c r="H3923" s="1" t="str">
        <f>"7805633022268"</f>
        <v>7805633022268</v>
      </c>
      <c r="I3923" s="3">
        <v>47</v>
      </c>
      <c r="J3923" s="3">
        <v>0</v>
      </c>
      <c r="K3923" s="3">
        <v>2500</v>
      </c>
    </row>
    <row r="3924" spans="1:11" x14ac:dyDescent="0.2">
      <c r="A3924" s="1" t="s">
        <v>4994</v>
      </c>
      <c r="B3924" s="1" t="s">
        <v>4880</v>
      </c>
      <c r="C3924" s="1"/>
      <c r="D3924" s="1"/>
      <c r="E3924" s="1"/>
      <c r="F3924" s="1"/>
      <c r="G3924" s="1"/>
      <c r="H3924" s="1" t="str">
        <f>"4022679126375"</f>
        <v>4022679126375</v>
      </c>
      <c r="I3924" s="3">
        <v>43</v>
      </c>
      <c r="J3924" s="3">
        <v>0</v>
      </c>
      <c r="K3924" s="3">
        <v>2500</v>
      </c>
    </row>
    <row r="3925" spans="1:11" x14ac:dyDescent="0.2">
      <c r="A3925" s="1" t="s">
        <v>4994</v>
      </c>
      <c r="B3925" s="1" t="s">
        <v>4884</v>
      </c>
      <c r="C3925" s="1"/>
      <c r="D3925" s="1"/>
      <c r="E3925" s="1"/>
      <c r="F3925" s="1"/>
      <c r="G3925" s="1"/>
      <c r="H3925" s="1" t="str">
        <f>"7804673040041"</f>
        <v>7804673040041</v>
      </c>
      <c r="I3925" s="3">
        <v>0</v>
      </c>
      <c r="J3925" s="3">
        <v>0</v>
      </c>
      <c r="K3925" s="3">
        <v>2500</v>
      </c>
    </row>
    <row r="3926" spans="1:11" x14ac:dyDescent="0.2">
      <c r="A3926" s="1" t="s">
        <v>4994</v>
      </c>
      <c r="B3926" s="1" t="s">
        <v>4889</v>
      </c>
      <c r="C3926" s="1"/>
      <c r="D3926" s="1"/>
      <c r="E3926" s="1"/>
      <c r="F3926" s="1"/>
      <c r="G3926" s="1"/>
      <c r="H3926" s="1" t="str">
        <f>"7803319006878"</f>
        <v>7803319006878</v>
      </c>
      <c r="I3926" s="3">
        <v>0</v>
      </c>
      <c r="J3926" s="3">
        <v>0</v>
      </c>
      <c r="K3926" s="3">
        <v>3000</v>
      </c>
    </row>
    <row r="3927" spans="1:11" x14ac:dyDescent="0.2">
      <c r="A3927" s="1" t="s">
        <v>4994</v>
      </c>
      <c r="B3927" s="1" t="s">
        <v>4891</v>
      </c>
      <c r="C3927" s="1"/>
      <c r="D3927" s="1"/>
      <c r="E3927" s="1"/>
      <c r="F3927" s="1"/>
      <c r="G3927" s="1"/>
      <c r="H3927" s="1" t="str">
        <f>"7805633023180"</f>
        <v>7805633023180</v>
      </c>
      <c r="I3927" s="3">
        <v>34</v>
      </c>
      <c r="J3927" s="3">
        <v>0</v>
      </c>
      <c r="K3927" s="3">
        <v>2500</v>
      </c>
    </row>
    <row r="3928" spans="1:11" x14ac:dyDescent="0.2">
      <c r="A3928" s="1" t="s">
        <v>4994</v>
      </c>
      <c r="B3928" s="1" t="s">
        <v>4892</v>
      </c>
      <c r="C3928" s="1"/>
      <c r="D3928" s="1"/>
      <c r="E3928" s="1"/>
      <c r="F3928" s="1"/>
      <c r="G3928" s="1"/>
      <c r="H3928" s="1" t="str">
        <f>"7800078000239"</f>
        <v>7800078000239</v>
      </c>
      <c r="I3928" s="3">
        <v>0</v>
      </c>
      <c r="J3928" s="3">
        <v>0</v>
      </c>
      <c r="K3928" s="3">
        <v>2000</v>
      </c>
    </row>
    <row r="3929" spans="1:11" x14ac:dyDescent="0.2">
      <c r="A3929" s="1" t="s">
        <v>4994</v>
      </c>
      <c r="B3929" s="1" t="s">
        <v>4893</v>
      </c>
      <c r="C3929" s="1"/>
      <c r="D3929" s="1"/>
      <c r="E3929" s="1"/>
      <c r="F3929" s="1"/>
      <c r="G3929" s="1"/>
      <c r="H3929" s="1" t="str">
        <f>"7805633025276"</f>
        <v>7805633025276</v>
      </c>
      <c r="I3929" s="3">
        <v>4</v>
      </c>
      <c r="J3929" s="3">
        <v>0</v>
      </c>
      <c r="K3929" s="3">
        <v>5000</v>
      </c>
    </row>
    <row r="3930" spans="1:11" x14ac:dyDescent="0.2">
      <c r="A3930" s="1" t="s">
        <v>4994</v>
      </c>
      <c r="B3930" s="1" t="s">
        <v>4896</v>
      </c>
      <c r="C3930" s="1"/>
      <c r="D3930" s="1"/>
      <c r="E3930" s="1"/>
      <c r="F3930" s="1"/>
      <c r="G3930" s="1"/>
      <c r="H3930" s="1" t="str">
        <f>"737186550936"</f>
        <v>737186550936</v>
      </c>
      <c r="I3930" s="3">
        <v>0</v>
      </c>
      <c r="J3930" s="3">
        <v>0</v>
      </c>
      <c r="K3930" s="3">
        <v>6000</v>
      </c>
    </row>
    <row r="3931" spans="1:11" x14ac:dyDescent="0.2">
      <c r="A3931" s="1" t="s">
        <v>4994</v>
      </c>
      <c r="B3931" s="1" t="s">
        <v>4897</v>
      </c>
      <c r="C3931" s="1"/>
      <c r="D3931" s="1"/>
      <c r="E3931" s="1"/>
      <c r="F3931" s="1"/>
      <c r="G3931" s="1"/>
      <c r="H3931" s="1" t="str">
        <f>"7804640561852"</f>
        <v>7804640561852</v>
      </c>
      <c r="I3931" s="3">
        <v>0</v>
      </c>
      <c r="J3931" s="3">
        <v>0</v>
      </c>
      <c r="K3931" s="3">
        <v>3000</v>
      </c>
    </row>
    <row r="3932" spans="1:11" x14ac:dyDescent="0.2">
      <c r="A3932" s="1" t="s">
        <v>4994</v>
      </c>
      <c r="B3932" s="1" t="s">
        <v>4898</v>
      </c>
      <c r="C3932" s="1"/>
      <c r="D3932" s="1"/>
      <c r="E3932" s="1"/>
      <c r="F3932" s="1"/>
      <c r="G3932" s="1"/>
      <c r="H3932" s="1" t="str">
        <f>"7800059003754"</f>
        <v>7800059003754</v>
      </c>
      <c r="I3932" s="3">
        <v>5</v>
      </c>
      <c r="J3932" s="3">
        <v>0</v>
      </c>
      <c r="K3932" s="3">
        <v>16000</v>
      </c>
    </row>
    <row r="3933" spans="1:11" x14ac:dyDescent="0.2">
      <c r="A3933" s="1" t="s">
        <v>4994</v>
      </c>
      <c r="B3933" s="1" t="s">
        <v>4899</v>
      </c>
      <c r="C3933" s="1"/>
      <c r="D3933" s="1"/>
      <c r="E3933" s="1"/>
      <c r="F3933" s="1"/>
      <c r="G3933" s="1"/>
      <c r="H3933" s="1" t="str">
        <f>"7800004005055"</f>
        <v>7800004005055</v>
      </c>
      <c r="I3933" s="3">
        <v>0</v>
      </c>
      <c r="J3933" s="3">
        <v>0</v>
      </c>
      <c r="K3933" s="3">
        <v>2500</v>
      </c>
    </row>
    <row r="3934" spans="1:11" x14ac:dyDescent="0.2">
      <c r="A3934" s="1" t="s">
        <v>4994</v>
      </c>
      <c r="B3934" s="1" t="s">
        <v>4900</v>
      </c>
      <c r="C3934" s="1"/>
      <c r="D3934" s="1"/>
      <c r="E3934" s="1"/>
      <c r="F3934" s="1"/>
      <c r="G3934" s="1"/>
      <c r="H3934" s="1" t="str">
        <f>"737186233006"</f>
        <v>737186233006</v>
      </c>
      <c r="I3934" s="3">
        <v>4</v>
      </c>
      <c r="J3934" s="3">
        <v>0</v>
      </c>
      <c r="K3934" s="3">
        <v>12500</v>
      </c>
    </row>
    <row r="3935" spans="1:11" x14ac:dyDescent="0.2">
      <c r="A3935" s="1" t="s">
        <v>4994</v>
      </c>
      <c r="B3935" s="1" t="s">
        <v>4901</v>
      </c>
      <c r="C3935" s="1"/>
      <c r="D3935" s="1"/>
      <c r="E3935" s="1"/>
      <c r="F3935" s="1"/>
      <c r="G3935" s="1"/>
      <c r="H3935" s="1" t="str">
        <f>"4714478302516"</f>
        <v>4714478302516</v>
      </c>
      <c r="I3935" s="3">
        <v>1</v>
      </c>
      <c r="J3935" s="3">
        <v>0</v>
      </c>
      <c r="K3935" s="3">
        <v>4000</v>
      </c>
    </row>
    <row r="3936" spans="1:11" x14ac:dyDescent="0.2">
      <c r="A3936" s="1" t="s">
        <v>4994</v>
      </c>
      <c r="B3936" s="1" t="s">
        <v>4902</v>
      </c>
      <c r="C3936" s="1"/>
      <c r="D3936" s="1"/>
      <c r="E3936" s="1"/>
      <c r="F3936" s="1"/>
      <c r="G3936" s="1"/>
      <c r="H3936" s="1" t="str">
        <f>"7800068010613"</f>
        <v>7800068010613</v>
      </c>
      <c r="I3936" s="3">
        <v>8</v>
      </c>
      <c r="J3936" s="3">
        <v>0</v>
      </c>
      <c r="K3936" s="3">
        <v>18000</v>
      </c>
    </row>
    <row r="3937" spans="1:11" x14ac:dyDescent="0.2">
      <c r="A3937" s="1" t="s">
        <v>4994</v>
      </c>
      <c r="B3937" s="1" t="s">
        <v>4903</v>
      </c>
      <c r="C3937" s="1"/>
      <c r="D3937" s="1"/>
      <c r="E3937" s="1"/>
      <c r="F3937" s="1"/>
      <c r="G3937" s="1"/>
      <c r="H3937" s="1" t="str">
        <f>"7800068120121"</f>
        <v>7800068120121</v>
      </c>
      <c r="I3937" s="3">
        <v>0</v>
      </c>
      <c r="J3937" s="3">
        <v>0</v>
      </c>
      <c r="K3937" s="3">
        <v>16000</v>
      </c>
    </row>
    <row r="3938" spans="1:11" x14ac:dyDescent="0.2">
      <c r="A3938" s="1" t="s">
        <v>4994</v>
      </c>
      <c r="B3938" s="1" t="s">
        <v>4904</v>
      </c>
      <c r="C3938" s="1"/>
      <c r="D3938" s="1"/>
      <c r="E3938" s="1"/>
      <c r="F3938" s="1"/>
      <c r="G3938" s="1"/>
      <c r="H3938" s="1" t="str">
        <f>"7809591401196"</f>
        <v>7809591401196</v>
      </c>
      <c r="I3938" s="3">
        <v>0</v>
      </c>
      <c r="J3938" s="3">
        <v>0</v>
      </c>
      <c r="K3938" s="3">
        <v>22000</v>
      </c>
    </row>
    <row r="3939" spans="1:11" x14ac:dyDescent="0.2">
      <c r="A3939" s="1" t="s">
        <v>4994</v>
      </c>
      <c r="B3939" s="1" t="s">
        <v>4905</v>
      </c>
      <c r="C3939" s="1"/>
      <c r="D3939" s="1"/>
      <c r="E3939" s="1"/>
      <c r="F3939" s="1"/>
      <c r="G3939" s="1"/>
      <c r="H3939" s="1" t="str">
        <f>"7809591401202"</f>
        <v>7809591401202</v>
      </c>
      <c r="I3939" s="3">
        <v>6</v>
      </c>
      <c r="J3939" s="3">
        <v>0</v>
      </c>
      <c r="K3939" s="3">
        <v>21000</v>
      </c>
    </row>
    <row r="3940" spans="1:11" x14ac:dyDescent="0.2">
      <c r="A3940" s="1" t="s">
        <v>4994</v>
      </c>
      <c r="B3940" s="1" t="s">
        <v>4906</v>
      </c>
      <c r="C3940" s="1"/>
      <c r="D3940" s="1"/>
      <c r="E3940" s="1"/>
      <c r="F3940" s="1"/>
      <c r="G3940" s="1"/>
      <c r="H3940" s="1" t="str">
        <f>"7805163000125"</f>
        <v>7805163000125</v>
      </c>
      <c r="I3940" s="3">
        <v>16</v>
      </c>
      <c r="J3940" s="3">
        <v>0</v>
      </c>
      <c r="K3940" s="3">
        <v>4500</v>
      </c>
    </row>
    <row r="3941" spans="1:11" x14ac:dyDescent="0.2">
      <c r="A3941" s="1" t="s">
        <v>4994</v>
      </c>
      <c r="B3941" s="1" t="s">
        <v>4907</v>
      </c>
      <c r="C3941" s="1"/>
      <c r="D3941" s="1"/>
      <c r="E3941" s="1"/>
      <c r="F3941" s="1"/>
      <c r="G3941" s="1"/>
      <c r="H3941" s="1" t="str">
        <f>"8427426008359"</f>
        <v>8427426008359</v>
      </c>
      <c r="I3941" s="3">
        <v>0</v>
      </c>
      <c r="J3941" s="3">
        <v>0</v>
      </c>
      <c r="K3941" s="3">
        <v>4500</v>
      </c>
    </row>
    <row r="3942" spans="1:11" x14ac:dyDescent="0.2">
      <c r="A3942" s="1" t="s">
        <v>4994</v>
      </c>
      <c r="B3942" s="1" t="s">
        <v>4908</v>
      </c>
      <c r="C3942" s="1"/>
      <c r="D3942" s="1"/>
      <c r="E3942" s="1"/>
      <c r="F3942" s="1"/>
      <c r="G3942" s="1"/>
      <c r="H3942" s="1" t="str">
        <f>"7805163000101"</f>
        <v>7805163000101</v>
      </c>
      <c r="I3942" s="3">
        <v>9</v>
      </c>
      <c r="J3942" s="3">
        <v>0</v>
      </c>
      <c r="K3942" s="3">
        <v>4000</v>
      </c>
    </row>
    <row r="3943" spans="1:11" x14ac:dyDescent="0.2">
      <c r="A3943" s="1" t="s">
        <v>4994</v>
      </c>
      <c r="B3943" s="1" t="s">
        <v>4909</v>
      </c>
      <c r="C3943" s="1"/>
      <c r="D3943" s="1"/>
      <c r="E3943" s="1"/>
      <c r="F3943" s="1"/>
      <c r="G3943" s="1"/>
      <c r="H3943" s="1" t="str">
        <f>"7805163000132"</f>
        <v>7805163000132</v>
      </c>
      <c r="I3943" s="3">
        <v>10</v>
      </c>
      <c r="J3943" s="3">
        <v>0</v>
      </c>
      <c r="K3943" s="3">
        <v>4000</v>
      </c>
    </row>
    <row r="3944" spans="1:11" x14ac:dyDescent="0.2">
      <c r="A3944" s="1" t="s">
        <v>4994</v>
      </c>
      <c r="B3944" s="1" t="s">
        <v>4910</v>
      </c>
      <c r="C3944" s="1"/>
      <c r="D3944" s="1"/>
      <c r="E3944" s="1"/>
      <c r="F3944" s="1"/>
      <c r="G3944" s="1"/>
      <c r="H3944" s="1" t="str">
        <f>"7805163000224"</f>
        <v>7805163000224</v>
      </c>
      <c r="I3944" s="3">
        <v>12</v>
      </c>
      <c r="J3944" s="3">
        <v>0</v>
      </c>
      <c r="K3944" s="3">
        <v>3500</v>
      </c>
    </row>
    <row r="3945" spans="1:11" x14ac:dyDescent="0.2">
      <c r="A3945" s="1" t="s">
        <v>4994</v>
      </c>
      <c r="B3945" s="1" t="s">
        <v>4911</v>
      </c>
      <c r="C3945" s="1"/>
      <c r="D3945" s="1"/>
      <c r="E3945" s="1"/>
      <c r="F3945" s="1"/>
      <c r="G3945" s="1"/>
      <c r="H3945" s="1" t="str">
        <f>"8427426044739"</f>
        <v>8427426044739</v>
      </c>
      <c r="I3945" s="3">
        <v>0</v>
      </c>
      <c r="J3945" s="3">
        <v>0</v>
      </c>
      <c r="K3945" s="3">
        <v>4000</v>
      </c>
    </row>
    <row r="3946" spans="1:11" x14ac:dyDescent="0.2">
      <c r="A3946" s="1" t="s">
        <v>4994</v>
      </c>
      <c r="B3946" s="1" t="s">
        <v>4912</v>
      </c>
      <c r="C3946" s="1"/>
      <c r="D3946" s="1"/>
      <c r="E3946" s="1"/>
      <c r="F3946" s="1"/>
      <c r="G3946" s="1"/>
      <c r="H3946" s="1" t="str">
        <f>"8427426029774"</f>
        <v>8427426029774</v>
      </c>
      <c r="I3946" s="3">
        <v>8</v>
      </c>
      <c r="J3946" s="3">
        <v>0</v>
      </c>
      <c r="K3946" s="3">
        <v>5500</v>
      </c>
    </row>
    <row r="3947" spans="1:11" x14ac:dyDescent="0.2">
      <c r="A3947" s="1" t="s">
        <v>4994</v>
      </c>
      <c r="B3947" s="1" t="s">
        <v>4913</v>
      </c>
      <c r="C3947" s="1"/>
      <c r="D3947" s="1"/>
      <c r="E3947" s="1"/>
      <c r="F3947" s="1"/>
      <c r="G3947" s="1"/>
      <c r="H3947" s="1" t="str">
        <f>"8427426011038"</f>
        <v>8427426011038</v>
      </c>
      <c r="I3947" s="3">
        <v>0</v>
      </c>
      <c r="J3947" s="3">
        <v>0</v>
      </c>
      <c r="K3947" s="3">
        <v>7500</v>
      </c>
    </row>
    <row r="3948" spans="1:11" x14ac:dyDescent="0.2">
      <c r="A3948" s="1" t="s">
        <v>4994</v>
      </c>
      <c r="B3948" s="1" t="s">
        <v>4914</v>
      </c>
      <c r="C3948" s="1"/>
      <c r="D3948" s="1"/>
      <c r="E3948" s="1"/>
      <c r="F3948" s="1"/>
      <c r="G3948" s="1"/>
      <c r="H3948" s="1" t="str">
        <f>"7805163000231"</f>
        <v>7805163000231</v>
      </c>
      <c r="I3948" s="3">
        <v>7</v>
      </c>
      <c r="J3948" s="3">
        <v>0</v>
      </c>
      <c r="K3948" s="3">
        <v>3500</v>
      </c>
    </row>
    <row r="3949" spans="1:11" x14ac:dyDescent="0.2">
      <c r="A3949" s="1" t="s">
        <v>4994</v>
      </c>
      <c r="B3949" s="1" t="s">
        <v>4915</v>
      </c>
      <c r="C3949" s="1"/>
      <c r="D3949" s="1"/>
      <c r="E3949" s="1"/>
      <c r="F3949" s="1"/>
      <c r="G3949" s="1"/>
      <c r="H3949" s="1" t="str">
        <f>"8427426048836"</f>
        <v>8427426048836</v>
      </c>
      <c r="I3949" s="3">
        <v>1</v>
      </c>
      <c r="J3949" s="3">
        <v>0</v>
      </c>
      <c r="K3949" s="3">
        <v>5000</v>
      </c>
    </row>
    <row r="3950" spans="1:11" x14ac:dyDescent="0.2">
      <c r="A3950" s="1" t="s">
        <v>4994</v>
      </c>
      <c r="B3950" s="1" t="s">
        <v>4916</v>
      </c>
      <c r="C3950" s="1"/>
      <c r="D3950" s="1"/>
      <c r="E3950" s="1"/>
      <c r="F3950" s="1"/>
      <c r="G3950" s="1"/>
      <c r="H3950" s="1" t="str">
        <f>"8427426048867"</f>
        <v>8427426048867</v>
      </c>
      <c r="I3950" s="3">
        <v>0</v>
      </c>
      <c r="J3950" s="3">
        <v>0</v>
      </c>
      <c r="K3950" s="3">
        <v>4000</v>
      </c>
    </row>
    <row r="3951" spans="1:11" x14ac:dyDescent="0.2">
      <c r="A3951" s="1" t="s">
        <v>4994</v>
      </c>
      <c r="B3951" s="1" t="s">
        <v>4917</v>
      </c>
      <c r="C3951" s="1"/>
      <c r="D3951" s="1"/>
      <c r="E3951" s="1"/>
      <c r="F3951" s="1"/>
      <c r="G3951" s="1"/>
      <c r="H3951" s="1" t="str">
        <f>"8427426040595"</f>
        <v>8427426040595</v>
      </c>
      <c r="I3951" s="3">
        <v>0</v>
      </c>
      <c r="J3951" s="3">
        <v>0</v>
      </c>
      <c r="K3951" s="3">
        <v>7500</v>
      </c>
    </row>
    <row r="3952" spans="1:11" x14ac:dyDescent="0.2">
      <c r="A3952" s="1" t="s">
        <v>4994</v>
      </c>
      <c r="B3952" s="1" t="s">
        <v>4918</v>
      </c>
      <c r="C3952" s="1"/>
      <c r="D3952" s="1"/>
      <c r="E3952" s="1"/>
      <c r="F3952" s="1"/>
      <c r="G3952" s="1"/>
      <c r="H3952" s="1" t="str">
        <f>"8427426042889"</f>
        <v>8427426042889</v>
      </c>
      <c r="I3952" s="3">
        <v>2</v>
      </c>
      <c r="J3952" s="3">
        <v>0</v>
      </c>
      <c r="K3952" s="3">
        <v>5000</v>
      </c>
    </row>
    <row r="3953" spans="1:11" x14ac:dyDescent="0.2">
      <c r="A3953" s="1" t="s">
        <v>4994</v>
      </c>
      <c r="B3953" s="1" t="s">
        <v>4919</v>
      </c>
      <c r="C3953" s="1"/>
      <c r="D3953" s="1"/>
      <c r="E3953" s="1"/>
      <c r="F3953" s="1"/>
      <c r="G3953" s="1"/>
      <c r="H3953" s="1" t="str">
        <f>"8427426044418"</f>
        <v>8427426044418</v>
      </c>
      <c r="I3953" s="3">
        <v>0</v>
      </c>
      <c r="J3953" s="3">
        <v>0</v>
      </c>
      <c r="K3953" s="3">
        <v>5500</v>
      </c>
    </row>
    <row r="3954" spans="1:11" x14ac:dyDescent="0.2">
      <c r="A3954" s="1" t="s">
        <v>4994</v>
      </c>
      <c r="B3954" s="1" t="s">
        <v>4920</v>
      </c>
      <c r="C3954" s="1"/>
      <c r="D3954" s="1"/>
      <c r="E3954" s="1"/>
      <c r="F3954" s="1"/>
      <c r="G3954" s="1"/>
      <c r="H3954" s="1" t="str">
        <f>"8427426013155"</f>
        <v>8427426013155</v>
      </c>
      <c r="I3954" s="3">
        <v>0</v>
      </c>
      <c r="J3954" s="3">
        <v>0</v>
      </c>
      <c r="K3954" s="3">
        <v>4000</v>
      </c>
    </row>
    <row r="3955" spans="1:11" x14ac:dyDescent="0.2">
      <c r="A3955" s="1" t="s">
        <v>4994</v>
      </c>
      <c r="B3955" s="1" t="s">
        <v>4921</v>
      </c>
      <c r="C3955" s="1"/>
      <c r="D3955" s="1"/>
      <c r="E3955" s="1"/>
      <c r="F3955" s="1"/>
      <c r="G3955" s="1"/>
      <c r="H3955" s="1" t="str">
        <f>"7805163000118"</f>
        <v>7805163000118</v>
      </c>
      <c r="I3955" s="3">
        <v>0</v>
      </c>
      <c r="J3955" s="3">
        <v>0</v>
      </c>
      <c r="K3955" s="3">
        <v>3500</v>
      </c>
    </row>
    <row r="3956" spans="1:11" x14ac:dyDescent="0.2">
      <c r="A3956" s="1" t="s">
        <v>4994</v>
      </c>
      <c r="B3956" s="1" t="s">
        <v>4922</v>
      </c>
      <c r="C3956" s="1"/>
      <c r="D3956" s="1"/>
      <c r="E3956" s="1"/>
      <c r="F3956" s="1"/>
      <c r="G3956" s="1"/>
      <c r="H3956" s="1" t="str">
        <f>"8427426046245"</f>
        <v>8427426046245</v>
      </c>
      <c r="I3956" s="3">
        <v>6</v>
      </c>
      <c r="J3956" s="3">
        <v>0</v>
      </c>
      <c r="K3956" s="3">
        <v>5500</v>
      </c>
    </row>
    <row r="3957" spans="1:11" x14ac:dyDescent="0.2">
      <c r="A3957" s="1" t="s">
        <v>4994</v>
      </c>
      <c r="B3957" s="1" t="s">
        <v>4925</v>
      </c>
      <c r="C3957" s="1"/>
      <c r="D3957" s="1"/>
      <c r="E3957" s="1"/>
      <c r="F3957" s="1"/>
      <c r="G3957" s="1"/>
      <c r="H3957" s="1" t="str">
        <f>"7804657350050"</f>
        <v>7804657350050</v>
      </c>
      <c r="I3957" s="3">
        <v>7</v>
      </c>
      <c r="J3957" s="3">
        <v>0</v>
      </c>
      <c r="K3957" s="3">
        <v>10000</v>
      </c>
    </row>
    <row r="3958" spans="1:11" x14ac:dyDescent="0.2">
      <c r="A3958" s="1" t="s">
        <v>4994</v>
      </c>
      <c r="B3958" s="1" t="s">
        <v>4926</v>
      </c>
      <c r="C3958" s="1"/>
      <c r="D3958" s="1"/>
      <c r="E3958" s="1"/>
      <c r="F3958" s="1"/>
      <c r="G3958" s="1"/>
      <c r="H3958" s="1" t="str">
        <f>"7804629990062"</f>
        <v>7804629990062</v>
      </c>
      <c r="I3958" s="3">
        <v>4</v>
      </c>
      <c r="J3958" s="3">
        <v>0</v>
      </c>
      <c r="K3958" s="3">
        <v>7500</v>
      </c>
    </row>
    <row r="3959" spans="1:11" x14ac:dyDescent="0.2">
      <c r="A3959" s="1" t="s">
        <v>4994</v>
      </c>
      <c r="B3959" s="1" t="s">
        <v>4929</v>
      </c>
      <c r="C3959" s="1"/>
      <c r="D3959" s="1"/>
      <c r="E3959" s="1"/>
      <c r="F3959" s="1"/>
      <c r="G3959" s="1"/>
      <c r="H3959" s="1" t="str">
        <f>"7800063312552"</f>
        <v>7800063312552</v>
      </c>
      <c r="I3959" s="3">
        <v>0</v>
      </c>
      <c r="J3959" s="3">
        <v>0</v>
      </c>
      <c r="K3959" s="3">
        <v>7500</v>
      </c>
    </row>
    <row r="3960" spans="1:11" x14ac:dyDescent="0.2">
      <c r="A3960" s="1" t="s">
        <v>4994</v>
      </c>
      <c r="B3960" s="1" t="s">
        <v>4930</v>
      </c>
      <c r="C3960" s="1"/>
      <c r="D3960" s="1"/>
      <c r="E3960" s="1"/>
      <c r="F3960" s="1"/>
      <c r="G3960" s="1"/>
      <c r="H3960" s="1" t="str">
        <f>"4027269958329"</f>
        <v>4027269958329</v>
      </c>
      <c r="I3960" s="3">
        <v>0</v>
      </c>
      <c r="J3960" s="3">
        <v>0</v>
      </c>
      <c r="K3960" s="3">
        <v>13000</v>
      </c>
    </row>
    <row r="3961" spans="1:11" x14ac:dyDescent="0.2">
      <c r="A3961" s="1" t="s">
        <v>4994</v>
      </c>
      <c r="B3961" s="1" t="s">
        <v>4931</v>
      </c>
      <c r="C3961" s="1"/>
      <c r="D3961" s="1"/>
      <c r="E3961" s="1"/>
      <c r="F3961" s="1"/>
      <c r="G3961" s="1"/>
      <c r="H3961" s="1" t="str">
        <f>"7509552842852"</f>
        <v>7509552842852</v>
      </c>
      <c r="I3961" s="3">
        <v>0</v>
      </c>
      <c r="J3961" s="3">
        <v>0</v>
      </c>
      <c r="K3961" s="3">
        <v>5000</v>
      </c>
    </row>
    <row r="3962" spans="1:11" x14ac:dyDescent="0.2">
      <c r="A3962" s="1" t="s">
        <v>4994</v>
      </c>
      <c r="B3962" s="1" t="s">
        <v>4932</v>
      </c>
      <c r="C3962" s="1"/>
      <c r="D3962" s="1"/>
      <c r="E3962" s="1"/>
      <c r="F3962" s="1"/>
      <c r="G3962" s="1"/>
      <c r="H3962" s="1" t="str">
        <f>"7702433298742"</f>
        <v>7702433298742</v>
      </c>
      <c r="I3962" s="3">
        <v>0</v>
      </c>
      <c r="J3962" s="3">
        <v>0</v>
      </c>
      <c r="K3962" s="3">
        <v>2000</v>
      </c>
    </row>
    <row r="3963" spans="1:11" x14ac:dyDescent="0.2">
      <c r="A3963" s="1" t="s">
        <v>4994</v>
      </c>
      <c r="B3963" s="1" t="s">
        <v>4933</v>
      </c>
      <c r="C3963" s="1"/>
      <c r="D3963" s="1"/>
      <c r="E3963" s="1"/>
      <c r="F3963" s="1"/>
      <c r="G3963" s="1"/>
      <c r="H3963" s="1" t="str">
        <f>"7702433299121"</f>
        <v>7702433299121</v>
      </c>
      <c r="I3963" s="3">
        <v>0</v>
      </c>
      <c r="J3963" s="3">
        <v>0</v>
      </c>
      <c r="K3963" s="3">
        <v>2000</v>
      </c>
    </row>
    <row r="3964" spans="1:11" x14ac:dyDescent="0.2">
      <c r="A3964" s="1" t="s">
        <v>4994</v>
      </c>
      <c r="B3964" s="1" t="s">
        <v>4934</v>
      </c>
      <c r="C3964" s="1"/>
      <c r="D3964" s="1"/>
      <c r="E3964" s="1"/>
      <c r="F3964" s="1"/>
      <c r="G3964" s="1"/>
      <c r="H3964" s="1" t="str">
        <f>"7702433299107"</f>
        <v>7702433299107</v>
      </c>
      <c r="I3964" s="3">
        <v>0</v>
      </c>
      <c r="J3964" s="3">
        <v>0</v>
      </c>
      <c r="K3964" s="3">
        <v>2000</v>
      </c>
    </row>
    <row r="3965" spans="1:11" x14ac:dyDescent="0.2">
      <c r="A3965" s="1" t="s">
        <v>4994</v>
      </c>
      <c r="B3965" s="1" t="s">
        <v>4935</v>
      </c>
      <c r="C3965" s="1"/>
      <c r="D3965" s="1"/>
      <c r="E3965" s="1"/>
      <c r="F3965" s="1"/>
      <c r="G3965" s="1"/>
      <c r="H3965" s="1" t="str">
        <f>"7509552873023"</f>
        <v>7509552873023</v>
      </c>
      <c r="I3965" s="3">
        <v>0</v>
      </c>
      <c r="J3965" s="3">
        <v>0</v>
      </c>
      <c r="K3965" s="3">
        <v>2000</v>
      </c>
    </row>
    <row r="3966" spans="1:11" x14ac:dyDescent="0.2">
      <c r="A3966" s="1" t="s">
        <v>4994</v>
      </c>
      <c r="B3966" s="1" t="s">
        <v>4936</v>
      </c>
      <c r="C3966" s="1"/>
      <c r="D3966" s="1"/>
      <c r="E3966" s="1"/>
      <c r="F3966" s="1"/>
      <c r="G3966" s="1"/>
      <c r="H3966" s="1" t="str">
        <f>"7702433299732"</f>
        <v>7702433299732</v>
      </c>
      <c r="I3966" s="3">
        <v>0</v>
      </c>
      <c r="J3966" s="3">
        <v>0</v>
      </c>
      <c r="K3966" s="3">
        <v>3000</v>
      </c>
    </row>
    <row r="3967" spans="1:11" x14ac:dyDescent="0.2">
      <c r="A3967" s="1" t="s">
        <v>4994</v>
      </c>
      <c r="B3967" s="1" t="s">
        <v>4937</v>
      </c>
      <c r="C3967" s="1"/>
      <c r="D3967" s="1"/>
      <c r="E3967" s="1"/>
      <c r="F3967" s="1"/>
      <c r="G3967" s="1"/>
      <c r="H3967" s="1" t="str">
        <f>"7509552808872"</f>
        <v>7509552808872</v>
      </c>
      <c r="I3967" s="3">
        <v>0</v>
      </c>
      <c r="J3967" s="3">
        <v>0</v>
      </c>
      <c r="K3967" s="3">
        <v>2500</v>
      </c>
    </row>
    <row r="3968" spans="1:11" x14ac:dyDescent="0.2">
      <c r="A3968" s="1" t="s">
        <v>4994</v>
      </c>
      <c r="B3968" s="1" t="s">
        <v>4938</v>
      </c>
      <c r="C3968" s="1"/>
      <c r="D3968" s="1"/>
      <c r="E3968" s="1"/>
      <c r="F3968" s="1"/>
      <c r="G3968" s="1"/>
      <c r="H3968" s="1" t="str">
        <f>"7702433330732"</f>
        <v>7702433330732</v>
      </c>
      <c r="I3968" s="3">
        <v>0</v>
      </c>
      <c r="J3968" s="3">
        <v>0</v>
      </c>
      <c r="K3968" s="3">
        <v>2500</v>
      </c>
    </row>
    <row r="3969" spans="1:11" x14ac:dyDescent="0.2">
      <c r="A3969" s="1" t="s">
        <v>4994</v>
      </c>
      <c r="B3969" s="1" t="s">
        <v>4939</v>
      </c>
      <c r="C3969" s="1"/>
      <c r="D3969" s="1"/>
      <c r="E3969" s="1"/>
      <c r="F3969" s="1"/>
      <c r="G3969" s="1"/>
      <c r="H3969" s="1" t="str">
        <f>"7509552924138"</f>
        <v>7509552924138</v>
      </c>
      <c r="I3969" s="3">
        <v>0</v>
      </c>
      <c r="J3969" s="3">
        <v>0</v>
      </c>
      <c r="K3969" s="3">
        <v>2500</v>
      </c>
    </row>
    <row r="3970" spans="1:11" x14ac:dyDescent="0.2">
      <c r="A3970" s="1" t="s">
        <v>4994</v>
      </c>
      <c r="B3970" s="1" t="s">
        <v>4940</v>
      </c>
      <c r="C3970" s="1"/>
      <c r="D3970" s="1"/>
      <c r="E3970" s="1"/>
      <c r="F3970" s="1"/>
      <c r="G3970" s="1"/>
      <c r="H3970" s="1" t="str">
        <f>"7702433298889"</f>
        <v>7702433298889</v>
      </c>
      <c r="I3970" s="3">
        <v>0</v>
      </c>
      <c r="J3970" s="3">
        <v>0</v>
      </c>
      <c r="K3970" s="3">
        <v>2000</v>
      </c>
    </row>
    <row r="3971" spans="1:11" x14ac:dyDescent="0.2">
      <c r="A3971" s="1" t="s">
        <v>4994</v>
      </c>
      <c r="B3971" s="1" t="s">
        <v>4941</v>
      </c>
      <c r="C3971" s="1"/>
      <c r="D3971" s="1"/>
      <c r="E3971" s="1"/>
      <c r="F3971" s="1"/>
      <c r="G3971" s="1"/>
      <c r="H3971" s="1" t="str">
        <f>"7509552924145"</f>
        <v>7509552924145</v>
      </c>
      <c r="I3971" s="3">
        <v>0</v>
      </c>
      <c r="J3971" s="3">
        <v>0</v>
      </c>
      <c r="K3971" s="3">
        <v>2500</v>
      </c>
    </row>
    <row r="3972" spans="1:11" x14ac:dyDescent="0.2">
      <c r="A3972" s="1" t="s">
        <v>4994</v>
      </c>
      <c r="B3972" s="1" t="s">
        <v>4942</v>
      </c>
      <c r="C3972" s="1"/>
      <c r="D3972" s="1"/>
      <c r="E3972" s="1"/>
      <c r="F3972" s="1"/>
      <c r="G3972" s="1"/>
      <c r="H3972" s="1" t="str">
        <f>"7702433298759"</f>
        <v>7702433298759</v>
      </c>
      <c r="I3972" s="3">
        <v>0</v>
      </c>
      <c r="J3972" s="3">
        <v>0</v>
      </c>
      <c r="K3972" s="3">
        <v>2000</v>
      </c>
    </row>
    <row r="3973" spans="1:11" x14ac:dyDescent="0.2">
      <c r="A3973" s="1" t="s">
        <v>4994</v>
      </c>
      <c r="B3973" s="1" t="s">
        <v>4943</v>
      </c>
      <c r="C3973" s="1"/>
      <c r="D3973" s="1"/>
      <c r="E3973" s="1"/>
      <c r="F3973" s="1"/>
      <c r="G3973" s="1"/>
      <c r="H3973" s="1" t="str">
        <f>"7509552848748"</f>
        <v>7509552848748</v>
      </c>
      <c r="I3973" s="3">
        <v>0</v>
      </c>
      <c r="J3973" s="3">
        <v>0</v>
      </c>
      <c r="K3973" s="3">
        <v>3500</v>
      </c>
    </row>
    <row r="3974" spans="1:11" x14ac:dyDescent="0.2">
      <c r="A3974" s="1" t="s">
        <v>4994</v>
      </c>
      <c r="B3974" s="1" t="s">
        <v>4944</v>
      </c>
      <c r="C3974" s="1"/>
      <c r="D3974" s="1"/>
      <c r="E3974" s="1"/>
      <c r="F3974" s="1"/>
      <c r="G3974" s="1"/>
      <c r="H3974" s="1" t="str">
        <f>"3600521961216"</f>
        <v>3600521961216</v>
      </c>
      <c r="I3974" s="3">
        <v>0</v>
      </c>
      <c r="J3974" s="3">
        <v>0</v>
      </c>
      <c r="K3974" s="3">
        <v>10000</v>
      </c>
    </row>
    <row r="3975" spans="1:11" x14ac:dyDescent="0.2">
      <c r="A3975" s="1" t="s">
        <v>4994</v>
      </c>
      <c r="B3975" s="1" t="s">
        <v>4945</v>
      </c>
      <c r="C3975" s="1"/>
      <c r="D3975" s="1"/>
      <c r="E3975" s="1"/>
      <c r="F3975" s="1"/>
      <c r="G3975" s="1"/>
      <c r="H3975" s="1" t="str">
        <f>"7804907997783"</f>
        <v>7804907997783</v>
      </c>
      <c r="I3975" s="3">
        <v>0</v>
      </c>
      <c r="J3975" s="3">
        <v>0</v>
      </c>
      <c r="K3975" s="3">
        <v>4500</v>
      </c>
    </row>
    <row r="3976" spans="1:11" x14ac:dyDescent="0.2">
      <c r="A3976" s="1" t="s">
        <v>4994</v>
      </c>
      <c r="B3976" s="1" t="s">
        <v>4946</v>
      </c>
      <c r="C3976" s="1"/>
      <c r="D3976" s="1"/>
      <c r="E3976" s="1"/>
      <c r="F3976" s="1"/>
      <c r="G3976" s="1"/>
      <c r="H3976" s="1" t="str">
        <f>"7804656600200"</f>
        <v>7804656600200</v>
      </c>
      <c r="I3976" s="3">
        <v>1</v>
      </c>
      <c r="J3976" s="3">
        <v>0</v>
      </c>
      <c r="K3976" s="3">
        <v>5000</v>
      </c>
    </row>
    <row r="3977" spans="1:11" x14ac:dyDescent="0.2">
      <c r="A3977" s="1" t="s">
        <v>4994</v>
      </c>
      <c r="B3977" s="1" t="s">
        <v>4947</v>
      </c>
      <c r="C3977" s="1"/>
      <c r="D3977" s="1"/>
      <c r="E3977" s="1"/>
      <c r="F3977" s="1"/>
      <c r="G3977" s="1"/>
      <c r="H3977" s="1" t="str">
        <f>"7804603542249"</f>
        <v>7804603542249</v>
      </c>
      <c r="I3977" s="3">
        <v>0</v>
      </c>
      <c r="J3977" s="3">
        <v>0</v>
      </c>
      <c r="K3977" s="3">
        <v>2000</v>
      </c>
    </row>
    <row r="3978" spans="1:11" x14ac:dyDescent="0.2">
      <c r="A3978" s="1" t="s">
        <v>4994</v>
      </c>
      <c r="B3978" s="1" t="s">
        <v>4948</v>
      </c>
      <c r="C3978" s="1"/>
      <c r="D3978" s="1"/>
      <c r="E3978" s="1"/>
      <c r="F3978" s="1"/>
      <c r="G3978" s="1"/>
      <c r="H3978" s="1" t="str">
        <f>"7804609253705"</f>
        <v>7804609253705</v>
      </c>
      <c r="I3978" s="3">
        <v>4</v>
      </c>
      <c r="J3978" s="3">
        <v>0</v>
      </c>
      <c r="K3978" s="3">
        <v>16000</v>
      </c>
    </row>
    <row r="3979" spans="1:11" x14ac:dyDescent="0.2">
      <c r="A3979" s="1" t="s">
        <v>4994</v>
      </c>
      <c r="B3979" s="1" t="s">
        <v>4950</v>
      </c>
      <c r="C3979" s="1"/>
      <c r="D3979" s="1"/>
      <c r="E3979" s="1"/>
      <c r="F3979" s="1"/>
      <c r="G3979" s="1"/>
      <c r="H3979" s="1" t="str">
        <f>"7793640991762"</f>
        <v>7793640991762</v>
      </c>
      <c r="I3979" s="3">
        <v>0</v>
      </c>
      <c r="J3979" s="3">
        <v>0</v>
      </c>
      <c r="K3979" s="3">
        <v>40000</v>
      </c>
    </row>
    <row r="3980" spans="1:11" x14ac:dyDescent="0.2">
      <c r="A3980" s="1" t="s">
        <v>4994</v>
      </c>
      <c r="B3980" s="1" t="s">
        <v>4951</v>
      </c>
      <c r="C3980" s="1"/>
      <c r="D3980" s="1"/>
      <c r="E3980" s="1"/>
      <c r="F3980" s="1"/>
      <c r="G3980" s="1"/>
      <c r="H3980" s="1" t="str">
        <f>"7795320000122"</f>
        <v>7795320000122</v>
      </c>
      <c r="I3980" s="3">
        <v>4</v>
      </c>
      <c r="J3980" s="3">
        <v>0</v>
      </c>
      <c r="K3980" s="3">
        <v>6300</v>
      </c>
    </row>
    <row r="3981" spans="1:11" x14ac:dyDescent="0.2">
      <c r="A3981" s="1" t="s">
        <v>4994</v>
      </c>
      <c r="B3981" s="1" t="s">
        <v>4952</v>
      </c>
      <c r="C3981" s="1"/>
      <c r="D3981" s="1"/>
      <c r="E3981" s="1"/>
      <c r="F3981" s="1"/>
      <c r="G3981" s="1"/>
      <c r="H3981" s="1" t="str">
        <f>"8427426014930"</f>
        <v>8427426014930</v>
      </c>
      <c r="I3981" s="3">
        <v>0</v>
      </c>
      <c r="J3981" s="3">
        <v>0</v>
      </c>
      <c r="K3981" s="3">
        <v>5500</v>
      </c>
    </row>
    <row r="3982" spans="1:11" x14ac:dyDescent="0.2">
      <c r="A3982" s="1" t="s">
        <v>4994</v>
      </c>
      <c r="B3982" s="1" t="s">
        <v>4955</v>
      </c>
      <c r="C3982" s="1"/>
      <c r="D3982" s="1"/>
      <c r="E3982" s="1"/>
      <c r="F3982" s="1"/>
      <c r="G3982" s="1"/>
      <c r="H3982" s="1" t="str">
        <f>"76044697012201"</f>
        <v>76044697012201</v>
      </c>
      <c r="I3982" s="3">
        <v>1</v>
      </c>
      <c r="J3982" s="3">
        <v>0</v>
      </c>
      <c r="K3982" s="3">
        <v>20000</v>
      </c>
    </row>
    <row r="3983" spans="1:11" x14ac:dyDescent="0.2">
      <c r="A3983" s="1" t="s">
        <v>4994</v>
      </c>
      <c r="B3983" s="1" t="s">
        <v>4956</v>
      </c>
      <c r="C3983" s="1"/>
      <c r="D3983" s="1"/>
      <c r="E3983" s="1"/>
      <c r="F3983" s="1"/>
      <c r="G3983" s="1"/>
      <c r="H3983" s="1" t="str">
        <f>"7809526397884"</f>
        <v>7809526397884</v>
      </c>
      <c r="I3983" s="3">
        <v>0</v>
      </c>
      <c r="J3983" s="3">
        <v>0</v>
      </c>
      <c r="K3983" s="3">
        <v>12000</v>
      </c>
    </row>
    <row r="3984" spans="1:11" x14ac:dyDescent="0.2">
      <c r="A3984" s="1" t="s">
        <v>4994</v>
      </c>
      <c r="B3984" s="1" t="s">
        <v>4957</v>
      </c>
      <c r="C3984" s="1"/>
      <c r="D3984" s="1"/>
      <c r="E3984" s="1"/>
      <c r="F3984" s="1"/>
      <c r="G3984" s="1"/>
      <c r="H3984" s="1" t="str">
        <f>"7800060038837"</f>
        <v>7800060038837</v>
      </c>
      <c r="I3984" s="3">
        <v>0</v>
      </c>
      <c r="J3984" s="3">
        <v>0</v>
      </c>
      <c r="K3984" s="3">
        <v>20000</v>
      </c>
    </row>
    <row r="3985" spans="1:11" x14ac:dyDescent="0.2">
      <c r="A3985" s="1" t="s">
        <v>4994</v>
      </c>
      <c r="B3985" s="1" t="s">
        <v>4958</v>
      </c>
      <c r="C3985" s="1"/>
      <c r="D3985" s="1"/>
      <c r="E3985" s="1"/>
      <c r="F3985" s="1"/>
      <c r="G3985" s="1"/>
      <c r="H3985" s="1" t="str">
        <f>"7800060038752"</f>
        <v>7800060038752</v>
      </c>
      <c r="I3985" s="3">
        <v>0</v>
      </c>
      <c r="J3985" s="3">
        <v>0</v>
      </c>
      <c r="K3985" s="3">
        <v>21000</v>
      </c>
    </row>
    <row r="3986" spans="1:11" x14ac:dyDescent="0.2">
      <c r="A3986" s="1" t="s">
        <v>4994</v>
      </c>
      <c r="B3986" s="1" t="s">
        <v>4959</v>
      </c>
      <c r="C3986" s="1"/>
      <c r="D3986" s="1"/>
      <c r="E3986" s="1"/>
      <c r="F3986" s="1"/>
      <c r="G3986" s="1"/>
      <c r="H3986" s="1" t="str">
        <f>"7800060039056"</f>
        <v>7800060039056</v>
      </c>
      <c r="I3986" s="3">
        <v>1</v>
      </c>
      <c r="J3986" s="3">
        <v>0</v>
      </c>
      <c r="K3986" s="3">
        <v>21000</v>
      </c>
    </row>
    <row r="3987" spans="1:11" x14ac:dyDescent="0.2">
      <c r="A3987" s="1" t="s">
        <v>4994</v>
      </c>
      <c r="B3987" s="1" t="s">
        <v>4960</v>
      </c>
      <c r="C3987" s="1"/>
      <c r="D3987" s="1"/>
      <c r="E3987" s="1"/>
      <c r="F3987" s="1"/>
      <c r="G3987" s="1"/>
      <c r="H3987" s="1" t="str">
        <f>"7800060038912"</f>
        <v>7800060038912</v>
      </c>
      <c r="I3987" s="3">
        <v>7</v>
      </c>
      <c r="J3987" s="3">
        <v>0</v>
      </c>
      <c r="K3987" s="3">
        <v>21000</v>
      </c>
    </row>
    <row r="3988" spans="1:11" x14ac:dyDescent="0.2">
      <c r="A3988" s="1" t="s">
        <v>4994</v>
      </c>
      <c r="B3988" s="1" t="s">
        <v>4961</v>
      </c>
      <c r="C3988" s="1"/>
      <c r="D3988" s="1"/>
      <c r="E3988" s="1"/>
      <c r="F3988" s="1"/>
      <c r="G3988" s="1"/>
      <c r="H3988" s="1" t="str">
        <f>"841058000693"</f>
        <v>841058000693</v>
      </c>
      <c r="I3988" s="3">
        <v>0</v>
      </c>
      <c r="J3988" s="3">
        <v>0</v>
      </c>
      <c r="K3988" s="3">
        <v>1000</v>
      </c>
    </row>
    <row r="3989" spans="1:11" x14ac:dyDescent="0.2">
      <c r="A3989" s="1" t="s">
        <v>4994</v>
      </c>
      <c r="B3989" s="1" t="s">
        <v>4962</v>
      </c>
      <c r="C3989" s="1"/>
      <c r="D3989" s="1"/>
      <c r="E3989" s="1"/>
      <c r="F3989" s="1"/>
      <c r="G3989" s="1"/>
      <c r="H3989" s="1" t="str">
        <f>"7502214734557"</f>
        <v>7502214734557</v>
      </c>
      <c r="I3989" s="3">
        <v>0</v>
      </c>
      <c r="J3989" s="3">
        <v>0</v>
      </c>
      <c r="K3989" s="3">
        <v>6000</v>
      </c>
    </row>
    <row r="3990" spans="1:11" x14ac:dyDescent="0.2">
      <c r="A3990" s="1" t="s">
        <v>4994</v>
      </c>
      <c r="B3990" s="1" t="s">
        <v>4963</v>
      </c>
      <c r="C3990" s="1"/>
      <c r="D3990" s="1"/>
      <c r="E3990" s="1"/>
      <c r="F3990" s="1"/>
      <c r="G3990" s="1"/>
      <c r="H3990" s="1" t="str">
        <f>"7591066711014"</f>
        <v>7591066711014</v>
      </c>
      <c r="I3990" s="3">
        <v>0</v>
      </c>
      <c r="J3990" s="3">
        <v>0</v>
      </c>
      <c r="K3990" s="3">
        <v>1000</v>
      </c>
    </row>
    <row r="3991" spans="1:11" x14ac:dyDescent="0.2">
      <c r="A3991" s="1" t="s">
        <v>4994</v>
      </c>
      <c r="B3991" s="1" t="s">
        <v>4964</v>
      </c>
      <c r="C3991" s="1"/>
      <c r="D3991" s="1"/>
      <c r="E3991" s="1"/>
      <c r="F3991" s="1"/>
      <c r="G3991" s="1"/>
      <c r="H3991" s="1" t="str">
        <f>"7591066721020"</f>
        <v>7591066721020</v>
      </c>
      <c r="I3991" s="3">
        <v>0</v>
      </c>
      <c r="J3991" s="3">
        <v>0</v>
      </c>
      <c r="K3991" s="3">
        <v>1000</v>
      </c>
    </row>
    <row r="3992" spans="1:11" x14ac:dyDescent="0.2">
      <c r="A3992" s="1" t="s">
        <v>4994</v>
      </c>
      <c r="B3992" s="1" t="s">
        <v>4966</v>
      </c>
      <c r="C3992" s="1"/>
      <c r="D3992" s="1"/>
      <c r="E3992" s="1"/>
      <c r="F3992" s="1"/>
      <c r="G3992" s="1"/>
      <c r="H3992" s="1" t="str">
        <f>"7809591400144"</f>
        <v>7809591400144</v>
      </c>
      <c r="I3992" s="3">
        <v>0</v>
      </c>
      <c r="J3992" s="3">
        <v>0</v>
      </c>
      <c r="K3992" s="3">
        <v>500</v>
      </c>
    </row>
    <row r="3993" spans="1:11" x14ac:dyDescent="0.2">
      <c r="A3993" s="1" t="s">
        <v>4994</v>
      </c>
      <c r="B3993" s="1" t="s">
        <v>4969</v>
      </c>
      <c r="C3993" s="1"/>
      <c r="D3993" s="1"/>
      <c r="E3993" s="1"/>
      <c r="F3993" s="1"/>
      <c r="G3993" s="1"/>
      <c r="H3993" s="1" t="str">
        <f>"7800004003747"</f>
        <v>7800004003747</v>
      </c>
      <c r="I3993" s="3">
        <v>3</v>
      </c>
      <c r="J3993" s="3">
        <v>0</v>
      </c>
      <c r="K3993" s="3">
        <v>4900</v>
      </c>
    </row>
    <row r="3994" spans="1:11" x14ac:dyDescent="0.2">
      <c r="A3994" s="1" t="s">
        <v>4994</v>
      </c>
      <c r="B3994" s="1" t="s">
        <v>4970</v>
      </c>
      <c r="C3994" s="1"/>
      <c r="D3994" s="1"/>
      <c r="E3994" s="1"/>
      <c r="F3994" s="1"/>
      <c r="G3994" s="1"/>
      <c r="H3994" s="1" t="str">
        <f>"7800004004539"</f>
        <v>7800004004539</v>
      </c>
      <c r="I3994" s="3">
        <v>6</v>
      </c>
      <c r="J3994" s="3">
        <v>0</v>
      </c>
      <c r="K3994" s="3">
        <v>5800</v>
      </c>
    </row>
    <row r="3995" spans="1:11" x14ac:dyDescent="0.2">
      <c r="A3995" s="1" t="s">
        <v>4994</v>
      </c>
      <c r="B3995" s="1" t="s">
        <v>4971</v>
      </c>
      <c r="C3995" s="1"/>
      <c r="D3995" s="1"/>
      <c r="E3995" s="1"/>
      <c r="F3995" s="1"/>
      <c r="G3995" s="1"/>
      <c r="H3995" s="1" t="str">
        <f>"7800004004508"</f>
        <v>7800004004508</v>
      </c>
      <c r="I3995" s="3">
        <v>7</v>
      </c>
      <c r="J3995" s="3">
        <v>0</v>
      </c>
      <c r="K3995" s="3">
        <v>5000</v>
      </c>
    </row>
    <row r="3996" spans="1:11" x14ac:dyDescent="0.2">
      <c r="A3996" s="1" t="s">
        <v>4994</v>
      </c>
      <c r="B3996" s="1" t="s">
        <v>4972</v>
      </c>
      <c r="C3996" s="1"/>
      <c r="D3996" s="1"/>
      <c r="E3996" s="1"/>
      <c r="F3996" s="1"/>
      <c r="G3996" s="1"/>
      <c r="H3996" s="1" t="str">
        <f>"YAOZ"</f>
        <v>YAOZ</v>
      </c>
      <c r="I3996" s="3">
        <v>0</v>
      </c>
      <c r="J3996" s="3">
        <v>0</v>
      </c>
      <c r="K3996" s="3">
        <v>2000</v>
      </c>
    </row>
    <row r="3997" spans="1:11" x14ac:dyDescent="0.2">
      <c r="A3997" s="1" t="s">
        <v>4994</v>
      </c>
      <c r="B3997" s="1" t="s">
        <v>4973</v>
      </c>
      <c r="C3997" s="1"/>
      <c r="D3997" s="1"/>
      <c r="E3997" s="1"/>
      <c r="F3997" s="1"/>
      <c r="G3997" s="1"/>
      <c r="H3997" s="1" t="str">
        <f>"YAOZ5"</f>
        <v>YAOZ5</v>
      </c>
      <c r="I3997" s="3">
        <v>0</v>
      </c>
      <c r="J3997" s="3">
        <v>0</v>
      </c>
      <c r="K3997" s="3">
        <v>3000</v>
      </c>
    </row>
    <row r="3998" spans="1:11" x14ac:dyDescent="0.2">
      <c r="A3998" s="1" t="s">
        <v>4994</v>
      </c>
      <c r="B3998" s="1" t="s">
        <v>4974</v>
      </c>
      <c r="C3998" s="1"/>
      <c r="D3998" s="1"/>
      <c r="E3998" s="1"/>
      <c r="F3998" s="1"/>
      <c r="G3998" s="1"/>
      <c r="H3998" s="1" t="str">
        <f>"3662042004667"</f>
        <v>3662042004667</v>
      </c>
      <c r="I3998" s="3">
        <v>0</v>
      </c>
      <c r="J3998" s="3">
        <v>0</v>
      </c>
      <c r="K3998" s="3">
        <v>23000</v>
      </c>
    </row>
    <row r="3999" spans="1:11" x14ac:dyDescent="0.2">
      <c r="A3999" s="1" t="s">
        <v>4994</v>
      </c>
      <c r="B3999" s="1" t="s">
        <v>4975</v>
      </c>
      <c r="C3999" s="1"/>
      <c r="D3999" s="1"/>
      <c r="E3999" s="1"/>
      <c r="F3999" s="1"/>
      <c r="G3999" s="1"/>
      <c r="H3999" s="1" t="str">
        <f>"7804669530006"</f>
        <v>7804669530006</v>
      </c>
      <c r="I3999" s="3">
        <v>0</v>
      </c>
      <c r="J3999" s="3">
        <v>0</v>
      </c>
      <c r="K3999" s="3">
        <v>20000</v>
      </c>
    </row>
    <row r="4000" spans="1:11" x14ac:dyDescent="0.2">
      <c r="A4000" s="1" t="s">
        <v>4994</v>
      </c>
      <c r="B4000" s="1" t="s">
        <v>4976</v>
      </c>
      <c r="C4000" s="1"/>
      <c r="D4000" s="1"/>
      <c r="E4000" s="1"/>
      <c r="F4000" s="1"/>
      <c r="G4000" s="1"/>
      <c r="H4000" s="1" t="str">
        <f>"7898357410015"</f>
        <v>7898357410015</v>
      </c>
      <c r="I4000" s="3">
        <v>5</v>
      </c>
      <c r="J4000" s="3">
        <v>0</v>
      </c>
      <c r="K4000" s="3">
        <v>0</v>
      </c>
    </row>
    <row r="4001" spans="1:11" x14ac:dyDescent="0.2">
      <c r="A4001" s="1" t="s">
        <v>4994</v>
      </c>
      <c r="B4001" s="1" t="s">
        <v>4977</v>
      </c>
      <c r="C4001" s="1"/>
      <c r="D4001" s="1"/>
      <c r="E4001" s="1"/>
      <c r="F4001" s="1"/>
      <c r="G4001" s="1"/>
      <c r="H4001" s="1" t="str">
        <f>"7804633500868"</f>
        <v>7804633500868</v>
      </c>
      <c r="I4001" s="3">
        <v>0</v>
      </c>
      <c r="J4001" s="3">
        <v>0</v>
      </c>
      <c r="K4001" s="3">
        <v>500</v>
      </c>
    </row>
    <row r="4002" spans="1:11" x14ac:dyDescent="0.2">
      <c r="A4002" s="1" t="s">
        <v>4994</v>
      </c>
      <c r="B4002" s="1" t="s">
        <v>4978</v>
      </c>
      <c r="C4002" s="1"/>
      <c r="D4002" s="1"/>
      <c r="E4002" s="1"/>
      <c r="F4002" s="1"/>
      <c r="G4002" s="1"/>
      <c r="H4002" s="1" t="str">
        <f>"7804650887041"</f>
        <v>7804650887041</v>
      </c>
      <c r="I4002" s="3">
        <v>3</v>
      </c>
      <c r="J4002" s="3">
        <v>0</v>
      </c>
      <c r="K4002" s="3">
        <v>25000</v>
      </c>
    </row>
    <row r="4003" spans="1:11" x14ac:dyDescent="0.2">
      <c r="A4003" s="1" t="s">
        <v>4994</v>
      </c>
      <c r="B4003" s="1" t="s">
        <v>4979</v>
      </c>
      <c r="C4003" s="1"/>
      <c r="D4003" s="1"/>
      <c r="E4003" s="1"/>
      <c r="F4003" s="1"/>
      <c r="G4003" s="1"/>
      <c r="H4003" s="1" t="str">
        <f>"7804650882831"</f>
        <v>7804650882831</v>
      </c>
      <c r="I4003" s="3">
        <v>0</v>
      </c>
      <c r="J4003" s="3">
        <v>0</v>
      </c>
      <c r="K4003" s="3">
        <v>28000</v>
      </c>
    </row>
    <row r="4004" spans="1:11" x14ac:dyDescent="0.2">
      <c r="A4004" s="1" t="s">
        <v>4994</v>
      </c>
      <c r="B4004" s="1" t="s">
        <v>4980</v>
      </c>
      <c r="C4004" s="1"/>
      <c r="D4004" s="1"/>
      <c r="E4004" s="1"/>
      <c r="F4004" s="1"/>
      <c r="G4004" s="1"/>
      <c r="H4004" s="1" t="str">
        <f>"4022679145314"</f>
        <v>4022679145314</v>
      </c>
      <c r="I4004" s="3">
        <v>1</v>
      </c>
      <c r="J4004" s="3">
        <v>0</v>
      </c>
      <c r="K4004" s="3">
        <v>5500</v>
      </c>
    </row>
    <row r="4005" spans="1:11" x14ac:dyDescent="0.2">
      <c r="A4005" s="1" t="s">
        <v>4994</v>
      </c>
      <c r="B4005" s="1" t="s">
        <v>4981</v>
      </c>
      <c r="C4005" s="1"/>
      <c r="D4005" s="1"/>
      <c r="E4005" s="1"/>
      <c r="F4005" s="1"/>
      <c r="G4005" s="1"/>
      <c r="H4005" s="1" t="str">
        <f>"7809591401240"</f>
        <v>7809591401240</v>
      </c>
      <c r="I4005" s="3">
        <v>0</v>
      </c>
      <c r="J4005" s="3">
        <v>0</v>
      </c>
      <c r="K4005" s="3">
        <v>11000</v>
      </c>
    </row>
    <row r="4006" spans="1:11" x14ac:dyDescent="0.2">
      <c r="A4006" s="1" t="s">
        <v>4994</v>
      </c>
      <c r="B4006" s="1" t="s">
        <v>4982</v>
      </c>
      <c r="C4006" s="1"/>
      <c r="D4006" s="1"/>
      <c r="E4006" s="1"/>
      <c r="F4006" s="1"/>
      <c r="G4006" s="1"/>
      <c r="H4006" s="1" t="str">
        <f>"7809591402582"</f>
        <v>7809591402582</v>
      </c>
      <c r="I4006" s="3">
        <v>0</v>
      </c>
      <c r="J4006" s="3">
        <v>0</v>
      </c>
      <c r="K4006" s="3">
        <v>11000</v>
      </c>
    </row>
    <row r="4007" spans="1:11" x14ac:dyDescent="0.2">
      <c r="A4007" s="1" t="s">
        <v>4994</v>
      </c>
      <c r="B4007" s="1" t="s">
        <v>4984</v>
      </c>
      <c r="C4007" s="1"/>
      <c r="D4007" s="1"/>
      <c r="E4007" s="1"/>
      <c r="F4007" s="1"/>
      <c r="G4007" s="1"/>
      <c r="H4007" s="1" t="str">
        <f>"6926713621155"</f>
        <v>6926713621155</v>
      </c>
      <c r="I4007" s="3">
        <v>0</v>
      </c>
      <c r="J4007" s="3">
        <v>0</v>
      </c>
      <c r="K4007" s="3">
        <v>3500</v>
      </c>
    </row>
    <row r="4008" spans="1:11" x14ac:dyDescent="0.2">
      <c r="A4008" s="1" t="s">
        <v>4994</v>
      </c>
      <c r="B4008" s="1" t="s">
        <v>4985</v>
      </c>
      <c r="C4008" s="1"/>
      <c r="D4008" s="1"/>
      <c r="E4008" s="1"/>
      <c r="F4008" s="1"/>
      <c r="G4008" s="1"/>
      <c r="H4008" s="1" t="str">
        <f>"7804612011729"</f>
        <v>7804612011729</v>
      </c>
      <c r="I4008" s="3">
        <v>2</v>
      </c>
      <c r="J4008" s="3">
        <v>0</v>
      </c>
      <c r="K4008" s="3">
        <v>19000</v>
      </c>
    </row>
    <row r="4009" spans="1:11" x14ac:dyDescent="0.2">
      <c r="A4009" s="1" t="s">
        <v>4994</v>
      </c>
      <c r="B4009" s="1" t="s">
        <v>4986</v>
      </c>
      <c r="C4009" s="1"/>
      <c r="D4009" s="1"/>
      <c r="E4009" s="1"/>
      <c r="F4009" s="1"/>
      <c r="G4009" s="1"/>
      <c r="H4009" s="1" t="str">
        <f>"7800060125803"</f>
        <v>7800060125803</v>
      </c>
      <c r="I4009" s="3">
        <v>2</v>
      </c>
      <c r="J4009" s="3">
        <v>0</v>
      </c>
      <c r="K4009" s="3">
        <v>12500</v>
      </c>
    </row>
    <row r="4010" spans="1:11" x14ac:dyDescent="0.2">
      <c r="A4010" s="1" t="s">
        <v>4994</v>
      </c>
      <c r="B4010" s="1" t="s">
        <v>4987</v>
      </c>
      <c r="C4010" s="1"/>
      <c r="D4010" s="1"/>
      <c r="E4010" s="1"/>
      <c r="F4010" s="1"/>
      <c r="G4010" s="1"/>
      <c r="H4010" s="1" t="str">
        <f>"7804633500738"</f>
        <v>7804633500738</v>
      </c>
      <c r="I4010" s="3">
        <v>0</v>
      </c>
      <c r="J4010" s="3">
        <v>0</v>
      </c>
      <c r="K4010" s="3">
        <v>8000</v>
      </c>
    </row>
    <row r="4011" spans="1:11" x14ac:dyDescent="0.2">
      <c r="A4011" s="1" t="s">
        <v>4994</v>
      </c>
      <c r="B4011" s="1" t="s">
        <v>4990</v>
      </c>
      <c r="C4011" s="1"/>
      <c r="D4011" s="1"/>
      <c r="E4011" s="1"/>
      <c r="F4011" s="1"/>
      <c r="G4011" s="1"/>
      <c r="H4011" s="1" t="str">
        <f>"7800063310640"</f>
        <v>7800063310640</v>
      </c>
      <c r="I4011" s="3">
        <v>0</v>
      </c>
      <c r="J4011" s="3">
        <v>0</v>
      </c>
      <c r="K4011" s="3">
        <v>2000</v>
      </c>
    </row>
    <row r="4012" spans="1:11" x14ac:dyDescent="0.2">
      <c r="A4012" s="1" t="s">
        <v>4994</v>
      </c>
      <c r="B4012" s="1" t="s">
        <v>4993</v>
      </c>
      <c r="C4012" s="1"/>
      <c r="D4012" s="1"/>
      <c r="E4012" s="1"/>
      <c r="F4012" s="1"/>
      <c r="G4012" s="1"/>
      <c r="H4012" s="1" t="str">
        <f>"7800007803023"</f>
        <v>7800007803023</v>
      </c>
      <c r="I4012" s="3">
        <v>0</v>
      </c>
      <c r="J4012" s="3">
        <v>0</v>
      </c>
      <c r="K4012" s="3">
        <v>10000</v>
      </c>
    </row>
    <row r="4013" spans="1:11" x14ac:dyDescent="0.2">
      <c r="A4013" s="1" t="s">
        <v>1687</v>
      </c>
      <c r="B4013" s="1" t="s">
        <v>1688</v>
      </c>
      <c r="C4013" s="1"/>
      <c r="D4013" s="1"/>
      <c r="E4013" s="1"/>
      <c r="F4013" s="1"/>
      <c r="G4013" s="1"/>
      <c r="H4013" s="1" t="str">
        <f>"7502268549794"</f>
        <v>7502268549794</v>
      </c>
      <c r="I4013" s="3">
        <v>29</v>
      </c>
      <c r="J4013" s="3">
        <v>0</v>
      </c>
      <c r="K4013" s="3">
        <v>2000</v>
      </c>
    </row>
    <row r="4014" spans="1:11" x14ac:dyDescent="0.2">
      <c r="A4014" s="1" t="s">
        <v>1687</v>
      </c>
      <c r="B4014" s="1" t="s">
        <v>1689</v>
      </c>
      <c r="C4014" s="1"/>
      <c r="D4014" s="1"/>
      <c r="E4014" s="1"/>
      <c r="F4014" s="1"/>
      <c r="G4014" s="1"/>
      <c r="H4014" s="1" t="str">
        <f>"7502268541675"</f>
        <v>7502268541675</v>
      </c>
      <c r="I4014" s="3">
        <v>20</v>
      </c>
      <c r="J4014" s="3">
        <v>0</v>
      </c>
      <c r="K4014" s="3">
        <v>2000</v>
      </c>
    </row>
    <row r="4015" spans="1:11" x14ac:dyDescent="0.2">
      <c r="A4015" s="1" t="s">
        <v>1687</v>
      </c>
      <c r="B4015" s="1" t="s">
        <v>1690</v>
      </c>
      <c r="C4015" s="1"/>
      <c r="D4015" s="1"/>
      <c r="E4015" s="1"/>
      <c r="F4015" s="1"/>
      <c r="G4015" s="1"/>
      <c r="H4015" s="1" t="str">
        <f>"7502268541644"</f>
        <v>7502268541644</v>
      </c>
      <c r="I4015" s="3">
        <v>44</v>
      </c>
      <c r="J4015" s="3">
        <v>0</v>
      </c>
      <c r="K4015" s="3">
        <v>2000</v>
      </c>
    </row>
    <row r="4016" spans="1:11" x14ac:dyDescent="0.2">
      <c r="A4016" s="1" t="s">
        <v>1687</v>
      </c>
      <c r="B4016" s="1" t="s">
        <v>1691</v>
      </c>
      <c r="C4016" s="1"/>
      <c r="D4016" s="1"/>
      <c r="E4016" s="1"/>
      <c r="F4016" s="1"/>
      <c r="G4016" s="1"/>
      <c r="H4016" s="1" t="str">
        <f>"7502268549305"</f>
        <v>7502268549305</v>
      </c>
      <c r="I4016" s="3">
        <v>20</v>
      </c>
      <c r="J4016" s="3">
        <v>0</v>
      </c>
      <c r="K4016" s="3">
        <v>2000</v>
      </c>
    </row>
    <row r="4017" spans="1:11" x14ac:dyDescent="0.2">
      <c r="A4017" s="1" t="s">
        <v>1687</v>
      </c>
      <c r="B4017" s="1" t="s">
        <v>1692</v>
      </c>
      <c r="C4017" s="1"/>
      <c r="D4017" s="1"/>
      <c r="E4017" s="1"/>
      <c r="F4017" s="1"/>
      <c r="G4017" s="1"/>
      <c r="H4017" s="1" t="str">
        <f>"7502268541668"</f>
        <v>7502268541668</v>
      </c>
      <c r="I4017" s="3">
        <v>26</v>
      </c>
      <c r="J4017" s="3">
        <v>0</v>
      </c>
      <c r="K4017" s="3">
        <v>2000</v>
      </c>
    </row>
    <row r="4018" spans="1:11" x14ac:dyDescent="0.2">
      <c r="A4018" s="1" t="s">
        <v>1687</v>
      </c>
      <c r="B4018" s="1" t="s">
        <v>1693</v>
      </c>
      <c r="C4018" s="1"/>
      <c r="D4018" s="1"/>
      <c r="E4018" s="1"/>
      <c r="F4018" s="1"/>
      <c r="G4018" s="1"/>
      <c r="H4018" s="1" t="str">
        <f>"7502268541651"</f>
        <v>7502268541651</v>
      </c>
      <c r="I4018" s="3">
        <v>30</v>
      </c>
      <c r="J4018" s="3">
        <v>0</v>
      </c>
      <c r="K4018" s="3">
        <v>2000</v>
      </c>
    </row>
    <row r="4019" spans="1:11" x14ac:dyDescent="0.2">
      <c r="A4019" s="1" t="s">
        <v>1687</v>
      </c>
      <c r="B4019" s="1" t="s">
        <v>3117</v>
      </c>
      <c r="C4019" s="1"/>
      <c r="D4019" s="1"/>
      <c r="E4019" s="1"/>
      <c r="F4019" s="1"/>
      <c r="G4019" s="1"/>
      <c r="H4019" s="1" t="str">
        <f>"070847035800"</f>
        <v>070847035800</v>
      </c>
      <c r="I4019" s="3">
        <v>13</v>
      </c>
      <c r="J4019" s="3">
        <v>0</v>
      </c>
      <c r="K4019" s="3">
        <v>2000</v>
      </c>
    </row>
    <row r="4020" spans="1:11" x14ac:dyDescent="0.2">
      <c r="A4020" s="1" t="s">
        <v>1687</v>
      </c>
      <c r="B4020" s="1" t="s">
        <v>3119</v>
      </c>
      <c r="C4020" s="1"/>
      <c r="D4020" s="1"/>
      <c r="E4020" s="1"/>
      <c r="F4020" s="1"/>
      <c r="G4020" s="1"/>
      <c r="H4020" s="1" t="str">
        <f>"070847035206"</f>
        <v>070847035206</v>
      </c>
      <c r="I4020" s="3">
        <v>5</v>
      </c>
      <c r="J4020" s="3">
        <v>0</v>
      </c>
      <c r="K4020" s="3">
        <v>2000</v>
      </c>
    </row>
    <row r="4021" spans="1:11" x14ac:dyDescent="0.2">
      <c r="A4021" s="1" t="s">
        <v>1687</v>
      </c>
      <c r="B4021" s="1" t="s">
        <v>3121</v>
      </c>
      <c r="C4021" s="1"/>
      <c r="D4021" s="1"/>
      <c r="E4021" s="1"/>
      <c r="F4021" s="1"/>
      <c r="G4021" s="1"/>
      <c r="H4021" s="1" t="str">
        <f>"070847021964"</f>
        <v>070847021964</v>
      </c>
      <c r="I4021" s="3">
        <v>5</v>
      </c>
      <c r="J4021" s="3">
        <v>0</v>
      </c>
      <c r="K4021" s="3">
        <v>2000</v>
      </c>
    </row>
    <row r="4022" spans="1:11" x14ac:dyDescent="0.2">
      <c r="A4022" s="1" t="s">
        <v>1687</v>
      </c>
      <c r="B4022" s="1" t="s">
        <v>3122</v>
      </c>
      <c r="C4022" s="1"/>
      <c r="D4022" s="1"/>
      <c r="E4022" s="1"/>
      <c r="F4022" s="1"/>
      <c r="G4022" s="1"/>
      <c r="H4022" s="1" t="str">
        <f>"070847009511"</f>
        <v>070847009511</v>
      </c>
      <c r="I4022" s="3">
        <v>17</v>
      </c>
      <c r="J4022" s="3">
        <v>0</v>
      </c>
      <c r="K4022" s="3">
        <v>2000</v>
      </c>
    </row>
    <row r="4023" spans="1:11" x14ac:dyDescent="0.2">
      <c r="A4023" s="1" t="s">
        <v>1687</v>
      </c>
      <c r="B4023" s="1" t="s">
        <v>4374</v>
      </c>
      <c r="C4023" s="1"/>
      <c r="D4023" s="1"/>
      <c r="E4023" s="1"/>
      <c r="F4023" s="1"/>
      <c r="G4023" s="1"/>
      <c r="H4023" s="1" t="str">
        <f>"7804651931903"</f>
        <v>7804651931903</v>
      </c>
      <c r="I4023" s="3">
        <v>19</v>
      </c>
      <c r="J4023" s="3">
        <v>0</v>
      </c>
      <c r="K4023" s="3">
        <v>2500</v>
      </c>
    </row>
    <row r="4024" spans="1:11" x14ac:dyDescent="0.2">
      <c r="A4024" s="1" t="s">
        <v>1687</v>
      </c>
      <c r="B4024" s="1" t="s">
        <v>4375</v>
      </c>
      <c r="C4024" s="1"/>
      <c r="D4024" s="1"/>
      <c r="E4024" s="1"/>
      <c r="F4024" s="1"/>
      <c r="G4024" s="1"/>
      <c r="H4024" s="1" t="str">
        <f>"7804651931934"</f>
        <v>7804651931934</v>
      </c>
      <c r="I4024" s="3">
        <v>1</v>
      </c>
      <c r="J4024" s="3">
        <v>0</v>
      </c>
      <c r="K4024" s="3">
        <v>2500</v>
      </c>
    </row>
    <row r="4025" spans="1:11" x14ac:dyDescent="0.2">
      <c r="A4025" s="1" t="s">
        <v>1687</v>
      </c>
      <c r="B4025" s="1" t="s">
        <v>4376</v>
      </c>
      <c r="C4025" s="1"/>
      <c r="D4025" s="1"/>
      <c r="E4025" s="1"/>
      <c r="F4025" s="1"/>
      <c r="G4025" s="1"/>
      <c r="H4025" s="1" t="str">
        <f>"7804651938094"</f>
        <v>7804651938094</v>
      </c>
      <c r="I4025" s="3">
        <v>18</v>
      </c>
      <c r="J4025" s="3">
        <v>0</v>
      </c>
      <c r="K4025" s="3">
        <v>2500</v>
      </c>
    </row>
    <row r="4026" spans="1:11" x14ac:dyDescent="0.2">
      <c r="A4026" s="1" t="s">
        <v>1687</v>
      </c>
      <c r="B4026" s="1" t="s">
        <v>4377</v>
      </c>
      <c r="C4026" s="1"/>
      <c r="D4026" s="1"/>
      <c r="E4026" s="1"/>
      <c r="F4026" s="1"/>
      <c r="G4026" s="1"/>
      <c r="H4026" s="1" t="str">
        <f>"7804651937806"</f>
        <v>7804651937806</v>
      </c>
      <c r="I4026" s="3">
        <v>2</v>
      </c>
      <c r="J4026" s="3">
        <v>0</v>
      </c>
      <c r="K4026" s="3">
        <v>2500</v>
      </c>
    </row>
    <row r="4027" spans="1:11" x14ac:dyDescent="0.2">
      <c r="A4027" s="1" t="s">
        <v>1687</v>
      </c>
      <c r="B4027" s="1" t="s">
        <v>4379</v>
      </c>
      <c r="C4027" s="1"/>
      <c r="D4027" s="1"/>
      <c r="E4027" s="1"/>
      <c r="F4027" s="1"/>
      <c r="G4027" s="1"/>
      <c r="H4027" s="1" t="str">
        <f>"7804651935581"</f>
        <v>7804651935581</v>
      </c>
      <c r="I4027" s="3">
        <v>4</v>
      </c>
      <c r="J4027" s="3">
        <v>0</v>
      </c>
      <c r="K4027" s="3">
        <v>2500</v>
      </c>
    </row>
    <row r="4028" spans="1:11" x14ac:dyDescent="0.2">
      <c r="A4028" s="1" t="s">
        <v>1687</v>
      </c>
      <c r="B4028" s="1" t="s">
        <v>4381</v>
      </c>
      <c r="C4028" s="1"/>
      <c r="D4028" s="1"/>
      <c r="E4028" s="1"/>
      <c r="F4028" s="1"/>
      <c r="G4028" s="1"/>
      <c r="H4028" s="1" t="str">
        <f>"7804651931910"</f>
        <v>7804651931910</v>
      </c>
      <c r="I4028" s="3">
        <v>22</v>
      </c>
      <c r="J4028" s="3">
        <v>0</v>
      </c>
      <c r="K4028" s="3">
        <v>2500</v>
      </c>
    </row>
    <row r="4029" spans="1:11" x14ac:dyDescent="0.2">
      <c r="A4029" s="1" t="s">
        <v>9</v>
      </c>
      <c r="B4029" s="1" t="s">
        <v>10</v>
      </c>
      <c r="C4029" s="1"/>
      <c r="D4029" s="1"/>
      <c r="E4029" s="1"/>
      <c r="F4029" s="1"/>
      <c r="G4029" s="1"/>
      <c r="H4029" s="1" t="str">
        <f>"7804677770388"</f>
        <v>7804677770388</v>
      </c>
      <c r="I4029" s="3">
        <v>0</v>
      </c>
      <c r="J4029" s="3">
        <v>0</v>
      </c>
      <c r="K4029" s="3">
        <v>7500</v>
      </c>
    </row>
    <row r="4030" spans="1:11" x14ac:dyDescent="0.2">
      <c r="A4030" s="1" t="s">
        <v>9</v>
      </c>
      <c r="B4030" s="1" t="s">
        <v>13</v>
      </c>
      <c r="C4030" s="1"/>
      <c r="D4030" s="1"/>
      <c r="E4030" s="1"/>
      <c r="F4030" s="1"/>
      <c r="G4030" s="1"/>
      <c r="H4030" s="1" t="str">
        <f>"7800060005754"</f>
        <v>7800060005754</v>
      </c>
      <c r="I4030" s="3">
        <v>40</v>
      </c>
      <c r="J4030" s="3">
        <v>0</v>
      </c>
      <c r="K4030" s="3">
        <v>4500</v>
      </c>
    </row>
    <row r="4031" spans="1:11" x14ac:dyDescent="0.2">
      <c r="A4031" s="1" t="s">
        <v>9</v>
      </c>
      <c r="B4031" s="1" t="s">
        <v>14</v>
      </c>
      <c r="C4031" s="1"/>
      <c r="D4031" s="1"/>
      <c r="E4031" s="1"/>
      <c r="F4031" s="1"/>
      <c r="G4031" s="1"/>
      <c r="H4031" s="1" t="str">
        <f>"7800060005723"</f>
        <v>7800060005723</v>
      </c>
      <c r="I4031" s="3">
        <v>100</v>
      </c>
      <c r="J4031" s="3">
        <v>0</v>
      </c>
      <c r="K4031" s="3">
        <v>4500</v>
      </c>
    </row>
    <row r="4032" spans="1:11" x14ac:dyDescent="0.2">
      <c r="A4032" s="1" t="s">
        <v>9</v>
      </c>
      <c r="B4032" s="1" t="s">
        <v>37</v>
      </c>
      <c r="C4032" s="1"/>
      <c r="D4032" s="1"/>
      <c r="E4032" s="1"/>
      <c r="F4032" s="1"/>
      <c r="G4032" s="1"/>
      <c r="H4032" s="1" t="str">
        <f>"7800007112583"</f>
        <v>7800007112583</v>
      </c>
      <c r="I4032" s="3">
        <v>0</v>
      </c>
      <c r="J4032" s="3">
        <v>0</v>
      </c>
      <c r="K4032" s="3">
        <v>3800</v>
      </c>
    </row>
    <row r="4033" spans="1:11" x14ac:dyDescent="0.2">
      <c r="A4033" s="1" t="s">
        <v>9</v>
      </c>
      <c r="B4033" s="1" t="s">
        <v>42</v>
      </c>
      <c r="C4033" s="1"/>
      <c r="D4033" s="1"/>
      <c r="E4033" s="1"/>
      <c r="F4033" s="1"/>
      <c r="G4033" s="1"/>
      <c r="H4033" s="1" t="str">
        <f>"7800063116372"</f>
        <v>7800063116372</v>
      </c>
      <c r="I4033" s="3">
        <v>0</v>
      </c>
      <c r="J4033" s="3">
        <v>0</v>
      </c>
      <c r="K4033" s="3">
        <v>2500</v>
      </c>
    </row>
    <row r="4034" spans="1:11" x14ac:dyDescent="0.2">
      <c r="A4034" s="1" t="s">
        <v>9</v>
      </c>
      <c r="B4034" s="1" t="s">
        <v>44</v>
      </c>
      <c r="C4034" s="1"/>
      <c r="D4034" s="1"/>
      <c r="E4034" s="1"/>
      <c r="F4034" s="1"/>
      <c r="G4034" s="1"/>
      <c r="H4034" s="1" t="str">
        <f>"8903726209608"</f>
        <v>8903726209608</v>
      </c>
      <c r="I4034" s="3">
        <v>0</v>
      </c>
      <c r="J4034" s="3">
        <v>0</v>
      </c>
      <c r="K4034" s="3">
        <v>4000</v>
      </c>
    </row>
    <row r="4035" spans="1:11" x14ac:dyDescent="0.2">
      <c r="A4035" s="1" t="s">
        <v>9</v>
      </c>
      <c r="B4035" s="1" t="s">
        <v>45</v>
      </c>
      <c r="C4035" s="1"/>
      <c r="D4035" s="1"/>
      <c r="E4035" s="1"/>
      <c r="F4035" s="1"/>
      <c r="G4035" s="1"/>
      <c r="H4035" s="1" t="str">
        <f>"7804673040393"</f>
        <v>7804673040393</v>
      </c>
      <c r="I4035" s="3">
        <v>66</v>
      </c>
      <c r="J4035" s="3">
        <v>0</v>
      </c>
      <c r="K4035" s="3">
        <v>3500</v>
      </c>
    </row>
    <row r="4036" spans="1:11" x14ac:dyDescent="0.2">
      <c r="A4036" s="1" t="s">
        <v>9</v>
      </c>
      <c r="B4036" s="1" t="s">
        <v>51</v>
      </c>
      <c r="C4036" s="1"/>
      <c r="D4036" s="1"/>
      <c r="E4036" s="1"/>
      <c r="F4036" s="1"/>
      <c r="G4036" s="1"/>
      <c r="H4036" s="1" t="str">
        <f>"737186233259"</f>
        <v>737186233259</v>
      </c>
      <c r="I4036" s="3">
        <v>38</v>
      </c>
      <c r="J4036" s="3">
        <v>0</v>
      </c>
      <c r="K4036" s="3">
        <v>1000</v>
      </c>
    </row>
    <row r="4037" spans="1:11" x14ac:dyDescent="0.2">
      <c r="A4037" s="1" t="s">
        <v>9</v>
      </c>
      <c r="B4037" s="1" t="s">
        <v>56</v>
      </c>
      <c r="C4037" s="1"/>
      <c r="D4037" s="1"/>
      <c r="E4037" s="1"/>
      <c r="F4037" s="1"/>
      <c r="G4037" s="1"/>
      <c r="H4037" s="1" t="str">
        <f>"7800063110493"</f>
        <v>7800063110493</v>
      </c>
      <c r="I4037" s="3">
        <v>6</v>
      </c>
      <c r="J4037" s="3">
        <v>0</v>
      </c>
      <c r="K4037" s="3">
        <v>500</v>
      </c>
    </row>
    <row r="4038" spans="1:11" x14ac:dyDescent="0.2">
      <c r="A4038" s="1" t="s">
        <v>9</v>
      </c>
      <c r="B4038" s="1" t="s">
        <v>61</v>
      </c>
      <c r="C4038" s="1"/>
      <c r="D4038" s="1"/>
      <c r="E4038" s="1"/>
      <c r="F4038" s="1"/>
      <c r="G4038" s="1"/>
      <c r="H4038" s="1" t="str">
        <f>"7800063311234"</f>
        <v>7800063311234</v>
      </c>
      <c r="I4038" s="3">
        <v>257</v>
      </c>
      <c r="J4038" s="3">
        <v>0</v>
      </c>
      <c r="K4038" s="3">
        <v>1000</v>
      </c>
    </row>
    <row r="4039" spans="1:11" x14ac:dyDescent="0.2">
      <c r="A4039" s="1" t="s">
        <v>9</v>
      </c>
      <c r="B4039" s="1" t="s">
        <v>65</v>
      </c>
      <c r="C4039" s="1"/>
      <c r="D4039" s="1"/>
      <c r="E4039" s="1"/>
      <c r="F4039" s="1"/>
      <c r="G4039" s="1"/>
      <c r="H4039" s="1" t="str">
        <f>"7800028009381"</f>
        <v>7800028009381</v>
      </c>
      <c r="I4039" s="3">
        <v>0</v>
      </c>
      <c r="J4039" s="3">
        <v>0</v>
      </c>
      <c r="K4039" s="3">
        <v>40000</v>
      </c>
    </row>
    <row r="4040" spans="1:11" x14ac:dyDescent="0.2">
      <c r="A4040" s="1" t="s">
        <v>9</v>
      </c>
      <c r="B4040" s="1" t="s">
        <v>67</v>
      </c>
      <c r="C4040" s="1"/>
      <c r="D4040" s="1"/>
      <c r="E4040" s="1"/>
      <c r="F4040" s="1"/>
      <c r="G4040" s="1"/>
      <c r="H4040" s="1" t="str">
        <f>"7793640992523"</f>
        <v>7793640992523</v>
      </c>
      <c r="I4040" s="3">
        <v>257</v>
      </c>
      <c r="J4040" s="3">
        <v>0</v>
      </c>
      <c r="K4040" s="3">
        <v>5500</v>
      </c>
    </row>
    <row r="4041" spans="1:11" x14ac:dyDescent="0.2">
      <c r="A4041" s="1" t="s">
        <v>9</v>
      </c>
      <c r="B4041" s="1" t="s">
        <v>82</v>
      </c>
      <c r="C4041" s="1"/>
      <c r="D4041" s="1"/>
      <c r="E4041" s="1"/>
      <c r="F4041" s="1"/>
      <c r="G4041" s="1"/>
      <c r="H4041" s="1" t="str">
        <f>"7800046005112"</f>
        <v>7800046005112</v>
      </c>
      <c r="I4041" s="3">
        <v>118</v>
      </c>
      <c r="J4041" s="3">
        <v>0</v>
      </c>
      <c r="K4041" s="3">
        <v>5000</v>
      </c>
    </row>
    <row r="4042" spans="1:11" x14ac:dyDescent="0.2">
      <c r="A4042" s="1" t="s">
        <v>9</v>
      </c>
      <c r="B4042" s="1" t="s">
        <v>152</v>
      </c>
      <c r="C4042" s="1"/>
      <c r="D4042" s="1"/>
      <c r="E4042" s="1"/>
      <c r="F4042" s="1"/>
      <c r="G4042" s="1"/>
      <c r="H4042" s="1" t="str">
        <f>"7800007421883"</f>
        <v>7800007421883</v>
      </c>
      <c r="I4042" s="3">
        <v>9</v>
      </c>
      <c r="J4042" s="3">
        <v>0</v>
      </c>
      <c r="K4042" s="3">
        <v>9500</v>
      </c>
    </row>
    <row r="4043" spans="1:11" x14ac:dyDescent="0.2">
      <c r="A4043" s="1" t="s">
        <v>9</v>
      </c>
      <c r="B4043" s="1" t="s">
        <v>170</v>
      </c>
      <c r="C4043" s="1"/>
      <c r="D4043" s="1"/>
      <c r="E4043" s="1"/>
      <c r="F4043" s="1"/>
      <c r="G4043" s="1"/>
      <c r="H4043" s="1" t="str">
        <f>"7804620835492"</f>
        <v>7804620835492</v>
      </c>
      <c r="I4043" s="3">
        <v>288</v>
      </c>
      <c r="J4043" s="3">
        <v>0</v>
      </c>
      <c r="K4043" s="3">
        <v>2500</v>
      </c>
    </row>
    <row r="4044" spans="1:11" x14ac:dyDescent="0.2">
      <c r="A4044" s="1" t="s">
        <v>9</v>
      </c>
      <c r="B4044" s="1" t="s">
        <v>178</v>
      </c>
      <c r="C4044" s="1"/>
      <c r="D4044" s="1"/>
      <c r="E4044" s="1"/>
      <c r="F4044" s="1"/>
      <c r="G4044" s="1"/>
      <c r="H4044" s="1" t="str">
        <f>"7803510002907"</f>
        <v>7803510002907</v>
      </c>
      <c r="I4044" s="3">
        <v>2</v>
      </c>
      <c r="J4044" s="3">
        <v>0</v>
      </c>
      <c r="K4044" s="3">
        <v>6000</v>
      </c>
    </row>
    <row r="4045" spans="1:11" x14ac:dyDescent="0.2">
      <c r="A4045" s="1" t="s">
        <v>9</v>
      </c>
      <c r="B4045" s="1" t="s">
        <v>192</v>
      </c>
      <c r="C4045" s="1"/>
      <c r="D4045" s="1"/>
      <c r="E4045" s="1"/>
      <c r="F4045" s="1"/>
      <c r="G4045" s="1"/>
      <c r="H4045" s="1" t="str">
        <f>"8902281613707"</f>
        <v>8902281613707</v>
      </c>
      <c r="I4045" s="3">
        <v>249</v>
      </c>
      <c r="J4045" s="3">
        <v>0</v>
      </c>
      <c r="K4045" s="3">
        <v>1000</v>
      </c>
    </row>
    <row r="4046" spans="1:11" x14ac:dyDescent="0.2">
      <c r="A4046" s="1" t="s">
        <v>9</v>
      </c>
      <c r="B4046" s="1" t="s">
        <v>193</v>
      </c>
      <c r="C4046" s="1"/>
      <c r="D4046" s="1"/>
      <c r="E4046" s="1"/>
      <c r="F4046" s="1"/>
      <c r="G4046" s="1"/>
      <c r="H4046" s="1" t="str">
        <f>"7800063001654"</f>
        <v>7800063001654</v>
      </c>
      <c r="I4046" s="3">
        <v>64</v>
      </c>
      <c r="J4046" s="3">
        <v>0</v>
      </c>
      <c r="K4046" s="3">
        <v>1000</v>
      </c>
    </row>
    <row r="4047" spans="1:11" x14ac:dyDescent="0.2">
      <c r="A4047" s="1" t="s">
        <v>9</v>
      </c>
      <c r="B4047" s="1" t="s">
        <v>195</v>
      </c>
      <c r="C4047" s="1"/>
      <c r="D4047" s="1"/>
      <c r="E4047" s="1"/>
      <c r="F4047" s="1"/>
      <c r="G4047" s="1"/>
      <c r="H4047" s="1" t="str">
        <f>"8902281611383"</f>
        <v>8902281611383</v>
      </c>
      <c r="I4047" s="3">
        <v>251</v>
      </c>
      <c r="J4047" s="3">
        <v>0</v>
      </c>
      <c r="K4047" s="3">
        <v>1000</v>
      </c>
    </row>
    <row r="4048" spans="1:11" x14ac:dyDescent="0.2">
      <c r="A4048" s="1" t="s">
        <v>9</v>
      </c>
      <c r="B4048" s="1" t="s">
        <v>205</v>
      </c>
      <c r="C4048" s="1"/>
      <c r="D4048" s="1"/>
      <c r="E4048" s="1"/>
      <c r="F4048" s="1"/>
      <c r="G4048" s="1"/>
      <c r="H4048" s="1" t="str">
        <f>"7800046004757"</f>
        <v>7800046004757</v>
      </c>
      <c r="I4048" s="3">
        <v>0</v>
      </c>
      <c r="J4048" s="3">
        <v>0</v>
      </c>
      <c r="K4048" s="3">
        <v>16000</v>
      </c>
    </row>
    <row r="4049" spans="1:11" x14ac:dyDescent="0.2">
      <c r="A4049" s="1" t="s">
        <v>9</v>
      </c>
      <c r="B4049" s="1" t="s">
        <v>217</v>
      </c>
      <c r="C4049" s="1"/>
      <c r="D4049" s="1"/>
      <c r="E4049" s="1"/>
      <c r="F4049" s="1"/>
      <c r="G4049" s="1"/>
      <c r="H4049" s="1" t="str">
        <f>"7800063110707"</f>
        <v>7800063110707</v>
      </c>
      <c r="I4049" s="3">
        <v>17</v>
      </c>
      <c r="J4049" s="3">
        <v>0</v>
      </c>
      <c r="K4049" s="3">
        <v>3000</v>
      </c>
    </row>
    <row r="4050" spans="1:11" x14ac:dyDescent="0.2">
      <c r="A4050" s="1" t="s">
        <v>9</v>
      </c>
      <c r="B4050" s="1" t="s">
        <v>218</v>
      </c>
      <c r="C4050" s="1"/>
      <c r="D4050" s="1"/>
      <c r="E4050" s="1"/>
      <c r="F4050" s="1"/>
      <c r="G4050" s="1"/>
      <c r="H4050" s="1" t="str">
        <f>"7800007114440"</f>
        <v>7800007114440</v>
      </c>
      <c r="I4050" s="3">
        <v>37</v>
      </c>
      <c r="J4050" s="3">
        <v>0</v>
      </c>
      <c r="K4050" s="3">
        <v>4000</v>
      </c>
    </row>
    <row r="4051" spans="1:11" x14ac:dyDescent="0.2">
      <c r="A4051" s="1" t="s">
        <v>9</v>
      </c>
      <c r="B4051" s="1" t="s">
        <v>219</v>
      </c>
      <c r="C4051" s="1"/>
      <c r="D4051" s="1"/>
      <c r="E4051" s="1"/>
      <c r="F4051" s="1"/>
      <c r="G4051" s="1"/>
      <c r="H4051" s="1" t="str">
        <f>"7804650885887"</f>
        <v>7804650885887</v>
      </c>
      <c r="I4051" s="3">
        <v>4</v>
      </c>
      <c r="J4051" s="3">
        <v>0</v>
      </c>
      <c r="K4051" s="3">
        <v>12000</v>
      </c>
    </row>
    <row r="4052" spans="1:11" x14ac:dyDescent="0.2">
      <c r="A4052" s="1" t="s">
        <v>9</v>
      </c>
      <c r="B4052" s="1" t="s">
        <v>220</v>
      </c>
      <c r="C4052" s="1"/>
      <c r="D4052" s="1"/>
      <c r="E4052" s="1"/>
      <c r="F4052" s="1"/>
      <c r="G4052" s="1"/>
      <c r="H4052" s="1" t="str">
        <f>"7804650882657"</f>
        <v>7804650882657</v>
      </c>
      <c r="I4052" s="3">
        <v>3</v>
      </c>
      <c r="J4052" s="3">
        <v>0</v>
      </c>
      <c r="K4052" s="3">
        <v>11500</v>
      </c>
    </row>
    <row r="4053" spans="1:11" x14ac:dyDescent="0.2">
      <c r="A4053" s="1" t="s">
        <v>9</v>
      </c>
      <c r="B4053" s="1" t="s">
        <v>221</v>
      </c>
      <c r="C4053" s="1"/>
      <c r="D4053" s="1"/>
      <c r="E4053" s="1"/>
      <c r="F4053" s="1"/>
      <c r="G4053" s="1"/>
      <c r="H4053" s="1" t="str">
        <f>"7800063112022"</f>
        <v>7800063112022</v>
      </c>
      <c r="I4053" s="3">
        <v>37</v>
      </c>
      <c r="J4053" s="3">
        <v>0</v>
      </c>
      <c r="K4053" s="3">
        <v>1000</v>
      </c>
    </row>
    <row r="4054" spans="1:11" x14ac:dyDescent="0.2">
      <c r="A4054" s="1" t="s">
        <v>9</v>
      </c>
      <c r="B4054" s="1" t="s">
        <v>222</v>
      </c>
      <c r="C4054" s="1"/>
      <c r="D4054" s="1"/>
      <c r="E4054" s="1"/>
      <c r="F4054" s="1"/>
      <c r="G4054" s="1"/>
      <c r="H4054" s="1" t="str">
        <f>"7804620834945"</f>
        <v>7804620834945</v>
      </c>
      <c r="I4054" s="3">
        <v>33</v>
      </c>
      <c r="J4054" s="3">
        <v>0</v>
      </c>
      <c r="K4054" s="3">
        <v>1000</v>
      </c>
    </row>
    <row r="4055" spans="1:11" x14ac:dyDescent="0.2">
      <c r="A4055" s="1" t="s">
        <v>9</v>
      </c>
      <c r="B4055" s="1" t="s">
        <v>223</v>
      </c>
      <c r="C4055" s="1"/>
      <c r="D4055" s="1"/>
      <c r="E4055" s="1"/>
      <c r="F4055" s="1"/>
      <c r="G4055" s="1"/>
      <c r="H4055" s="1" t="str">
        <f>"7804650880066"</f>
        <v>7804650880066</v>
      </c>
      <c r="I4055" s="3">
        <v>0</v>
      </c>
      <c r="J4055" s="3">
        <v>0</v>
      </c>
      <c r="K4055" s="3">
        <v>1000</v>
      </c>
    </row>
    <row r="4056" spans="1:11" x14ac:dyDescent="0.2">
      <c r="A4056" s="1" t="s">
        <v>9</v>
      </c>
      <c r="B4056" s="1" t="s">
        <v>224</v>
      </c>
      <c r="C4056" s="1"/>
      <c r="D4056" s="1"/>
      <c r="E4056" s="1"/>
      <c r="F4056" s="1"/>
      <c r="G4056" s="1"/>
      <c r="H4056" s="1" t="str">
        <f>"7800068030208"</f>
        <v>7800068030208</v>
      </c>
      <c r="I4056" s="3">
        <v>0</v>
      </c>
      <c r="J4056" s="3">
        <v>0</v>
      </c>
      <c r="K4056" s="3">
        <v>1000</v>
      </c>
    </row>
    <row r="4057" spans="1:11" x14ac:dyDescent="0.2">
      <c r="A4057" s="1" t="s">
        <v>9</v>
      </c>
      <c r="B4057" s="1" t="s">
        <v>225</v>
      </c>
      <c r="C4057" s="1"/>
      <c r="D4057" s="1"/>
      <c r="E4057" s="1"/>
      <c r="F4057" s="1"/>
      <c r="G4057" s="1"/>
      <c r="H4057" s="1" t="str">
        <f>"7804650881797"</f>
        <v>7804650881797</v>
      </c>
      <c r="I4057" s="3">
        <v>30</v>
      </c>
      <c r="J4057" s="3">
        <v>0</v>
      </c>
      <c r="K4057" s="3">
        <v>1000</v>
      </c>
    </row>
    <row r="4058" spans="1:11" x14ac:dyDescent="0.2">
      <c r="A4058" s="1" t="s">
        <v>9</v>
      </c>
      <c r="B4058" s="1" t="s">
        <v>226</v>
      </c>
      <c r="C4058" s="1"/>
      <c r="D4058" s="1"/>
      <c r="E4058" s="1"/>
      <c r="F4058" s="1"/>
      <c r="G4058" s="1"/>
      <c r="H4058" s="1" t="str">
        <f>"7800063116600"</f>
        <v>7800063116600</v>
      </c>
      <c r="I4058" s="3">
        <v>80</v>
      </c>
      <c r="J4058" s="3">
        <v>0</v>
      </c>
      <c r="K4058" s="3">
        <v>1000</v>
      </c>
    </row>
    <row r="4059" spans="1:11" x14ac:dyDescent="0.2">
      <c r="A4059" s="1" t="s">
        <v>9</v>
      </c>
      <c r="B4059" s="1" t="s">
        <v>227</v>
      </c>
      <c r="C4059" s="1"/>
      <c r="D4059" s="1"/>
      <c r="E4059" s="1"/>
      <c r="F4059" s="1"/>
      <c r="G4059" s="1"/>
      <c r="H4059" s="1" t="str">
        <f>"7804620834914"</f>
        <v>7804620834914</v>
      </c>
      <c r="I4059" s="3">
        <v>0</v>
      </c>
      <c r="J4059" s="3">
        <v>0</v>
      </c>
      <c r="K4059" s="3">
        <v>1000</v>
      </c>
    </row>
    <row r="4060" spans="1:11" x14ac:dyDescent="0.2">
      <c r="A4060" s="1" t="s">
        <v>9</v>
      </c>
      <c r="B4060" s="1" t="s">
        <v>228</v>
      </c>
      <c r="C4060" s="1"/>
      <c r="D4060" s="1"/>
      <c r="E4060" s="1"/>
      <c r="F4060" s="1"/>
      <c r="G4060" s="1"/>
      <c r="H4060" s="1" t="str">
        <f>"7800063112039"</f>
        <v>7800063112039</v>
      </c>
      <c r="I4060" s="3">
        <v>143</v>
      </c>
      <c r="J4060" s="3">
        <v>0</v>
      </c>
      <c r="K4060" s="3">
        <v>2800</v>
      </c>
    </row>
    <row r="4061" spans="1:11" x14ac:dyDescent="0.2">
      <c r="A4061" s="1" t="s">
        <v>9</v>
      </c>
      <c r="B4061" s="1" t="s">
        <v>241</v>
      </c>
      <c r="C4061" s="1"/>
      <c r="D4061" s="1"/>
      <c r="E4061" s="1"/>
      <c r="F4061" s="1"/>
      <c r="G4061" s="1"/>
      <c r="H4061" s="1" t="str">
        <f>"7804620833900"</f>
        <v>7804620833900</v>
      </c>
      <c r="I4061" s="3">
        <v>19</v>
      </c>
      <c r="J4061" s="3">
        <v>0</v>
      </c>
      <c r="K4061" s="3">
        <v>5000</v>
      </c>
    </row>
    <row r="4062" spans="1:11" x14ac:dyDescent="0.2">
      <c r="A4062" s="1" t="s">
        <v>9</v>
      </c>
      <c r="B4062" s="1" t="s">
        <v>243</v>
      </c>
      <c r="C4062" s="1"/>
      <c r="D4062" s="1"/>
      <c r="E4062" s="1"/>
      <c r="F4062" s="1"/>
      <c r="G4062" s="1"/>
      <c r="H4062" s="1" t="str">
        <f>"5290931004344"</f>
        <v>5290931004344</v>
      </c>
      <c r="I4062" s="3">
        <v>0</v>
      </c>
      <c r="J4062" s="3">
        <v>0</v>
      </c>
      <c r="K4062" s="3">
        <v>6000</v>
      </c>
    </row>
    <row r="4063" spans="1:11" x14ac:dyDescent="0.2">
      <c r="A4063" s="1" t="s">
        <v>9</v>
      </c>
      <c r="B4063" s="1" t="s">
        <v>245</v>
      </c>
      <c r="C4063" s="1"/>
      <c r="D4063" s="1"/>
      <c r="E4063" s="1"/>
      <c r="F4063" s="1"/>
      <c r="G4063" s="1"/>
      <c r="H4063" s="1" t="str">
        <f>"7804673040409"</f>
        <v>7804673040409</v>
      </c>
      <c r="I4063" s="3">
        <v>13</v>
      </c>
      <c r="J4063" s="3">
        <v>0</v>
      </c>
      <c r="K4063" s="3">
        <v>1500</v>
      </c>
    </row>
    <row r="4064" spans="1:11" x14ac:dyDescent="0.2">
      <c r="A4064" s="1" t="s">
        <v>9</v>
      </c>
      <c r="B4064" s="1" t="s">
        <v>246</v>
      </c>
      <c r="C4064" s="1"/>
      <c r="D4064" s="1"/>
      <c r="E4064" s="1"/>
      <c r="F4064" s="1"/>
      <c r="G4064" s="1"/>
      <c r="H4064" s="1" t="str">
        <f>"7800063121000"</f>
        <v>7800063121000</v>
      </c>
      <c r="I4064" s="3">
        <v>77</v>
      </c>
      <c r="J4064" s="3">
        <v>0</v>
      </c>
      <c r="K4064" s="3">
        <v>1500</v>
      </c>
    </row>
    <row r="4065" spans="1:11" x14ac:dyDescent="0.2">
      <c r="A4065" s="1" t="s">
        <v>9</v>
      </c>
      <c r="B4065" s="1" t="s">
        <v>250</v>
      </c>
      <c r="C4065" s="1"/>
      <c r="D4065" s="1"/>
      <c r="E4065" s="1"/>
      <c r="F4065" s="1"/>
      <c r="G4065" s="1"/>
      <c r="H4065" s="1" t="str">
        <f>"7800063110547"</f>
        <v>7800063110547</v>
      </c>
      <c r="I4065" s="3">
        <v>232</v>
      </c>
      <c r="J4065" s="3">
        <v>0</v>
      </c>
      <c r="K4065" s="3">
        <v>1500</v>
      </c>
    </row>
    <row r="4066" spans="1:11" x14ac:dyDescent="0.2">
      <c r="A4066" s="1" t="s">
        <v>9</v>
      </c>
      <c r="B4066" s="1" t="s">
        <v>252</v>
      </c>
      <c r="C4066" s="1"/>
      <c r="D4066" s="1"/>
      <c r="E4066" s="1"/>
      <c r="F4066" s="1"/>
      <c r="G4066" s="1"/>
      <c r="H4066" s="1" t="str">
        <f>"7804633500394"</f>
        <v>7804633500394</v>
      </c>
      <c r="I4066" s="3">
        <v>25</v>
      </c>
      <c r="J4066" s="3">
        <v>0</v>
      </c>
      <c r="K4066" s="3">
        <v>5500</v>
      </c>
    </row>
    <row r="4067" spans="1:11" x14ac:dyDescent="0.2">
      <c r="A4067" s="1" t="s">
        <v>9</v>
      </c>
      <c r="B4067" s="1" t="s">
        <v>253</v>
      </c>
      <c r="C4067" s="1"/>
      <c r="D4067" s="1"/>
      <c r="E4067" s="1"/>
      <c r="F4067" s="1"/>
      <c r="G4067" s="1"/>
      <c r="H4067" s="1" t="str">
        <f>"7804633500622"</f>
        <v>7804633500622</v>
      </c>
      <c r="I4067" s="3">
        <v>8</v>
      </c>
      <c r="J4067" s="3">
        <v>0</v>
      </c>
      <c r="K4067" s="3">
        <v>5000</v>
      </c>
    </row>
    <row r="4068" spans="1:11" x14ac:dyDescent="0.2">
      <c r="A4068" s="1" t="s">
        <v>9</v>
      </c>
      <c r="B4068" s="1" t="s">
        <v>258</v>
      </c>
      <c r="C4068" s="1"/>
      <c r="D4068" s="1"/>
      <c r="E4068" s="1"/>
      <c r="F4068" s="1"/>
      <c r="G4068" s="1"/>
      <c r="H4068" s="1" t="str">
        <f>"7800007788672"</f>
        <v>7800007788672</v>
      </c>
      <c r="I4068" s="3">
        <v>3</v>
      </c>
      <c r="J4068" s="3">
        <v>0</v>
      </c>
      <c r="K4068" s="3">
        <v>25000</v>
      </c>
    </row>
    <row r="4069" spans="1:11" x14ac:dyDescent="0.2">
      <c r="A4069" s="1" t="s">
        <v>9</v>
      </c>
      <c r="B4069" s="1" t="s">
        <v>271</v>
      </c>
      <c r="C4069" s="1"/>
      <c r="D4069" s="1"/>
      <c r="E4069" s="1"/>
      <c r="F4069" s="1"/>
      <c r="G4069" s="1"/>
      <c r="H4069" s="1" t="str">
        <f>"7891317020248"</f>
        <v>7891317020248</v>
      </c>
      <c r="I4069" s="3">
        <v>14</v>
      </c>
      <c r="J4069" s="3">
        <v>0</v>
      </c>
      <c r="K4069" s="3">
        <v>10500</v>
      </c>
    </row>
    <row r="4070" spans="1:11" x14ac:dyDescent="0.2">
      <c r="A4070" s="1" t="s">
        <v>9</v>
      </c>
      <c r="B4070" s="1" t="s">
        <v>373</v>
      </c>
      <c r="C4070" s="1"/>
      <c r="D4070" s="1"/>
      <c r="E4070" s="1"/>
      <c r="F4070" s="1"/>
      <c r="G4070" s="1"/>
      <c r="H4070" s="1" t="str">
        <f>"7800007810090"</f>
        <v>7800007810090</v>
      </c>
      <c r="I4070" s="3">
        <v>9</v>
      </c>
      <c r="J4070" s="3">
        <v>0</v>
      </c>
      <c r="K4070" s="3">
        <v>7500</v>
      </c>
    </row>
    <row r="4071" spans="1:11" x14ac:dyDescent="0.2">
      <c r="A4071" s="1" t="s">
        <v>9</v>
      </c>
      <c r="B4071" s="1" t="s">
        <v>374</v>
      </c>
      <c r="C4071" s="1"/>
      <c r="D4071" s="1"/>
      <c r="E4071" s="1"/>
      <c r="F4071" s="1"/>
      <c r="G4071" s="1"/>
      <c r="H4071" s="1" t="str">
        <f>"8903726198605"</f>
        <v>8903726198605</v>
      </c>
      <c r="I4071" s="3">
        <v>1</v>
      </c>
      <c r="J4071" s="3">
        <v>0</v>
      </c>
      <c r="K4071" s="3">
        <v>6000</v>
      </c>
    </row>
    <row r="4072" spans="1:11" x14ac:dyDescent="0.2">
      <c r="A4072" s="1" t="s">
        <v>9</v>
      </c>
      <c r="B4072" s="1" t="s">
        <v>408</v>
      </c>
      <c r="C4072" s="1"/>
      <c r="D4072" s="1"/>
      <c r="E4072" s="1"/>
      <c r="F4072" s="1"/>
      <c r="G4072" s="1"/>
      <c r="H4072" s="1" t="str">
        <f>"76056180289305"</f>
        <v>76056180289305</v>
      </c>
      <c r="I4072" s="3">
        <v>0</v>
      </c>
      <c r="J4072" s="3">
        <v>0</v>
      </c>
      <c r="K4072" s="3">
        <v>1000</v>
      </c>
    </row>
    <row r="4073" spans="1:11" x14ac:dyDescent="0.2">
      <c r="A4073" s="1" t="s">
        <v>9</v>
      </c>
      <c r="B4073" s="1" t="s">
        <v>409</v>
      </c>
      <c r="C4073" s="1"/>
      <c r="D4073" s="1"/>
      <c r="E4073" s="1"/>
      <c r="F4073" s="1"/>
      <c r="G4073" s="1"/>
      <c r="H4073" s="1" t="str">
        <f>"7793640992554"</f>
        <v>7793640992554</v>
      </c>
      <c r="I4073" s="3">
        <v>75</v>
      </c>
      <c r="J4073" s="3">
        <v>0</v>
      </c>
      <c r="K4073" s="3">
        <v>7000</v>
      </c>
    </row>
    <row r="4074" spans="1:11" x14ac:dyDescent="0.2">
      <c r="A4074" s="1" t="s">
        <v>9</v>
      </c>
      <c r="B4074" s="1" t="s">
        <v>410</v>
      </c>
      <c r="C4074" s="1"/>
      <c r="D4074" s="1"/>
      <c r="E4074" s="1"/>
      <c r="F4074" s="1"/>
      <c r="G4074" s="1"/>
      <c r="H4074" s="1" t="str">
        <f>"7793640211259"</f>
        <v>7793640211259</v>
      </c>
      <c r="I4074" s="3">
        <v>675</v>
      </c>
      <c r="J4074" s="3">
        <v>0</v>
      </c>
      <c r="K4074" s="3">
        <v>7000</v>
      </c>
    </row>
    <row r="4075" spans="1:11" x14ac:dyDescent="0.2">
      <c r="A4075" s="1" t="s">
        <v>9</v>
      </c>
      <c r="B4075" s="1" t="s">
        <v>411</v>
      </c>
      <c r="C4075" s="1"/>
      <c r="D4075" s="1"/>
      <c r="E4075" s="1"/>
      <c r="F4075" s="1"/>
      <c r="G4075" s="1"/>
      <c r="H4075" s="1" t="str">
        <f>"7793640002543"</f>
        <v>7793640002543</v>
      </c>
      <c r="I4075" s="3">
        <v>6</v>
      </c>
      <c r="J4075" s="3">
        <v>0</v>
      </c>
      <c r="K4075" s="3">
        <v>8000</v>
      </c>
    </row>
    <row r="4076" spans="1:11" x14ac:dyDescent="0.2">
      <c r="A4076" s="1" t="s">
        <v>9</v>
      </c>
      <c r="B4076" s="1" t="s">
        <v>413</v>
      </c>
      <c r="C4076" s="1"/>
      <c r="D4076" s="1"/>
      <c r="E4076" s="1"/>
      <c r="F4076" s="1"/>
      <c r="G4076" s="1"/>
      <c r="H4076" s="1" t="str">
        <f>"7800063110288"</f>
        <v>7800063110288</v>
      </c>
      <c r="I4076" s="3">
        <v>294</v>
      </c>
      <c r="J4076" s="3">
        <v>0</v>
      </c>
      <c r="K4076" s="3">
        <v>1000</v>
      </c>
    </row>
    <row r="4077" spans="1:11" x14ac:dyDescent="0.2">
      <c r="A4077" s="1" t="s">
        <v>9</v>
      </c>
      <c r="B4077" s="1" t="s">
        <v>414</v>
      </c>
      <c r="C4077" s="1"/>
      <c r="D4077" s="1"/>
      <c r="E4077" s="1"/>
      <c r="F4077" s="1"/>
      <c r="G4077" s="1"/>
      <c r="H4077" s="1" t="str">
        <f>"7800018000855"</f>
        <v>7800018000855</v>
      </c>
      <c r="I4077" s="3">
        <v>150</v>
      </c>
      <c r="J4077" s="3">
        <v>0</v>
      </c>
      <c r="K4077" s="3">
        <v>500</v>
      </c>
    </row>
    <row r="4078" spans="1:11" x14ac:dyDescent="0.2">
      <c r="A4078" s="1" t="s">
        <v>9</v>
      </c>
      <c r="B4078" s="1" t="s">
        <v>415</v>
      </c>
      <c r="C4078" s="1"/>
      <c r="D4078" s="1"/>
      <c r="E4078" s="1"/>
      <c r="F4078" s="1"/>
      <c r="G4078" s="1"/>
      <c r="H4078" s="1" t="str">
        <f>"7804620833948"</f>
        <v>7804620833948</v>
      </c>
      <c r="I4078" s="3">
        <v>16</v>
      </c>
      <c r="J4078" s="3">
        <v>0</v>
      </c>
      <c r="K4078" s="3">
        <v>500</v>
      </c>
    </row>
    <row r="4079" spans="1:11" x14ac:dyDescent="0.2">
      <c r="A4079" s="1" t="s">
        <v>9</v>
      </c>
      <c r="B4079" s="1" t="s">
        <v>416</v>
      </c>
      <c r="C4079" s="1"/>
      <c r="D4079" s="1"/>
      <c r="E4079" s="1"/>
      <c r="F4079" s="1"/>
      <c r="G4079" s="1"/>
      <c r="H4079" s="1" t="str">
        <f>"7800007388735"</f>
        <v>7800007388735</v>
      </c>
      <c r="I4079" s="3">
        <v>27</v>
      </c>
      <c r="J4079" s="3">
        <v>0</v>
      </c>
      <c r="K4079" s="3">
        <v>500</v>
      </c>
    </row>
    <row r="4080" spans="1:11" x14ac:dyDescent="0.2">
      <c r="A4080" s="1" t="s">
        <v>9</v>
      </c>
      <c r="B4080" s="1" t="s">
        <v>417</v>
      </c>
      <c r="C4080" s="1"/>
      <c r="D4080" s="1"/>
      <c r="E4080" s="1"/>
      <c r="F4080" s="1"/>
      <c r="G4080" s="1"/>
      <c r="H4080" s="1" t="str">
        <f>"8904159674995"</f>
        <v>8904159674995</v>
      </c>
      <c r="I4080" s="3">
        <v>181</v>
      </c>
      <c r="J4080" s="3">
        <v>0</v>
      </c>
      <c r="K4080" s="3">
        <v>1000</v>
      </c>
    </row>
    <row r="4081" spans="1:11" x14ac:dyDescent="0.2">
      <c r="A4081" s="1" t="s">
        <v>9</v>
      </c>
      <c r="B4081" s="1" t="s">
        <v>418</v>
      </c>
      <c r="C4081" s="1"/>
      <c r="D4081" s="1"/>
      <c r="E4081" s="1"/>
      <c r="F4081" s="1"/>
      <c r="G4081" s="1"/>
      <c r="H4081" s="1" t="str">
        <f>"7800007801555"</f>
        <v>7800007801555</v>
      </c>
      <c r="I4081" s="3">
        <v>32</v>
      </c>
      <c r="J4081" s="3">
        <v>0</v>
      </c>
      <c r="K4081" s="3">
        <v>1000</v>
      </c>
    </row>
    <row r="4082" spans="1:11" x14ac:dyDescent="0.2">
      <c r="A4082" s="1" t="s">
        <v>9</v>
      </c>
      <c r="B4082" s="1" t="s">
        <v>419</v>
      </c>
      <c r="C4082" s="1"/>
      <c r="D4082" s="1"/>
      <c r="E4082" s="1"/>
      <c r="F4082" s="1"/>
      <c r="G4082" s="1"/>
      <c r="H4082" s="1" t="str">
        <f>"8904159675589"</f>
        <v>8904159675589</v>
      </c>
      <c r="I4082" s="3">
        <v>93</v>
      </c>
      <c r="J4082" s="3">
        <v>0</v>
      </c>
      <c r="K4082" s="3">
        <v>1000</v>
      </c>
    </row>
    <row r="4083" spans="1:11" x14ac:dyDescent="0.2">
      <c r="A4083" s="1" t="s">
        <v>9</v>
      </c>
      <c r="B4083" s="1" t="s">
        <v>420</v>
      </c>
      <c r="C4083" s="1"/>
      <c r="D4083" s="1"/>
      <c r="E4083" s="1"/>
      <c r="F4083" s="1"/>
      <c r="G4083" s="1"/>
      <c r="H4083" s="1" t="str">
        <f>"7804620835287"</f>
        <v>7804620835287</v>
      </c>
      <c r="I4083" s="3">
        <v>0</v>
      </c>
      <c r="J4083" s="3">
        <v>0</v>
      </c>
      <c r="K4083" s="3">
        <v>1000</v>
      </c>
    </row>
    <row r="4084" spans="1:11" x14ac:dyDescent="0.2">
      <c r="A4084" s="1" t="s">
        <v>9</v>
      </c>
      <c r="B4084" s="1" t="s">
        <v>421</v>
      </c>
      <c r="C4084" s="1"/>
      <c r="D4084" s="1"/>
      <c r="E4084" s="1"/>
      <c r="F4084" s="1"/>
      <c r="G4084" s="1"/>
      <c r="H4084" s="1" t="str">
        <f>"7800007806765"</f>
        <v>7800007806765</v>
      </c>
      <c r="I4084" s="3">
        <v>10</v>
      </c>
      <c r="J4084" s="3">
        <v>0</v>
      </c>
      <c r="K4084" s="3">
        <v>3500</v>
      </c>
    </row>
    <row r="4085" spans="1:11" x14ac:dyDescent="0.2">
      <c r="A4085" s="1" t="s">
        <v>9</v>
      </c>
      <c r="B4085" s="1" t="s">
        <v>422</v>
      </c>
      <c r="C4085" s="1"/>
      <c r="D4085" s="1"/>
      <c r="E4085" s="1"/>
      <c r="F4085" s="1"/>
      <c r="G4085" s="1"/>
      <c r="H4085" s="1" t="str">
        <f>"7804620835386"</f>
        <v>7804620835386</v>
      </c>
      <c r="I4085" s="3">
        <v>10</v>
      </c>
      <c r="J4085" s="3">
        <v>0</v>
      </c>
      <c r="K4085" s="3">
        <v>6800</v>
      </c>
    </row>
    <row r="4086" spans="1:11" x14ac:dyDescent="0.2">
      <c r="A4086" s="1" t="s">
        <v>9</v>
      </c>
      <c r="B4086" s="1" t="s">
        <v>423</v>
      </c>
      <c r="C4086" s="1"/>
      <c r="D4086" s="1"/>
      <c r="E4086" s="1"/>
      <c r="F4086" s="1"/>
      <c r="G4086" s="1"/>
      <c r="H4086" s="1" t="str">
        <f>"7804650881520"</f>
        <v>7804650881520</v>
      </c>
      <c r="I4086" s="3">
        <v>0</v>
      </c>
      <c r="J4086" s="3">
        <v>0</v>
      </c>
      <c r="K4086" s="3">
        <v>5000</v>
      </c>
    </row>
    <row r="4087" spans="1:11" x14ac:dyDescent="0.2">
      <c r="A4087" s="1" t="s">
        <v>9</v>
      </c>
      <c r="B4087" s="1" t="s">
        <v>424</v>
      </c>
      <c r="C4087" s="1"/>
      <c r="D4087" s="1"/>
      <c r="E4087" s="1"/>
      <c r="F4087" s="1"/>
      <c r="G4087" s="1"/>
      <c r="H4087" s="1" t="str">
        <f>"8904159685120"</f>
        <v>8904159685120</v>
      </c>
      <c r="I4087" s="3">
        <v>27</v>
      </c>
      <c r="J4087" s="3">
        <v>0</v>
      </c>
      <c r="K4087" s="3">
        <v>3000</v>
      </c>
    </row>
    <row r="4088" spans="1:11" x14ac:dyDescent="0.2">
      <c r="A4088" s="1" t="s">
        <v>9</v>
      </c>
      <c r="B4088" s="1" t="s">
        <v>455</v>
      </c>
      <c r="C4088" s="1"/>
      <c r="D4088" s="1"/>
      <c r="E4088" s="1"/>
      <c r="F4088" s="1"/>
      <c r="G4088" s="1"/>
      <c r="H4088" s="1" t="str">
        <f>"7804650881001"</f>
        <v>7804650881001</v>
      </c>
      <c r="I4088" s="3">
        <v>6</v>
      </c>
      <c r="J4088" s="3">
        <v>0</v>
      </c>
      <c r="K4088" s="3">
        <v>23000</v>
      </c>
    </row>
    <row r="4089" spans="1:11" x14ac:dyDescent="0.2">
      <c r="A4089" s="1" t="s">
        <v>9</v>
      </c>
      <c r="B4089" s="1" t="s">
        <v>457</v>
      </c>
      <c r="C4089" s="1"/>
      <c r="D4089" s="1"/>
      <c r="E4089" s="1"/>
      <c r="F4089" s="1"/>
      <c r="G4089" s="1"/>
      <c r="H4089" s="1" t="str">
        <f>"7800063001647"</f>
        <v>7800063001647</v>
      </c>
      <c r="I4089" s="3">
        <v>0</v>
      </c>
      <c r="J4089" s="3">
        <v>0</v>
      </c>
      <c r="K4089" s="3">
        <v>2000</v>
      </c>
    </row>
    <row r="4090" spans="1:11" x14ac:dyDescent="0.2">
      <c r="A4090" s="1" t="s">
        <v>9</v>
      </c>
      <c r="B4090" s="1" t="s">
        <v>459</v>
      </c>
      <c r="C4090" s="1"/>
      <c r="D4090" s="1"/>
      <c r="E4090" s="1"/>
      <c r="F4090" s="1"/>
      <c r="G4090" s="1"/>
      <c r="H4090" s="1" t="str">
        <f>"780007661258"</f>
        <v>780007661258</v>
      </c>
      <c r="I4090" s="3">
        <v>13</v>
      </c>
      <c r="J4090" s="3">
        <v>0</v>
      </c>
      <c r="K4090" s="3">
        <v>2000</v>
      </c>
    </row>
    <row r="4091" spans="1:11" x14ac:dyDescent="0.2">
      <c r="A4091" s="1" t="s">
        <v>9</v>
      </c>
      <c r="B4091" s="1" t="s">
        <v>564</v>
      </c>
      <c r="C4091" s="1"/>
      <c r="D4091" s="1"/>
      <c r="E4091" s="1"/>
      <c r="F4091" s="1"/>
      <c r="G4091" s="1"/>
      <c r="H4091" s="1" t="str">
        <f>"7501098607575"</f>
        <v>7501098607575</v>
      </c>
      <c r="I4091" s="3">
        <v>4</v>
      </c>
      <c r="J4091" s="3">
        <v>0</v>
      </c>
      <c r="K4091" s="3">
        <v>21000</v>
      </c>
    </row>
    <row r="4092" spans="1:11" x14ac:dyDescent="0.2">
      <c r="A4092" s="1" t="s">
        <v>9</v>
      </c>
      <c r="B4092" s="1" t="s">
        <v>565</v>
      </c>
      <c r="C4092" s="1"/>
      <c r="D4092" s="1"/>
      <c r="E4092" s="1"/>
      <c r="F4092" s="1"/>
      <c r="G4092" s="1"/>
      <c r="H4092" s="1" t="str">
        <f>"7804673040256"</f>
        <v>7804673040256</v>
      </c>
      <c r="I4092" s="3">
        <v>172</v>
      </c>
      <c r="J4092" s="3">
        <v>0</v>
      </c>
      <c r="K4092" s="3">
        <v>500</v>
      </c>
    </row>
    <row r="4093" spans="1:11" x14ac:dyDescent="0.2">
      <c r="A4093" s="1" t="s">
        <v>9</v>
      </c>
      <c r="B4093" s="1" t="s">
        <v>592</v>
      </c>
      <c r="C4093" s="1"/>
      <c r="D4093" s="1"/>
      <c r="E4093" s="1"/>
      <c r="F4093" s="1"/>
      <c r="G4093" s="1"/>
      <c r="H4093" s="1" t="str">
        <f>"7800046005617"</f>
        <v>7800046005617</v>
      </c>
      <c r="I4093" s="3">
        <v>0</v>
      </c>
      <c r="J4093" s="3">
        <v>0</v>
      </c>
      <c r="K4093" s="3">
        <v>13500</v>
      </c>
    </row>
    <row r="4094" spans="1:11" x14ac:dyDescent="0.2">
      <c r="A4094" s="1" t="s">
        <v>9</v>
      </c>
      <c r="B4094" s="1" t="s">
        <v>619</v>
      </c>
      <c r="C4094" s="1"/>
      <c r="D4094" s="1"/>
      <c r="E4094" s="1"/>
      <c r="F4094" s="1"/>
      <c r="G4094" s="1"/>
      <c r="H4094" s="1" t="str">
        <f>"7800004001781"</f>
        <v>7800004001781</v>
      </c>
      <c r="I4094" s="3">
        <v>0</v>
      </c>
      <c r="J4094" s="3">
        <v>0</v>
      </c>
      <c r="K4094" s="3">
        <v>6500</v>
      </c>
    </row>
    <row r="4095" spans="1:11" x14ac:dyDescent="0.2">
      <c r="A4095" s="1" t="s">
        <v>9</v>
      </c>
      <c r="B4095" s="1" t="s">
        <v>620</v>
      </c>
      <c r="C4095" s="1"/>
      <c r="D4095" s="1"/>
      <c r="E4095" s="1"/>
      <c r="F4095" s="1"/>
      <c r="G4095" s="1"/>
      <c r="H4095" s="1" t="str">
        <f>"7800026006979"</f>
        <v>7800026006979</v>
      </c>
      <c r="I4095" s="3">
        <v>3</v>
      </c>
      <c r="J4095" s="3">
        <v>0</v>
      </c>
      <c r="K4095" s="3">
        <v>19000</v>
      </c>
    </row>
    <row r="4096" spans="1:11" x14ac:dyDescent="0.2">
      <c r="A4096" s="1" t="s">
        <v>9</v>
      </c>
      <c r="B4096" s="1" t="s">
        <v>647</v>
      </c>
      <c r="C4096" s="1"/>
      <c r="D4096" s="1"/>
      <c r="E4096" s="1"/>
      <c r="F4096" s="1"/>
      <c r="G4096" s="1"/>
      <c r="H4096" s="1" t="str">
        <f>"7800046005259"</f>
        <v>7800046005259</v>
      </c>
      <c r="I4096" s="3">
        <v>70</v>
      </c>
      <c r="J4096" s="3">
        <v>0</v>
      </c>
      <c r="K4096" s="3">
        <v>4500</v>
      </c>
    </row>
    <row r="4097" spans="1:11" x14ac:dyDescent="0.2">
      <c r="A4097" s="1" t="s">
        <v>9</v>
      </c>
      <c r="B4097" s="1" t="s">
        <v>648</v>
      </c>
      <c r="C4097" s="1"/>
      <c r="D4097" s="1"/>
      <c r="E4097" s="1"/>
      <c r="F4097" s="1"/>
      <c r="G4097" s="1"/>
      <c r="H4097" s="1" t="str">
        <f>"7800046005266"</f>
        <v>7800046005266</v>
      </c>
      <c r="I4097" s="3">
        <v>35</v>
      </c>
      <c r="J4097" s="3">
        <v>0</v>
      </c>
      <c r="K4097" s="3">
        <v>8500</v>
      </c>
    </row>
    <row r="4098" spans="1:11" x14ac:dyDescent="0.2">
      <c r="A4098" s="1" t="s">
        <v>9</v>
      </c>
      <c r="B4098" s="1" t="s">
        <v>649</v>
      </c>
      <c r="C4098" s="1"/>
      <c r="D4098" s="1"/>
      <c r="E4098" s="1"/>
      <c r="F4098" s="1"/>
      <c r="G4098" s="1"/>
      <c r="H4098" s="1" t="str">
        <f>"7800046005242"</f>
        <v>7800046005242</v>
      </c>
      <c r="I4098" s="3">
        <v>6</v>
      </c>
      <c r="J4098" s="3">
        <v>0</v>
      </c>
      <c r="K4098" s="3">
        <v>10000</v>
      </c>
    </row>
    <row r="4099" spans="1:11" x14ac:dyDescent="0.2">
      <c r="A4099" s="1" t="s">
        <v>9</v>
      </c>
      <c r="B4099" s="1" t="s">
        <v>651</v>
      </c>
      <c r="C4099" s="1"/>
      <c r="D4099" s="1"/>
      <c r="E4099" s="1"/>
      <c r="F4099" s="1"/>
      <c r="G4099" s="1"/>
      <c r="H4099" s="1" t="str">
        <f>"7804650884767"</f>
        <v>7804650884767</v>
      </c>
      <c r="I4099" s="3">
        <v>39</v>
      </c>
      <c r="J4099" s="3">
        <v>0</v>
      </c>
      <c r="K4099" s="3">
        <v>4000</v>
      </c>
    </row>
    <row r="4100" spans="1:11" x14ac:dyDescent="0.2">
      <c r="A4100" s="1" t="s">
        <v>9</v>
      </c>
      <c r="B4100" s="1" t="s">
        <v>653</v>
      </c>
      <c r="C4100" s="1"/>
      <c r="D4100" s="1"/>
      <c r="E4100" s="1"/>
      <c r="F4100" s="1"/>
      <c r="G4100" s="1"/>
      <c r="H4100" s="1" t="str">
        <f>"7800007805515"</f>
        <v>7800007805515</v>
      </c>
      <c r="I4100" s="3">
        <v>57</v>
      </c>
      <c r="J4100" s="3">
        <v>0</v>
      </c>
      <c r="K4100" s="3">
        <v>3000</v>
      </c>
    </row>
    <row r="4101" spans="1:11" x14ac:dyDescent="0.2">
      <c r="A4101" s="1" t="s">
        <v>9</v>
      </c>
      <c r="B4101" s="1" t="s">
        <v>669</v>
      </c>
      <c r="C4101" s="1"/>
      <c r="D4101" s="1"/>
      <c r="E4101" s="1"/>
      <c r="F4101" s="1"/>
      <c r="G4101" s="1"/>
      <c r="H4101" s="1" t="str">
        <f>"7800060412033"</f>
        <v>7800060412033</v>
      </c>
      <c r="I4101" s="3">
        <v>1</v>
      </c>
      <c r="J4101" s="3">
        <v>0</v>
      </c>
      <c r="K4101" s="3">
        <v>28000</v>
      </c>
    </row>
    <row r="4102" spans="1:11" x14ac:dyDescent="0.2">
      <c r="A4102" s="1" t="s">
        <v>9</v>
      </c>
      <c r="B4102" s="1" t="s">
        <v>670</v>
      </c>
      <c r="C4102" s="1"/>
      <c r="D4102" s="1"/>
      <c r="E4102" s="1"/>
      <c r="F4102" s="1"/>
      <c r="G4102" s="1"/>
      <c r="H4102" s="1" t="str">
        <f>"7800060412460"</f>
        <v>7800060412460</v>
      </c>
      <c r="I4102" s="3">
        <v>4</v>
      </c>
      <c r="J4102" s="3">
        <v>0</v>
      </c>
      <c r="K4102" s="3">
        <v>40000</v>
      </c>
    </row>
    <row r="4103" spans="1:11" x14ac:dyDescent="0.2">
      <c r="A4103" s="1" t="s">
        <v>9</v>
      </c>
      <c r="B4103" s="1" t="s">
        <v>697</v>
      </c>
      <c r="C4103" s="1"/>
      <c r="D4103" s="1"/>
      <c r="E4103" s="1"/>
      <c r="F4103" s="1"/>
      <c r="G4103" s="1"/>
      <c r="H4103" s="1" t="str">
        <f>"7800028841486"</f>
        <v>7800028841486</v>
      </c>
      <c r="I4103" s="3">
        <v>0</v>
      </c>
      <c r="J4103" s="3">
        <v>0</v>
      </c>
      <c r="K4103" s="3">
        <v>11000</v>
      </c>
    </row>
    <row r="4104" spans="1:11" x14ac:dyDescent="0.2">
      <c r="A4104" s="1" t="s">
        <v>9</v>
      </c>
      <c r="B4104" s="1" t="s">
        <v>703</v>
      </c>
      <c r="C4104" s="1"/>
      <c r="D4104" s="1"/>
      <c r="E4104" s="1"/>
      <c r="F4104" s="1"/>
      <c r="G4104" s="1"/>
      <c r="H4104" s="1" t="str">
        <f>"5702150151728"</f>
        <v>5702150151728</v>
      </c>
      <c r="I4104" s="3">
        <v>2</v>
      </c>
      <c r="J4104" s="3">
        <v>0</v>
      </c>
      <c r="K4104" s="3">
        <v>115000</v>
      </c>
    </row>
    <row r="4105" spans="1:11" x14ac:dyDescent="0.2">
      <c r="A4105" s="1" t="s">
        <v>9</v>
      </c>
      <c r="B4105" s="1" t="s">
        <v>749</v>
      </c>
      <c r="C4105" s="1"/>
      <c r="D4105" s="1"/>
      <c r="E4105" s="1"/>
      <c r="F4105" s="1"/>
      <c r="G4105" s="1"/>
      <c r="H4105" s="1" t="str">
        <f>"7800063310862"</f>
        <v>7800063310862</v>
      </c>
      <c r="I4105" s="3">
        <v>294</v>
      </c>
      <c r="J4105" s="3">
        <v>0</v>
      </c>
      <c r="K4105" s="3">
        <v>1500</v>
      </c>
    </row>
    <row r="4106" spans="1:11" x14ac:dyDescent="0.2">
      <c r="A4106" s="1" t="s">
        <v>9</v>
      </c>
      <c r="B4106" s="1" t="s">
        <v>754</v>
      </c>
      <c r="C4106" s="1"/>
      <c r="D4106" s="1"/>
      <c r="E4106" s="1"/>
      <c r="F4106" s="1"/>
      <c r="G4106" s="1"/>
      <c r="H4106" s="1" t="str">
        <f>"7800038041425"</f>
        <v>7800038041425</v>
      </c>
      <c r="I4106" s="3">
        <v>7</v>
      </c>
      <c r="J4106" s="3">
        <v>0</v>
      </c>
      <c r="K4106" s="3">
        <v>13000</v>
      </c>
    </row>
    <row r="4107" spans="1:11" x14ac:dyDescent="0.2">
      <c r="A4107" s="1" t="s">
        <v>9</v>
      </c>
      <c r="B4107" s="1" t="s">
        <v>815</v>
      </c>
      <c r="C4107" s="1"/>
      <c r="D4107" s="1"/>
      <c r="E4107" s="1"/>
      <c r="F4107" s="1"/>
      <c r="G4107" s="1"/>
      <c r="H4107" s="1" t="str">
        <f>"7800063116631"</f>
        <v>7800063116631</v>
      </c>
      <c r="I4107" s="3">
        <v>131</v>
      </c>
      <c r="J4107" s="3">
        <v>0</v>
      </c>
      <c r="K4107" s="3">
        <v>1500</v>
      </c>
    </row>
    <row r="4108" spans="1:11" x14ac:dyDescent="0.2">
      <c r="A4108" s="1" t="s">
        <v>9</v>
      </c>
      <c r="B4108" s="1" t="s">
        <v>816</v>
      </c>
      <c r="C4108" s="1"/>
      <c r="D4108" s="1"/>
      <c r="E4108" s="1"/>
      <c r="F4108" s="1"/>
      <c r="G4108" s="1"/>
      <c r="H4108" s="1" t="str">
        <f>"7800007788085"</f>
        <v>7800007788085</v>
      </c>
      <c r="I4108" s="3">
        <v>0</v>
      </c>
      <c r="J4108" s="3">
        <v>0</v>
      </c>
      <c r="K4108" s="3">
        <v>1800</v>
      </c>
    </row>
    <row r="4109" spans="1:11" x14ac:dyDescent="0.2">
      <c r="A4109" s="1" t="s">
        <v>9</v>
      </c>
      <c r="B4109" s="1" t="s">
        <v>817</v>
      </c>
      <c r="C4109" s="1"/>
      <c r="D4109" s="1"/>
      <c r="E4109" s="1"/>
      <c r="F4109" s="1"/>
      <c r="G4109" s="1"/>
      <c r="H4109" s="1" t="str">
        <f>"7800018000336"</f>
        <v>7800018000336</v>
      </c>
      <c r="I4109" s="3">
        <v>101</v>
      </c>
      <c r="J4109" s="3">
        <v>0</v>
      </c>
      <c r="K4109" s="3">
        <v>1500</v>
      </c>
    </row>
    <row r="4110" spans="1:11" x14ac:dyDescent="0.2">
      <c r="A4110" s="1" t="s">
        <v>9</v>
      </c>
      <c r="B4110" s="1" t="s">
        <v>823</v>
      </c>
      <c r="C4110" s="1"/>
      <c r="D4110" s="1"/>
      <c r="E4110" s="1"/>
      <c r="F4110" s="1"/>
      <c r="G4110" s="1"/>
      <c r="H4110" s="1" t="str">
        <f>"7730969307034"</f>
        <v>7730969307034</v>
      </c>
      <c r="I4110" s="3">
        <v>5</v>
      </c>
      <c r="J4110" s="3">
        <v>0</v>
      </c>
      <c r="K4110" s="3">
        <v>14000</v>
      </c>
    </row>
    <row r="4111" spans="1:11" x14ac:dyDescent="0.2">
      <c r="A4111" s="1" t="s">
        <v>9</v>
      </c>
      <c r="B4111" s="1" t="s">
        <v>827</v>
      </c>
      <c r="C4111" s="1"/>
      <c r="D4111" s="1"/>
      <c r="E4111" s="1"/>
      <c r="F4111" s="1"/>
      <c r="G4111" s="1"/>
      <c r="H4111" s="1" t="str">
        <f>"76056039168306"</f>
        <v>76056039168306</v>
      </c>
      <c r="I4111" s="3">
        <v>0</v>
      </c>
      <c r="J4111" s="3">
        <v>0</v>
      </c>
      <c r="K4111" s="3">
        <v>2500</v>
      </c>
    </row>
    <row r="4112" spans="1:11" x14ac:dyDescent="0.2">
      <c r="A4112" s="1" t="s">
        <v>9</v>
      </c>
      <c r="B4112" s="1" t="s">
        <v>828</v>
      </c>
      <c r="C4112" s="1"/>
      <c r="D4112" s="1"/>
      <c r="E4112" s="1"/>
      <c r="F4112" s="1"/>
      <c r="G4112" s="1"/>
      <c r="H4112" s="1" t="str">
        <f>"7793640992608"</f>
        <v>7793640992608</v>
      </c>
      <c r="I4112" s="3">
        <v>164</v>
      </c>
      <c r="J4112" s="3">
        <v>0</v>
      </c>
      <c r="K4112" s="3">
        <v>12000</v>
      </c>
    </row>
    <row r="4113" spans="1:11" x14ac:dyDescent="0.2">
      <c r="A4113" s="1" t="s">
        <v>9</v>
      </c>
      <c r="B4113" s="1" t="s">
        <v>829</v>
      </c>
      <c r="C4113" s="1"/>
      <c r="D4113" s="1"/>
      <c r="E4113" s="1"/>
      <c r="F4113" s="1"/>
      <c r="G4113" s="1"/>
      <c r="H4113" s="1" t="str">
        <f>"7800026007778"</f>
        <v>7800026007778</v>
      </c>
      <c r="I4113" s="3">
        <v>4</v>
      </c>
      <c r="J4113" s="3">
        <v>0</v>
      </c>
      <c r="K4113" s="3">
        <v>24000</v>
      </c>
    </row>
    <row r="4114" spans="1:11" x14ac:dyDescent="0.2">
      <c r="A4114" s="1" t="s">
        <v>9</v>
      </c>
      <c r="B4114" s="1" t="s">
        <v>830</v>
      </c>
      <c r="C4114" s="1"/>
      <c r="D4114" s="1"/>
      <c r="E4114" s="1"/>
      <c r="F4114" s="1"/>
      <c r="G4114" s="1"/>
      <c r="H4114" s="1" t="str">
        <f>"7800007807793"</f>
        <v>7800007807793</v>
      </c>
      <c r="I4114" s="3">
        <v>6</v>
      </c>
      <c r="J4114" s="3">
        <v>0</v>
      </c>
      <c r="K4114" s="3">
        <v>14000</v>
      </c>
    </row>
    <row r="4115" spans="1:11" x14ac:dyDescent="0.2">
      <c r="A4115" s="1" t="s">
        <v>9</v>
      </c>
      <c r="B4115" s="1" t="s">
        <v>831</v>
      </c>
      <c r="C4115" s="1"/>
      <c r="D4115" s="1"/>
      <c r="E4115" s="1"/>
      <c r="F4115" s="1"/>
      <c r="G4115" s="1"/>
      <c r="H4115" s="1" t="str">
        <f>"7800007807779"</f>
        <v>7800007807779</v>
      </c>
      <c r="I4115" s="3">
        <v>4</v>
      </c>
      <c r="J4115" s="3">
        <v>0</v>
      </c>
      <c r="K4115" s="3">
        <v>12000</v>
      </c>
    </row>
    <row r="4116" spans="1:11" x14ac:dyDescent="0.2">
      <c r="A4116" s="1" t="s">
        <v>9</v>
      </c>
      <c r="B4116" s="1" t="s">
        <v>848</v>
      </c>
      <c r="C4116" s="1"/>
      <c r="D4116" s="1"/>
      <c r="E4116" s="1"/>
      <c r="F4116" s="1"/>
      <c r="G4116" s="1"/>
      <c r="H4116" s="1" t="str">
        <f>"7800007807878"</f>
        <v>7800007807878</v>
      </c>
      <c r="I4116" s="3">
        <v>11</v>
      </c>
      <c r="J4116" s="3">
        <v>0</v>
      </c>
      <c r="K4116" s="3">
        <v>7500</v>
      </c>
    </row>
    <row r="4117" spans="1:11" x14ac:dyDescent="0.2">
      <c r="A4117" s="1" t="s">
        <v>9</v>
      </c>
      <c r="B4117" s="1" t="s">
        <v>851</v>
      </c>
      <c r="C4117" s="1"/>
      <c r="D4117" s="1"/>
      <c r="E4117" s="1"/>
      <c r="F4117" s="1"/>
      <c r="G4117" s="1"/>
      <c r="H4117" s="1" t="str">
        <f>"7800007804198"</f>
        <v>7800007804198</v>
      </c>
      <c r="I4117" s="3">
        <v>0</v>
      </c>
      <c r="J4117" s="3">
        <v>0</v>
      </c>
      <c r="K4117" s="3">
        <v>1500</v>
      </c>
    </row>
    <row r="4118" spans="1:11" x14ac:dyDescent="0.2">
      <c r="A4118" s="1" t="s">
        <v>9</v>
      </c>
      <c r="B4118" s="1" t="s">
        <v>852</v>
      </c>
      <c r="C4118" s="1"/>
      <c r="D4118" s="1"/>
      <c r="E4118" s="1"/>
      <c r="F4118" s="1"/>
      <c r="G4118" s="1"/>
      <c r="H4118" s="1" t="str">
        <f>"7804633500486"</f>
        <v>7804633500486</v>
      </c>
      <c r="I4118" s="3">
        <v>0</v>
      </c>
      <c r="J4118" s="3">
        <v>0</v>
      </c>
      <c r="K4118" s="3">
        <v>1500</v>
      </c>
    </row>
    <row r="4119" spans="1:11" x14ac:dyDescent="0.2">
      <c r="A4119" s="1" t="s">
        <v>9</v>
      </c>
      <c r="B4119" s="1" t="s">
        <v>853</v>
      </c>
      <c r="C4119" s="1"/>
      <c r="D4119" s="1"/>
      <c r="E4119" s="1"/>
      <c r="F4119" s="1"/>
      <c r="G4119" s="1"/>
      <c r="H4119" s="1" t="str">
        <f>"7801000000594"</f>
        <v>7801000000594</v>
      </c>
      <c r="I4119" s="3">
        <v>0</v>
      </c>
      <c r="J4119" s="3">
        <v>0</v>
      </c>
      <c r="K4119" s="3">
        <v>1500</v>
      </c>
    </row>
    <row r="4120" spans="1:11" x14ac:dyDescent="0.2">
      <c r="A4120" s="1" t="s">
        <v>9</v>
      </c>
      <c r="B4120" s="1" t="s">
        <v>854</v>
      </c>
      <c r="C4120" s="1"/>
      <c r="D4120" s="1"/>
      <c r="E4120" s="1"/>
      <c r="F4120" s="1"/>
      <c r="G4120" s="1"/>
      <c r="H4120" s="1" t="str">
        <f>"7800007788320"</f>
        <v>7800007788320</v>
      </c>
      <c r="I4120" s="3">
        <v>0</v>
      </c>
      <c r="J4120" s="3">
        <v>0</v>
      </c>
      <c r="K4120" s="3">
        <v>1500</v>
      </c>
    </row>
    <row r="4121" spans="1:11" x14ac:dyDescent="0.2">
      <c r="A4121" s="1" t="s">
        <v>9</v>
      </c>
      <c r="B4121" s="1" t="s">
        <v>855</v>
      </c>
      <c r="C4121" s="1"/>
      <c r="D4121" s="1"/>
      <c r="E4121" s="1"/>
      <c r="F4121" s="1"/>
      <c r="G4121" s="1"/>
      <c r="H4121" s="1" t="str">
        <f>"7804620832569"</f>
        <v>7804620832569</v>
      </c>
      <c r="I4121" s="3">
        <v>20</v>
      </c>
      <c r="J4121" s="3">
        <v>0</v>
      </c>
      <c r="K4121" s="3">
        <v>1500</v>
      </c>
    </row>
    <row r="4122" spans="1:11" x14ac:dyDescent="0.2">
      <c r="A4122" s="1" t="s">
        <v>9</v>
      </c>
      <c r="B4122" s="1" t="s">
        <v>856</v>
      </c>
      <c r="C4122" s="1"/>
      <c r="D4122" s="1"/>
      <c r="E4122" s="1"/>
      <c r="F4122" s="1"/>
      <c r="G4122" s="1"/>
      <c r="H4122" s="1" t="str">
        <f>"7804633500479"</f>
        <v>7804633500479</v>
      </c>
      <c r="I4122" s="3">
        <v>35</v>
      </c>
      <c r="J4122" s="3">
        <v>0</v>
      </c>
      <c r="K4122" s="3">
        <v>1500</v>
      </c>
    </row>
    <row r="4123" spans="1:11" x14ac:dyDescent="0.2">
      <c r="A4123" s="1" t="s">
        <v>9</v>
      </c>
      <c r="B4123" s="1" t="s">
        <v>857</v>
      </c>
      <c r="C4123" s="1"/>
      <c r="D4123" s="1"/>
      <c r="E4123" s="1"/>
      <c r="F4123" s="1"/>
      <c r="G4123" s="1"/>
      <c r="H4123" s="1" t="str">
        <f>"7801000000587"</f>
        <v>7801000000587</v>
      </c>
      <c r="I4123" s="3">
        <v>0</v>
      </c>
      <c r="J4123" s="3">
        <v>0</v>
      </c>
      <c r="K4123" s="3">
        <v>1500</v>
      </c>
    </row>
    <row r="4124" spans="1:11" x14ac:dyDescent="0.2">
      <c r="A4124" s="1" t="s">
        <v>9</v>
      </c>
      <c r="B4124" s="1" t="s">
        <v>858</v>
      </c>
      <c r="C4124" s="1"/>
      <c r="D4124" s="1"/>
      <c r="E4124" s="1"/>
      <c r="F4124" s="1"/>
      <c r="G4124" s="1"/>
      <c r="H4124" s="1" t="str">
        <f>"7800007804327"</f>
        <v>7800007804327</v>
      </c>
      <c r="I4124" s="3">
        <v>88</v>
      </c>
      <c r="J4124" s="3">
        <v>0</v>
      </c>
      <c r="K4124" s="3">
        <v>1500</v>
      </c>
    </row>
    <row r="4125" spans="1:11" x14ac:dyDescent="0.2">
      <c r="A4125" s="1" t="s">
        <v>9</v>
      </c>
      <c r="B4125" s="1" t="s">
        <v>880</v>
      </c>
      <c r="C4125" s="1"/>
      <c r="D4125" s="1"/>
      <c r="E4125" s="1"/>
      <c r="F4125" s="1"/>
      <c r="G4125" s="1"/>
      <c r="H4125" s="1" t="str">
        <f>"7800063120874"</f>
        <v>7800063120874</v>
      </c>
      <c r="I4125" s="3">
        <v>234</v>
      </c>
      <c r="J4125" s="3">
        <v>0</v>
      </c>
      <c r="K4125" s="3">
        <v>1500</v>
      </c>
    </row>
    <row r="4126" spans="1:11" x14ac:dyDescent="0.2">
      <c r="A4126" s="1" t="s">
        <v>9</v>
      </c>
      <c r="B4126" s="1" t="s">
        <v>885</v>
      </c>
      <c r="C4126" s="1"/>
      <c r="D4126" s="1"/>
      <c r="E4126" s="1"/>
      <c r="F4126" s="1"/>
      <c r="G4126" s="1"/>
      <c r="H4126" s="1" t="str">
        <f>"7800038041210"</f>
        <v>7800038041210</v>
      </c>
      <c r="I4126" s="3">
        <v>88</v>
      </c>
      <c r="J4126" s="3">
        <v>0</v>
      </c>
      <c r="K4126" s="3">
        <v>1000</v>
      </c>
    </row>
    <row r="4127" spans="1:11" x14ac:dyDescent="0.2">
      <c r="A4127" s="1" t="s">
        <v>9</v>
      </c>
      <c r="B4127" s="1" t="s">
        <v>891</v>
      </c>
      <c r="C4127" s="1"/>
      <c r="D4127" s="1"/>
      <c r="E4127" s="1"/>
      <c r="F4127" s="1"/>
      <c r="G4127" s="1"/>
      <c r="H4127" s="1" t="str">
        <f>"7804673040133"</f>
        <v>7804673040133</v>
      </c>
      <c r="I4127" s="3">
        <v>91</v>
      </c>
      <c r="J4127" s="3">
        <v>0</v>
      </c>
      <c r="K4127" s="3">
        <v>2000</v>
      </c>
    </row>
    <row r="4128" spans="1:11" x14ac:dyDescent="0.2">
      <c r="A4128" s="1" t="s">
        <v>9</v>
      </c>
      <c r="B4128" s="1" t="s">
        <v>892</v>
      </c>
      <c r="C4128" s="1"/>
      <c r="D4128" s="1"/>
      <c r="E4128" s="1"/>
      <c r="F4128" s="1"/>
      <c r="G4128" s="1"/>
      <c r="H4128" s="1" t="str">
        <f>"7800008780767"</f>
        <v>7800008780767</v>
      </c>
      <c r="I4128" s="3">
        <v>1017</v>
      </c>
      <c r="J4128" s="3">
        <v>0</v>
      </c>
      <c r="K4128" s="3">
        <v>2000</v>
      </c>
    </row>
    <row r="4129" spans="1:11" x14ac:dyDescent="0.2">
      <c r="A4129" s="1" t="s">
        <v>9</v>
      </c>
      <c r="B4129" s="1" t="s">
        <v>955</v>
      </c>
      <c r="C4129" s="1"/>
      <c r="D4129" s="1"/>
      <c r="E4129" s="1"/>
      <c r="F4129" s="1"/>
      <c r="G4129" s="1"/>
      <c r="H4129" s="1" t="str">
        <f>"7804650885535"</f>
        <v>7804650885535</v>
      </c>
      <c r="I4129" s="3">
        <v>466</v>
      </c>
      <c r="J4129" s="3">
        <v>0</v>
      </c>
      <c r="K4129" s="3">
        <v>2000</v>
      </c>
    </row>
    <row r="4130" spans="1:11" x14ac:dyDescent="0.2">
      <c r="A4130" s="1" t="s">
        <v>9</v>
      </c>
      <c r="B4130" s="1" t="s">
        <v>991</v>
      </c>
      <c r="C4130" s="1"/>
      <c r="D4130" s="1"/>
      <c r="E4130" s="1"/>
      <c r="F4130" s="1"/>
      <c r="G4130" s="1"/>
      <c r="H4130" s="1" t="str">
        <f>"7800026016213"</f>
        <v>7800026016213</v>
      </c>
      <c r="I4130" s="3">
        <v>1</v>
      </c>
      <c r="J4130" s="3">
        <v>0</v>
      </c>
      <c r="K4130" s="3">
        <v>32000</v>
      </c>
    </row>
    <row r="4131" spans="1:11" x14ac:dyDescent="0.2">
      <c r="A4131" s="1" t="s">
        <v>9</v>
      </c>
      <c r="B4131" s="1" t="s">
        <v>992</v>
      </c>
      <c r="C4131" s="1"/>
      <c r="D4131" s="1"/>
      <c r="E4131" s="1"/>
      <c r="F4131" s="1"/>
      <c r="G4131" s="1"/>
      <c r="H4131" s="1" t="str">
        <f>"7800026008812"</f>
        <v>7800026008812</v>
      </c>
      <c r="I4131" s="3">
        <v>0</v>
      </c>
      <c r="J4131" s="3">
        <v>0</v>
      </c>
      <c r="K4131" s="3">
        <v>32000</v>
      </c>
    </row>
    <row r="4132" spans="1:11" x14ac:dyDescent="0.2">
      <c r="A4132" s="1" t="s">
        <v>9</v>
      </c>
      <c r="B4132" s="1" t="s">
        <v>1002</v>
      </c>
      <c r="C4132" s="1"/>
      <c r="D4132" s="1"/>
      <c r="E4132" s="1"/>
      <c r="F4132" s="1"/>
      <c r="G4132" s="1"/>
      <c r="H4132" s="1" t="str">
        <f>"7800026001639"</f>
        <v>7800026001639</v>
      </c>
      <c r="I4132" s="3">
        <v>6</v>
      </c>
      <c r="J4132" s="3">
        <v>0</v>
      </c>
      <c r="K4132" s="3">
        <v>20000</v>
      </c>
    </row>
    <row r="4133" spans="1:11" x14ac:dyDescent="0.2">
      <c r="A4133" s="1" t="s">
        <v>9</v>
      </c>
      <c r="B4133" s="1" t="s">
        <v>1003</v>
      </c>
      <c r="C4133" s="1"/>
      <c r="D4133" s="1"/>
      <c r="E4133" s="1"/>
      <c r="F4133" s="1"/>
      <c r="G4133" s="1"/>
      <c r="H4133" s="1" t="str">
        <f>"7800026001622"</f>
        <v>7800026001622</v>
      </c>
      <c r="I4133" s="3">
        <v>6</v>
      </c>
      <c r="J4133" s="3">
        <v>0</v>
      </c>
      <c r="K4133" s="3">
        <v>18000</v>
      </c>
    </row>
    <row r="4134" spans="1:11" x14ac:dyDescent="0.2">
      <c r="A4134" s="1" t="s">
        <v>9</v>
      </c>
      <c r="B4134" s="1" t="s">
        <v>1004</v>
      </c>
      <c r="C4134" s="1"/>
      <c r="D4134" s="1"/>
      <c r="E4134" s="1"/>
      <c r="F4134" s="1"/>
      <c r="G4134" s="1"/>
      <c r="H4134" s="1" t="str">
        <f>"7800063115405"</f>
        <v>7800063115405</v>
      </c>
      <c r="I4134" s="3">
        <v>150</v>
      </c>
      <c r="J4134" s="3">
        <v>0</v>
      </c>
      <c r="K4134" s="3">
        <v>1000</v>
      </c>
    </row>
    <row r="4135" spans="1:11" x14ac:dyDescent="0.2">
      <c r="A4135" s="1" t="s">
        <v>9</v>
      </c>
      <c r="B4135" s="1" t="s">
        <v>1005</v>
      </c>
      <c r="C4135" s="1"/>
      <c r="D4135" s="1"/>
      <c r="E4135" s="1"/>
      <c r="F4135" s="1"/>
      <c r="G4135" s="1"/>
      <c r="H4135" s="1" t="str">
        <f>"7800007746320"</f>
        <v>7800007746320</v>
      </c>
      <c r="I4135" s="3">
        <v>35</v>
      </c>
      <c r="J4135" s="3">
        <v>0</v>
      </c>
      <c r="K4135" s="3">
        <v>1000</v>
      </c>
    </row>
    <row r="4136" spans="1:11" x14ac:dyDescent="0.2">
      <c r="A4136" s="1" t="s">
        <v>9</v>
      </c>
      <c r="B4136" s="1" t="s">
        <v>1009</v>
      </c>
      <c r="C4136" s="1"/>
      <c r="D4136" s="1"/>
      <c r="E4136" s="1"/>
      <c r="F4136" s="1"/>
      <c r="G4136" s="1"/>
      <c r="H4136" s="1" t="str">
        <f>"7804667110316"</f>
        <v>7804667110316</v>
      </c>
      <c r="I4136" s="3">
        <v>0</v>
      </c>
      <c r="J4136" s="3">
        <v>0</v>
      </c>
      <c r="K4136" s="3">
        <v>1500</v>
      </c>
    </row>
    <row r="4137" spans="1:11" x14ac:dyDescent="0.2">
      <c r="A4137" s="1" t="s">
        <v>9</v>
      </c>
      <c r="B4137" s="1" t="s">
        <v>1037</v>
      </c>
      <c r="C4137" s="1"/>
      <c r="D4137" s="1"/>
      <c r="E4137" s="1"/>
      <c r="F4137" s="1"/>
      <c r="G4137" s="1"/>
      <c r="H4137" s="1" t="str">
        <f>"7804677770555"</f>
        <v>7804677770555</v>
      </c>
      <c r="I4137" s="3">
        <v>0</v>
      </c>
      <c r="J4137" s="3">
        <v>0</v>
      </c>
      <c r="K4137" s="3">
        <v>1000</v>
      </c>
    </row>
    <row r="4138" spans="1:11" x14ac:dyDescent="0.2">
      <c r="A4138" s="1" t="s">
        <v>9</v>
      </c>
      <c r="B4138" s="1" t="s">
        <v>1038</v>
      </c>
      <c r="C4138" s="1"/>
      <c r="D4138" s="1"/>
      <c r="E4138" s="1"/>
      <c r="F4138" s="1"/>
      <c r="G4138" s="1"/>
      <c r="H4138" s="1" t="str">
        <f>"7800063110639"</f>
        <v>7800063110639</v>
      </c>
      <c r="I4138" s="3">
        <v>13</v>
      </c>
      <c r="J4138" s="3">
        <v>0</v>
      </c>
      <c r="K4138" s="3">
        <v>1000</v>
      </c>
    </row>
    <row r="4139" spans="1:11" x14ac:dyDescent="0.2">
      <c r="A4139" s="1" t="s">
        <v>9</v>
      </c>
      <c r="B4139" s="1" t="s">
        <v>1039</v>
      </c>
      <c r="C4139" s="1"/>
      <c r="D4139" s="1"/>
      <c r="E4139" s="1"/>
      <c r="F4139" s="1"/>
      <c r="G4139" s="1"/>
      <c r="H4139" s="1" t="str">
        <f>"7800007790309"</f>
        <v>7800007790309</v>
      </c>
      <c r="I4139" s="3">
        <v>0</v>
      </c>
      <c r="J4139" s="3">
        <v>0</v>
      </c>
      <c r="K4139" s="3">
        <v>1000</v>
      </c>
    </row>
    <row r="4140" spans="1:11" x14ac:dyDescent="0.2">
      <c r="A4140" s="1" t="s">
        <v>9</v>
      </c>
      <c r="B4140" s="1" t="s">
        <v>1055</v>
      </c>
      <c r="C4140" s="1"/>
      <c r="D4140" s="1"/>
      <c r="E4140" s="1"/>
      <c r="F4140" s="1"/>
      <c r="G4140" s="1"/>
      <c r="H4140" s="1" t="str">
        <f>"8903726303818"</f>
        <v>8903726303818</v>
      </c>
      <c r="I4140" s="3">
        <v>44</v>
      </c>
      <c r="J4140" s="3">
        <v>0</v>
      </c>
      <c r="K4140" s="3">
        <v>2000</v>
      </c>
    </row>
    <row r="4141" spans="1:11" x14ac:dyDescent="0.2">
      <c r="A4141" s="1" t="s">
        <v>9</v>
      </c>
      <c r="B4141" s="1" t="s">
        <v>1056</v>
      </c>
      <c r="C4141" s="1"/>
      <c r="D4141" s="1"/>
      <c r="E4141" s="1"/>
      <c r="F4141" s="1"/>
      <c r="G4141" s="1"/>
      <c r="H4141" s="1" t="str">
        <f>"7800063000404"</f>
        <v>7800063000404</v>
      </c>
      <c r="I4141" s="3">
        <v>152</v>
      </c>
      <c r="J4141" s="3">
        <v>0</v>
      </c>
      <c r="K4141" s="3">
        <v>2500</v>
      </c>
    </row>
    <row r="4142" spans="1:11" x14ac:dyDescent="0.2">
      <c r="A4142" s="1" t="s">
        <v>9</v>
      </c>
      <c r="B4142" s="1" t="s">
        <v>1071</v>
      </c>
      <c r="C4142" s="1"/>
      <c r="D4142" s="1"/>
      <c r="E4142" s="1"/>
      <c r="F4142" s="1"/>
      <c r="G4142" s="1"/>
      <c r="H4142" s="1" t="str">
        <f>"8901530004341"</f>
        <v>8901530004341</v>
      </c>
      <c r="I4142" s="3">
        <v>109</v>
      </c>
      <c r="J4142" s="3">
        <v>0</v>
      </c>
      <c r="K4142" s="3">
        <v>4000</v>
      </c>
    </row>
    <row r="4143" spans="1:11" x14ac:dyDescent="0.2">
      <c r="A4143" s="1" t="s">
        <v>9</v>
      </c>
      <c r="B4143" s="1" t="s">
        <v>1073</v>
      </c>
      <c r="C4143" s="1"/>
      <c r="D4143" s="1"/>
      <c r="E4143" s="1"/>
      <c r="F4143" s="1"/>
      <c r="G4143" s="1"/>
      <c r="H4143" s="1" t="str">
        <f>"7800018132105"</f>
        <v>7800018132105</v>
      </c>
      <c r="I4143" s="3">
        <v>11</v>
      </c>
      <c r="J4143" s="3">
        <v>0</v>
      </c>
      <c r="K4143" s="3">
        <v>4500</v>
      </c>
    </row>
    <row r="4144" spans="1:11" x14ac:dyDescent="0.2">
      <c r="A4144" s="1" t="s">
        <v>9</v>
      </c>
      <c r="B4144" s="1" t="s">
        <v>1085</v>
      </c>
      <c r="C4144" s="1"/>
      <c r="D4144" s="1"/>
      <c r="E4144" s="1"/>
      <c r="F4144" s="1"/>
      <c r="G4144" s="1"/>
      <c r="H4144" s="1" t="str">
        <f>"7804640560428"</f>
        <v>7804640560428</v>
      </c>
      <c r="I4144" s="3">
        <v>306</v>
      </c>
      <c r="J4144" s="3">
        <v>0</v>
      </c>
      <c r="K4144" s="3">
        <v>1000</v>
      </c>
    </row>
    <row r="4145" spans="1:11" x14ac:dyDescent="0.2">
      <c r="A4145" s="1" t="s">
        <v>9</v>
      </c>
      <c r="B4145" s="1" t="s">
        <v>1086</v>
      </c>
      <c r="C4145" s="1"/>
      <c r="D4145" s="1"/>
      <c r="E4145" s="1"/>
      <c r="F4145" s="1"/>
      <c r="G4145" s="1"/>
      <c r="H4145" s="1" t="str">
        <f>"7804620834556"</f>
        <v>7804620834556</v>
      </c>
      <c r="I4145" s="3">
        <v>302</v>
      </c>
      <c r="J4145" s="3">
        <v>0</v>
      </c>
      <c r="K4145" s="3">
        <v>1000</v>
      </c>
    </row>
    <row r="4146" spans="1:11" x14ac:dyDescent="0.2">
      <c r="A4146" s="1" t="s">
        <v>9</v>
      </c>
      <c r="B4146" s="1" t="s">
        <v>1089</v>
      </c>
      <c r="C4146" s="1"/>
      <c r="D4146" s="1"/>
      <c r="E4146" s="1"/>
      <c r="F4146" s="1"/>
      <c r="G4146" s="1"/>
      <c r="H4146" s="1" t="str">
        <f>"7804650883852"</f>
        <v>7804650883852</v>
      </c>
      <c r="I4146" s="3">
        <v>387</v>
      </c>
      <c r="J4146" s="3">
        <v>0</v>
      </c>
      <c r="K4146" s="3">
        <v>1000</v>
      </c>
    </row>
    <row r="4147" spans="1:11" x14ac:dyDescent="0.2">
      <c r="A4147" s="1" t="s">
        <v>9</v>
      </c>
      <c r="B4147" s="1" t="s">
        <v>1094</v>
      </c>
      <c r="C4147" s="1"/>
      <c r="D4147" s="1"/>
      <c r="E4147" s="1"/>
      <c r="F4147" s="1"/>
      <c r="G4147" s="1"/>
      <c r="H4147" s="1" t="str">
        <f>"7800028112197"</f>
        <v>7800028112197</v>
      </c>
      <c r="I4147" s="3">
        <v>35</v>
      </c>
      <c r="J4147" s="3">
        <v>0</v>
      </c>
      <c r="K4147" s="3">
        <v>8000</v>
      </c>
    </row>
    <row r="4148" spans="1:11" x14ac:dyDescent="0.2">
      <c r="A4148" s="1" t="s">
        <v>9</v>
      </c>
      <c r="B4148" s="1" t="s">
        <v>1099</v>
      </c>
      <c r="C4148" s="1"/>
      <c r="D4148" s="1"/>
      <c r="E4148" s="1"/>
      <c r="F4148" s="1"/>
      <c r="G4148" s="1"/>
      <c r="H4148" s="1" t="str">
        <f>"7800063110684"</f>
        <v>7800063110684</v>
      </c>
      <c r="I4148" s="3">
        <v>388</v>
      </c>
      <c r="J4148" s="3">
        <v>0</v>
      </c>
      <c r="K4148" s="3">
        <v>1000</v>
      </c>
    </row>
    <row r="4149" spans="1:11" x14ac:dyDescent="0.2">
      <c r="A4149" s="1" t="s">
        <v>9</v>
      </c>
      <c r="B4149" s="1" t="s">
        <v>1101</v>
      </c>
      <c r="C4149" s="1"/>
      <c r="D4149" s="1"/>
      <c r="E4149" s="1"/>
      <c r="F4149" s="1"/>
      <c r="G4149" s="1"/>
      <c r="H4149" s="1" t="str">
        <f>"7800007805287"</f>
        <v>7800007805287</v>
      </c>
      <c r="I4149" s="3">
        <v>42</v>
      </c>
      <c r="J4149" s="3">
        <v>0</v>
      </c>
      <c r="K4149" s="3">
        <v>3000</v>
      </c>
    </row>
    <row r="4150" spans="1:11" x14ac:dyDescent="0.2">
      <c r="A4150" s="1" t="s">
        <v>9</v>
      </c>
      <c r="B4150" s="1" t="s">
        <v>1107</v>
      </c>
      <c r="C4150" s="1"/>
      <c r="D4150" s="1"/>
      <c r="E4150" s="1"/>
      <c r="F4150" s="1"/>
      <c r="G4150" s="1"/>
      <c r="H4150" s="1" t="str">
        <f>"7800007128072"</f>
        <v>7800007128072</v>
      </c>
      <c r="I4150" s="3">
        <v>110</v>
      </c>
      <c r="J4150" s="3">
        <v>0</v>
      </c>
      <c r="K4150" s="3">
        <v>500</v>
      </c>
    </row>
    <row r="4151" spans="1:11" x14ac:dyDescent="0.2">
      <c r="A4151" s="1" t="s">
        <v>9</v>
      </c>
      <c r="B4151" s="1" t="s">
        <v>1109</v>
      </c>
      <c r="C4151" s="1"/>
      <c r="D4151" s="1"/>
      <c r="E4151" s="1"/>
      <c r="F4151" s="1"/>
      <c r="G4151" s="1"/>
      <c r="H4151" s="1" t="str">
        <f>"7800063110363"</f>
        <v>7800063110363</v>
      </c>
      <c r="I4151" s="3">
        <v>24</v>
      </c>
      <c r="J4151" s="3">
        <v>0</v>
      </c>
      <c r="K4151" s="3">
        <v>500</v>
      </c>
    </row>
    <row r="4152" spans="1:11" x14ac:dyDescent="0.2">
      <c r="A4152" s="1" t="s">
        <v>9</v>
      </c>
      <c r="B4152" s="1" t="s">
        <v>1125</v>
      </c>
      <c r="C4152" s="1"/>
      <c r="D4152" s="1"/>
      <c r="E4152" s="1"/>
      <c r="F4152" s="1"/>
      <c r="G4152" s="1"/>
      <c r="H4152" s="1" t="str">
        <f>"7804650885382"</f>
        <v>7804650885382</v>
      </c>
      <c r="I4152" s="3">
        <v>0</v>
      </c>
      <c r="J4152" s="3">
        <v>0</v>
      </c>
      <c r="K4152" s="3">
        <v>7000</v>
      </c>
    </row>
    <row r="4153" spans="1:11" x14ac:dyDescent="0.2">
      <c r="A4153" s="1" t="s">
        <v>9</v>
      </c>
      <c r="B4153" s="1" t="s">
        <v>1126</v>
      </c>
      <c r="C4153" s="1"/>
      <c r="D4153" s="1"/>
      <c r="E4153" s="1"/>
      <c r="F4153" s="1"/>
      <c r="G4153" s="1"/>
      <c r="H4153" s="1" t="str">
        <f>"7800007141927"</f>
        <v>7800007141927</v>
      </c>
      <c r="I4153" s="3">
        <v>0</v>
      </c>
      <c r="J4153" s="3">
        <v>0</v>
      </c>
      <c r="K4153" s="3">
        <v>2000</v>
      </c>
    </row>
    <row r="4154" spans="1:11" x14ac:dyDescent="0.2">
      <c r="A4154" s="1" t="s">
        <v>9</v>
      </c>
      <c r="B4154" s="1" t="s">
        <v>1127</v>
      </c>
      <c r="C4154" s="1"/>
      <c r="D4154" s="1"/>
      <c r="E4154" s="1"/>
      <c r="F4154" s="1"/>
      <c r="G4154" s="1"/>
      <c r="H4154" s="1" t="str">
        <f>"8906051722934"</f>
        <v>8906051722934</v>
      </c>
      <c r="I4154" s="3">
        <v>1</v>
      </c>
      <c r="J4154" s="3">
        <v>0</v>
      </c>
      <c r="K4154" s="3">
        <v>2000</v>
      </c>
    </row>
    <row r="4155" spans="1:11" x14ac:dyDescent="0.2">
      <c r="A4155" s="1" t="s">
        <v>9</v>
      </c>
      <c r="B4155" s="1" t="s">
        <v>1128</v>
      </c>
      <c r="C4155" s="1"/>
      <c r="D4155" s="1"/>
      <c r="E4155" s="1"/>
      <c r="F4155" s="1"/>
      <c r="G4155" s="1"/>
      <c r="H4155" s="1" t="str">
        <f>"7804640561203"</f>
        <v>7804640561203</v>
      </c>
      <c r="I4155" s="3">
        <v>60</v>
      </c>
      <c r="J4155" s="3">
        <v>0</v>
      </c>
      <c r="K4155" s="3">
        <v>2000</v>
      </c>
    </row>
    <row r="4156" spans="1:11" x14ac:dyDescent="0.2">
      <c r="A4156" s="1" t="s">
        <v>9</v>
      </c>
      <c r="B4156" s="1" t="s">
        <v>1129</v>
      </c>
      <c r="C4156" s="1"/>
      <c r="D4156" s="1"/>
      <c r="E4156" s="1"/>
      <c r="F4156" s="1"/>
      <c r="G4156" s="1"/>
      <c r="H4156" s="1" t="str">
        <f>"7804673040218"</f>
        <v>7804673040218</v>
      </c>
      <c r="I4156" s="3">
        <v>129</v>
      </c>
      <c r="J4156" s="3">
        <v>0</v>
      </c>
      <c r="K4156" s="3">
        <v>1000</v>
      </c>
    </row>
    <row r="4157" spans="1:11" x14ac:dyDescent="0.2">
      <c r="A4157" s="1" t="s">
        <v>9</v>
      </c>
      <c r="B4157" s="1" t="s">
        <v>1132</v>
      </c>
      <c r="C4157" s="1"/>
      <c r="D4157" s="1"/>
      <c r="E4157" s="1"/>
      <c r="F4157" s="1"/>
      <c r="G4157" s="1"/>
      <c r="H4157" s="1" t="str">
        <f>"7804673040263"</f>
        <v>7804673040263</v>
      </c>
      <c r="I4157" s="3">
        <v>328</v>
      </c>
      <c r="J4157" s="3">
        <v>0</v>
      </c>
      <c r="K4157" s="3">
        <v>500</v>
      </c>
    </row>
    <row r="4158" spans="1:11" x14ac:dyDescent="0.2">
      <c r="A4158" s="1" t="s">
        <v>9</v>
      </c>
      <c r="B4158" s="1" t="s">
        <v>1169</v>
      </c>
      <c r="C4158" s="1"/>
      <c r="D4158" s="1"/>
      <c r="E4158" s="1"/>
      <c r="F4158" s="1"/>
      <c r="G4158" s="1"/>
      <c r="H4158" s="1" t="str">
        <f>"7800018000770"</f>
        <v>7800018000770</v>
      </c>
      <c r="I4158" s="3">
        <v>88</v>
      </c>
      <c r="J4158" s="3">
        <v>0</v>
      </c>
      <c r="K4158" s="3">
        <v>1500</v>
      </c>
    </row>
    <row r="4159" spans="1:11" x14ac:dyDescent="0.2">
      <c r="A4159" s="1" t="s">
        <v>9</v>
      </c>
      <c r="B4159" s="1" t="s">
        <v>1172</v>
      </c>
      <c r="C4159" s="1"/>
      <c r="D4159" s="1"/>
      <c r="E4159" s="1"/>
      <c r="F4159" s="1"/>
      <c r="G4159" s="1"/>
      <c r="H4159" s="1" t="str">
        <f>"7730979098014"</f>
        <v>7730979098014</v>
      </c>
      <c r="I4159" s="3">
        <v>0</v>
      </c>
      <c r="J4159" s="3">
        <v>0</v>
      </c>
      <c r="K4159" s="3">
        <v>29000</v>
      </c>
    </row>
    <row r="4160" spans="1:11" x14ac:dyDescent="0.2">
      <c r="A4160" s="1" t="s">
        <v>9</v>
      </c>
      <c r="B4160" s="1" t="s">
        <v>1173</v>
      </c>
      <c r="C4160" s="1"/>
      <c r="D4160" s="1"/>
      <c r="E4160" s="1"/>
      <c r="F4160" s="1"/>
      <c r="G4160" s="1"/>
      <c r="H4160" s="1" t="str">
        <f>"7730979098021"</f>
        <v>7730979098021</v>
      </c>
      <c r="I4160" s="3">
        <v>1</v>
      </c>
      <c r="J4160" s="3">
        <v>0</v>
      </c>
      <c r="K4160" s="3">
        <v>35000</v>
      </c>
    </row>
    <row r="4161" spans="1:11" x14ac:dyDescent="0.2">
      <c r="A4161" s="1" t="s">
        <v>9</v>
      </c>
      <c r="B4161" s="1" t="s">
        <v>1206</v>
      </c>
      <c r="C4161" s="1"/>
      <c r="D4161" s="1"/>
      <c r="E4161" s="1"/>
      <c r="F4161" s="1"/>
      <c r="G4161" s="1"/>
      <c r="H4161" s="1" t="str">
        <f>"7800017043402"</f>
        <v>7800017043402</v>
      </c>
      <c r="I4161" s="3">
        <v>1</v>
      </c>
      <c r="J4161" s="3">
        <v>0</v>
      </c>
      <c r="K4161" s="3">
        <v>26000</v>
      </c>
    </row>
    <row r="4162" spans="1:11" x14ac:dyDescent="0.2">
      <c r="A4162" s="1" t="s">
        <v>9</v>
      </c>
      <c r="B4162" s="1" t="s">
        <v>1219</v>
      </c>
      <c r="C4162" s="1"/>
      <c r="D4162" s="1"/>
      <c r="E4162" s="1"/>
      <c r="F4162" s="1"/>
      <c r="G4162" s="1"/>
      <c r="H4162" s="1" t="str">
        <f>"7800026007877"</f>
        <v>7800026007877</v>
      </c>
      <c r="I4162" s="3">
        <v>0</v>
      </c>
      <c r="J4162" s="3">
        <v>0</v>
      </c>
      <c r="K4162" s="3">
        <v>33000</v>
      </c>
    </row>
    <row r="4163" spans="1:11" x14ac:dyDescent="0.2">
      <c r="A4163" s="1" t="s">
        <v>9</v>
      </c>
      <c r="B4163" s="1" t="s">
        <v>1220</v>
      </c>
      <c r="C4163" s="1"/>
      <c r="D4163" s="1"/>
      <c r="E4163" s="1"/>
      <c r="F4163" s="1"/>
      <c r="G4163" s="1"/>
      <c r="H4163" s="1" t="str">
        <f>"7800026007822"</f>
        <v>7800026007822</v>
      </c>
      <c r="I4163" s="3">
        <v>1</v>
      </c>
      <c r="J4163" s="3">
        <v>0</v>
      </c>
      <c r="K4163" s="3">
        <v>28000</v>
      </c>
    </row>
    <row r="4164" spans="1:11" x14ac:dyDescent="0.2">
      <c r="A4164" s="1" t="s">
        <v>9</v>
      </c>
      <c r="B4164" s="1" t="s">
        <v>1246</v>
      </c>
      <c r="C4164" s="1"/>
      <c r="D4164" s="1"/>
      <c r="E4164" s="1"/>
      <c r="F4164" s="1"/>
      <c r="G4164" s="1"/>
      <c r="H4164" s="1" t="str">
        <f>"7800068010422"</f>
        <v>7800068010422</v>
      </c>
      <c r="I4164" s="3">
        <v>0</v>
      </c>
      <c r="J4164" s="3">
        <v>0</v>
      </c>
      <c r="K4164" s="3">
        <v>8500</v>
      </c>
    </row>
    <row r="4165" spans="1:11" x14ac:dyDescent="0.2">
      <c r="A4165" s="1" t="s">
        <v>9</v>
      </c>
      <c r="B4165" s="1" t="s">
        <v>1257</v>
      </c>
      <c r="C4165" s="1"/>
      <c r="D4165" s="1"/>
      <c r="E4165" s="1"/>
      <c r="F4165" s="1"/>
      <c r="G4165" s="1"/>
      <c r="H4165" s="1" t="str">
        <f>"8903726249451"</f>
        <v>8903726249451</v>
      </c>
      <c r="I4165" s="3">
        <v>218</v>
      </c>
      <c r="J4165" s="3">
        <v>0</v>
      </c>
      <c r="K4165" s="3">
        <v>3500</v>
      </c>
    </row>
    <row r="4166" spans="1:11" x14ac:dyDescent="0.2">
      <c r="A4166" s="1" t="s">
        <v>9</v>
      </c>
      <c r="B4166" s="1" t="s">
        <v>1258</v>
      </c>
      <c r="C4166" s="1"/>
      <c r="D4166" s="1"/>
      <c r="E4166" s="1"/>
      <c r="F4166" s="1"/>
      <c r="G4166" s="1"/>
      <c r="H4166" s="1" t="str">
        <f>"8903726313930"</f>
        <v>8903726313930</v>
      </c>
      <c r="I4166" s="3">
        <v>121</v>
      </c>
      <c r="J4166" s="3">
        <v>0</v>
      </c>
      <c r="K4166" s="3">
        <v>5000</v>
      </c>
    </row>
    <row r="4167" spans="1:11" x14ac:dyDescent="0.2">
      <c r="A4167" s="1" t="s">
        <v>9</v>
      </c>
      <c r="B4167" s="1" t="s">
        <v>1259</v>
      </c>
      <c r="C4167" s="1"/>
      <c r="D4167" s="1"/>
      <c r="E4167" s="1"/>
      <c r="F4167" s="1"/>
      <c r="G4167" s="1"/>
      <c r="H4167" s="1" t="str">
        <f>"8903726313947"</f>
        <v>8903726313947</v>
      </c>
      <c r="I4167" s="3">
        <v>97</v>
      </c>
      <c r="J4167" s="3">
        <v>0</v>
      </c>
      <c r="K4167" s="3">
        <v>9000</v>
      </c>
    </row>
    <row r="4168" spans="1:11" x14ac:dyDescent="0.2">
      <c r="A4168" s="1" t="s">
        <v>9</v>
      </c>
      <c r="B4168" s="1" t="s">
        <v>1469</v>
      </c>
      <c r="C4168" s="1"/>
      <c r="D4168" s="1"/>
      <c r="E4168" s="1"/>
      <c r="F4168" s="1"/>
      <c r="G4168" s="1"/>
      <c r="H4168" s="1" t="str">
        <f>"7804673040294"</f>
        <v>7804673040294</v>
      </c>
      <c r="I4168" s="3">
        <v>1</v>
      </c>
      <c r="J4168" s="3">
        <v>0</v>
      </c>
      <c r="K4168" s="3">
        <v>2000</v>
      </c>
    </row>
    <row r="4169" spans="1:11" x14ac:dyDescent="0.2">
      <c r="A4169" s="1" t="s">
        <v>9</v>
      </c>
      <c r="B4169" s="1" t="s">
        <v>1472</v>
      </c>
      <c r="C4169" s="1"/>
      <c r="D4169" s="1"/>
      <c r="E4169" s="1"/>
      <c r="F4169" s="1"/>
      <c r="G4169" s="1"/>
      <c r="H4169" s="1" t="str">
        <f>"7804640561890"</f>
        <v>7804640561890</v>
      </c>
      <c r="I4169" s="3">
        <v>0</v>
      </c>
      <c r="J4169" s="3">
        <v>0</v>
      </c>
      <c r="K4169" s="3">
        <v>2000</v>
      </c>
    </row>
    <row r="4170" spans="1:11" x14ac:dyDescent="0.2">
      <c r="A4170" s="1" t="s">
        <v>9</v>
      </c>
      <c r="B4170" s="1" t="s">
        <v>1518</v>
      </c>
      <c r="C4170" s="1"/>
      <c r="D4170" s="1"/>
      <c r="E4170" s="1"/>
      <c r="F4170" s="1"/>
      <c r="G4170" s="1"/>
      <c r="H4170" s="1" t="str">
        <f>"7804673040270"</f>
        <v>7804673040270</v>
      </c>
      <c r="I4170" s="3">
        <v>112</v>
      </c>
      <c r="J4170" s="3">
        <v>0</v>
      </c>
      <c r="K4170" s="3">
        <v>1000</v>
      </c>
    </row>
    <row r="4171" spans="1:11" x14ac:dyDescent="0.2">
      <c r="A4171" s="1" t="s">
        <v>9</v>
      </c>
      <c r="B4171" s="1" t="s">
        <v>1519</v>
      </c>
      <c r="C4171" s="1"/>
      <c r="D4171" s="1"/>
      <c r="E4171" s="1"/>
      <c r="F4171" s="1"/>
      <c r="G4171" s="1"/>
      <c r="H4171" s="1" t="str">
        <f>"7804640561685"</f>
        <v>7804640561685</v>
      </c>
      <c r="I4171" s="3">
        <v>243</v>
      </c>
      <c r="J4171" s="3">
        <v>0</v>
      </c>
      <c r="K4171" s="3">
        <v>2000</v>
      </c>
    </row>
    <row r="4172" spans="1:11" x14ac:dyDescent="0.2">
      <c r="A4172" s="1" t="s">
        <v>9</v>
      </c>
      <c r="B4172" s="1" t="s">
        <v>1521</v>
      </c>
      <c r="C4172" s="1"/>
      <c r="D4172" s="1"/>
      <c r="E4172" s="1"/>
      <c r="F4172" s="1"/>
      <c r="G4172" s="1"/>
      <c r="H4172" s="1" t="str">
        <f>"7800018000442"</f>
        <v>7800018000442</v>
      </c>
      <c r="I4172" s="3">
        <v>82</v>
      </c>
      <c r="J4172" s="3">
        <v>0</v>
      </c>
      <c r="K4172" s="3">
        <v>1000</v>
      </c>
    </row>
    <row r="4173" spans="1:11" x14ac:dyDescent="0.2">
      <c r="A4173" s="1" t="s">
        <v>9</v>
      </c>
      <c r="B4173" s="1" t="s">
        <v>1522</v>
      </c>
      <c r="C4173" s="1"/>
      <c r="D4173" s="1"/>
      <c r="E4173" s="1"/>
      <c r="F4173" s="1"/>
      <c r="G4173" s="1"/>
      <c r="H4173" s="1" t="str">
        <f>"8906051722729"</f>
        <v>8906051722729</v>
      </c>
      <c r="I4173" s="3">
        <v>224</v>
      </c>
      <c r="J4173" s="3">
        <v>0</v>
      </c>
      <c r="K4173" s="3">
        <v>1000</v>
      </c>
    </row>
    <row r="4174" spans="1:11" x14ac:dyDescent="0.2">
      <c r="A4174" s="1" t="s">
        <v>9</v>
      </c>
      <c r="B4174" s="1" t="s">
        <v>1523</v>
      </c>
      <c r="C4174" s="1"/>
      <c r="D4174" s="1"/>
      <c r="E4174" s="1"/>
      <c r="F4174" s="1"/>
      <c r="G4174" s="1"/>
      <c r="H4174" s="1" t="str">
        <f>"7804620836369"</f>
        <v>7804620836369</v>
      </c>
      <c r="I4174" s="3">
        <v>21</v>
      </c>
      <c r="J4174" s="3">
        <v>0</v>
      </c>
      <c r="K4174" s="3">
        <v>300</v>
      </c>
    </row>
    <row r="4175" spans="1:11" x14ac:dyDescent="0.2">
      <c r="A4175" s="1" t="s">
        <v>9</v>
      </c>
      <c r="B4175" s="1" t="s">
        <v>1526</v>
      </c>
      <c r="C4175" s="1"/>
      <c r="D4175" s="1"/>
      <c r="E4175" s="1"/>
      <c r="F4175" s="1"/>
      <c r="G4175" s="1"/>
      <c r="H4175" s="1" t="str">
        <f>"7804673040355"</f>
        <v>7804673040355</v>
      </c>
      <c r="I4175" s="3">
        <v>314</v>
      </c>
      <c r="J4175" s="3">
        <v>0</v>
      </c>
      <c r="K4175" s="3">
        <v>1000</v>
      </c>
    </row>
    <row r="4176" spans="1:11" x14ac:dyDescent="0.2">
      <c r="A4176" s="1" t="s">
        <v>9</v>
      </c>
      <c r="B4176" s="1" t="s">
        <v>1569</v>
      </c>
      <c r="C4176" s="1"/>
      <c r="D4176" s="1"/>
      <c r="E4176" s="1"/>
      <c r="F4176" s="1"/>
      <c r="G4176" s="1"/>
      <c r="H4176" s="1" t="str">
        <f>"7804614931568"</f>
        <v>7804614931568</v>
      </c>
      <c r="I4176" s="3">
        <v>100</v>
      </c>
      <c r="J4176" s="3">
        <v>0</v>
      </c>
      <c r="K4176" s="3">
        <v>6500</v>
      </c>
    </row>
    <row r="4177" spans="1:11" x14ac:dyDescent="0.2">
      <c r="A4177" s="1" t="s">
        <v>9</v>
      </c>
      <c r="B4177" s="1" t="s">
        <v>1581</v>
      </c>
      <c r="C4177" s="1"/>
      <c r="D4177" s="1"/>
      <c r="E4177" s="1"/>
      <c r="F4177" s="1"/>
      <c r="G4177" s="1"/>
      <c r="H4177" s="1" t="str">
        <f>"7800070000084"</f>
        <v>7800070000084</v>
      </c>
      <c r="I4177" s="3">
        <v>10</v>
      </c>
      <c r="J4177" s="3">
        <v>0</v>
      </c>
      <c r="K4177" s="3">
        <v>12000</v>
      </c>
    </row>
    <row r="4178" spans="1:11" x14ac:dyDescent="0.2">
      <c r="A4178" s="1" t="s">
        <v>9</v>
      </c>
      <c r="B4178" s="1" t="s">
        <v>1582</v>
      </c>
      <c r="C4178" s="1"/>
      <c r="D4178" s="1"/>
      <c r="E4178" s="1"/>
      <c r="F4178" s="1"/>
      <c r="G4178" s="1"/>
      <c r="H4178" s="1" t="str">
        <f>"7841141004396"</f>
        <v>7841141004396</v>
      </c>
      <c r="I4178" s="3">
        <v>78</v>
      </c>
      <c r="J4178" s="3">
        <v>0</v>
      </c>
      <c r="K4178" s="3">
        <v>10000</v>
      </c>
    </row>
    <row r="4179" spans="1:11" x14ac:dyDescent="0.2">
      <c r="A4179" s="1" t="s">
        <v>9</v>
      </c>
      <c r="B4179" s="1" t="s">
        <v>1584</v>
      </c>
      <c r="C4179" s="1"/>
      <c r="D4179" s="1"/>
      <c r="E4179" s="1"/>
      <c r="F4179" s="1"/>
      <c r="G4179" s="1"/>
      <c r="H4179" s="1" t="str">
        <f>"7500435243797"</f>
        <v>7500435243797</v>
      </c>
      <c r="I4179" s="3">
        <v>4</v>
      </c>
      <c r="J4179" s="3">
        <v>0</v>
      </c>
      <c r="K4179" s="3">
        <v>10000</v>
      </c>
    </row>
    <row r="4180" spans="1:11" x14ac:dyDescent="0.2">
      <c r="A4180" s="1" t="s">
        <v>9</v>
      </c>
      <c r="B4180" s="1" t="s">
        <v>1585</v>
      </c>
      <c r="C4180" s="1"/>
      <c r="D4180" s="1"/>
      <c r="E4180" s="1"/>
      <c r="F4180" s="1"/>
      <c r="G4180" s="1"/>
      <c r="H4180" s="1" t="str">
        <f>"7501298213699"</f>
        <v>7501298213699</v>
      </c>
      <c r="I4180" s="3">
        <v>8</v>
      </c>
      <c r="J4180" s="3">
        <v>0</v>
      </c>
      <c r="K4180" s="3">
        <v>17000</v>
      </c>
    </row>
    <row r="4181" spans="1:11" x14ac:dyDescent="0.2">
      <c r="A4181" s="1" t="s">
        <v>9</v>
      </c>
      <c r="B4181" s="1" t="s">
        <v>1586</v>
      </c>
      <c r="C4181" s="1"/>
      <c r="D4181" s="1"/>
      <c r="E4181" s="1"/>
      <c r="F4181" s="1"/>
      <c r="G4181" s="1"/>
      <c r="H4181" s="1" t="str">
        <f>"7804918501016"</f>
        <v>7804918501016</v>
      </c>
      <c r="I4181" s="3">
        <v>0</v>
      </c>
      <c r="J4181" s="3">
        <v>0</v>
      </c>
      <c r="K4181" s="3">
        <v>9000</v>
      </c>
    </row>
    <row r="4182" spans="1:11" x14ac:dyDescent="0.2">
      <c r="A4182" s="1" t="s">
        <v>9</v>
      </c>
      <c r="B4182" s="1" t="s">
        <v>1593</v>
      </c>
      <c r="C4182" s="1"/>
      <c r="D4182" s="1"/>
      <c r="E4182" s="1"/>
      <c r="F4182" s="1"/>
      <c r="G4182" s="1"/>
      <c r="H4182" s="1" t="str">
        <f>"7800028005048"</f>
        <v>7800028005048</v>
      </c>
      <c r="I4182" s="3">
        <v>3</v>
      </c>
      <c r="J4182" s="3">
        <v>0</v>
      </c>
      <c r="K4182" s="3">
        <v>13000</v>
      </c>
    </row>
    <row r="4183" spans="1:11" x14ac:dyDescent="0.2">
      <c r="A4183" s="1" t="s">
        <v>9</v>
      </c>
      <c r="B4183" s="1" t="s">
        <v>1596</v>
      </c>
      <c r="C4183" s="1"/>
      <c r="D4183" s="1"/>
      <c r="E4183" s="1"/>
      <c r="F4183" s="1"/>
      <c r="G4183" s="1"/>
      <c r="H4183" s="1" t="str">
        <f>"7800007129475"</f>
        <v>7800007129475</v>
      </c>
      <c r="I4183" s="3">
        <v>12</v>
      </c>
      <c r="J4183" s="3">
        <v>0</v>
      </c>
      <c r="K4183" s="3">
        <v>1000</v>
      </c>
    </row>
    <row r="4184" spans="1:11" x14ac:dyDescent="0.2">
      <c r="A4184" s="1" t="s">
        <v>9</v>
      </c>
      <c r="B4184" s="1" t="s">
        <v>1597</v>
      </c>
      <c r="C4184" s="1"/>
      <c r="D4184" s="1"/>
      <c r="E4184" s="1"/>
      <c r="F4184" s="1"/>
      <c r="G4184" s="1"/>
      <c r="H4184" s="1" t="str">
        <f>"7804620832835"</f>
        <v>7804620832835</v>
      </c>
      <c r="I4184" s="3">
        <v>99</v>
      </c>
      <c r="J4184" s="3">
        <v>0</v>
      </c>
      <c r="K4184" s="3">
        <v>1000</v>
      </c>
    </row>
    <row r="4185" spans="1:11" x14ac:dyDescent="0.2">
      <c r="A4185" s="1" t="s">
        <v>9</v>
      </c>
      <c r="B4185" s="1" t="s">
        <v>1599</v>
      </c>
      <c r="C4185" s="1"/>
      <c r="D4185" s="1"/>
      <c r="E4185" s="1"/>
      <c r="F4185" s="1"/>
      <c r="G4185" s="1"/>
      <c r="H4185" s="1" t="str">
        <f>"8903726207611"</f>
        <v>8903726207611</v>
      </c>
      <c r="I4185" s="3">
        <v>2</v>
      </c>
      <c r="J4185" s="3">
        <v>0</v>
      </c>
      <c r="K4185" s="3">
        <v>8500</v>
      </c>
    </row>
    <row r="4186" spans="1:11" x14ac:dyDescent="0.2">
      <c r="A4186" s="1" t="s">
        <v>9</v>
      </c>
      <c r="B4186" s="1" t="s">
        <v>1631</v>
      </c>
      <c r="C4186" s="1"/>
      <c r="D4186" s="1"/>
      <c r="E4186" s="1"/>
      <c r="F4186" s="1"/>
      <c r="G4186" s="1"/>
      <c r="H4186" s="1" t="str">
        <f>"7804620834891"</f>
        <v>7804620834891</v>
      </c>
      <c r="I4186" s="3">
        <v>151</v>
      </c>
      <c r="J4186" s="3">
        <v>0</v>
      </c>
      <c r="K4186" s="3">
        <v>2000</v>
      </c>
    </row>
    <row r="4187" spans="1:11" x14ac:dyDescent="0.2">
      <c r="A4187" s="1" t="s">
        <v>9</v>
      </c>
      <c r="B4187" s="1" t="s">
        <v>1644</v>
      </c>
      <c r="C4187" s="1"/>
      <c r="D4187" s="1"/>
      <c r="E4187" s="1"/>
      <c r="F4187" s="1"/>
      <c r="G4187" s="1"/>
      <c r="H4187" s="1" t="str">
        <f>"8903726249321"</f>
        <v>8903726249321</v>
      </c>
      <c r="I4187" s="3">
        <v>1</v>
      </c>
      <c r="J4187" s="3">
        <v>0</v>
      </c>
      <c r="K4187" s="3">
        <v>4500</v>
      </c>
    </row>
    <row r="4188" spans="1:11" x14ac:dyDescent="0.2">
      <c r="A4188" s="1" t="s">
        <v>9</v>
      </c>
      <c r="B4188" s="1" t="s">
        <v>1645</v>
      </c>
      <c r="C4188" s="1"/>
      <c r="D4188" s="1"/>
      <c r="E4188" s="1"/>
      <c r="F4188" s="1"/>
      <c r="G4188" s="1"/>
      <c r="H4188" s="1" t="str">
        <f>"7804650880417"</f>
        <v>7804650880417</v>
      </c>
      <c r="I4188" s="3">
        <v>48</v>
      </c>
      <c r="J4188" s="3">
        <v>0</v>
      </c>
      <c r="K4188" s="3">
        <v>6000</v>
      </c>
    </row>
    <row r="4189" spans="1:11" x14ac:dyDescent="0.2">
      <c r="A4189" s="1" t="s">
        <v>9</v>
      </c>
      <c r="B4189" s="1" t="s">
        <v>1647</v>
      </c>
      <c r="C4189" s="1"/>
      <c r="D4189" s="1"/>
      <c r="E4189" s="1"/>
      <c r="F4189" s="1"/>
      <c r="G4189" s="1"/>
      <c r="H4189" s="1" t="str">
        <f>"8903726250488"</f>
        <v>8903726250488</v>
      </c>
      <c r="I4189" s="3">
        <v>18</v>
      </c>
      <c r="J4189" s="3">
        <v>0</v>
      </c>
      <c r="K4189" s="3">
        <v>5500</v>
      </c>
    </row>
    <row r="4190" spans="1:11" x14ac:dyDescent="0.2">
      <c r="A4190" s="1" t="s">
        <v>9</v>
      </c>
      <c r="B4190" s="1" t="s">
        <v>1648</v>
      </c>
      <c r="C4190" s="1"/>
      <c r="D4190" s="1"/>
      <c r="E4190" s="1"/>
      <c r="F4190" s="1"/>
      <c r="G4190" s="1"/>
      <c r="H4190" s="1" t="str">
        <f>"7804681740285"</f>
        <v>7804681740285</v>
      </c>
      <c r="I4190" s="3">
        <v>1</v>
      </c>
      <c r="J4190" s="3">
        <v>0</v>
      </c>
      <c r="K4190" s="3">
        <v>11000</v>
      </c>
    </row>
    <row r="4191" spans="1:11" x14ac:dyDescent="0.2">
      <c r="A4191" s="1" t="s">
        <v>9</v>
      </c>
      <c r="B4191" s="1" t="s">
        <v>1655</v>
      </c>
      <c r="C4191" s="1"/>
      <c r="D4191" s="1"/>
      <c r="E4191" s="1"/>
      <c r="F4191" s="1"/>
      <c r="G4191" s="1"/>
      <c r="H4191" s="1" t="str">
        <f>"7891317011918"</f>
        <v>7891317011918</v>
      </c>
      <c r="I4191" s="3">
        <v>5</v>
      </c>
      <c r="J4191" s="3">
        <v>0</v>
      </c>
      <c r="K4191" s="3">
        <v>9000</v>
      </c>
    </row>
    <row r="4192" spans="1:11" x14ac:dyDescent="0.2">
      <c r="A4192" s="1" t="s">
        <v>9</v>
      </c>
      <c r="B4192" s="1" t="s">
        <v>1668</v>
      </c>
      <c r="C4192" s="1"/>
      <c r="D4192" s="1"/>
      <c r="E4192" s="1"/>
      <c r="F4192" s="1"/>
      <c r="G4192" s="1"/>
      <c r="H4192" s="1" t="str">
        <f>"8437020503129"</f>
        <v>8437020503129</v>
      </c>
      <c r="I4192" s="3">
        <v>49</v>
      </c>
      <c r="J4192" s="3">
        <v>0</v>
      </c>
      <c r="K4192" s="3">
        <v>11000</v>
      </c>
    </row>
    <row r="4193" spans="1:11" x14ac:dyDescent="0.2">
      <c r="A4193" s="1" t="s">
        <v>9</v>
      </c>
      <c r="B4193" s="1" t="s">
        <v>1738</v>
      </c>
      <c r="C4193" s="1"/>
      <c r="D4193" s="1"/>
      <c r="E4193" s="1"/>
      <c r="F4193" s="1"/>
      <c r="G4193" s="1"/>
      <c r="H4193" s="1" t="str">
        <f>"7804620833047"</f>
        <v>7804620833047</v>
      </c>
      <c r="I4193" s="3">
        <v>166</v>
      </c>
      <c r="J4193" s="3">
        <v>0</v>
      </c>
      <c r="K4193" s="3">
        <v>500</v>
      </c>
    </row>
    <row r="4194" spans="1:11" x14ac:dyDescent="0.2">
      <c r="A4194" s="1" t="s">
        <v>9</v>
      </c>
      <c r="B4194" s="1" t="s">
        <v>1740</v>
      </c>
      <c r="C4194" s="1"/>
      <c r="D4194" s="1"/>
      <c r="E4194" s="1"/>
      <c r="F4194" s="1"/>
      <c r="G4194" s="1"/>
      <c r="H4194" s="1" t="str">
        <f>"7804620832767"</f>
        <v>7804620832767</v>
      </c>
      <c r="I4194" s="3">
        <v>284</v>
      </c>
      <c r="J4194" s="3">
        <v>0</v>
      </c>
      <c r="K4194" s="3">
        <v>600</v>
      </c>
    </row>
    <row r="4195" spans="1:11" x14ac:dyDescent="0.2">
      <c r="A4195" s="1" t="s">
        <v>9</v>
      </c>
      <c r="B4195" s="1" t="s">
        <v>1741</v>
      </c>
      <c r="C4195" s="1"/>
      <c r="D4195" s="1"/>
      <c r="E4195" s="1"/>
      <c r="F4195" s="1"/>
      <c r="G4195" s="1"/>
      <c r="H4195" s="1" t="str">
        <f>"4048846024541"</f>
        <v>4048846024541</v>
      </c>
      <c r="I4195" s="3">
        <v>2</v>
      </c>
      <c r="J4195" s="3">
        <v>0</v>
      </c>
      <c r="K4195" s="3">
        <v>27000</v>
      </c>
    </row>
    <row r="4196" spans="1:11" x14ac:dyDescent="0.2">
      <c r="A4196" s="1" t="s">
        <v>9</v>
      </c>
      <c r="B4196" s="1" t="s">
        <v>1742</v>
      </c>
      <c r="C4196" s="1"/>
      <c r="D4196" s="1"/>
      <c r="E4196" s="1"/>
      <c r="F4196" s="1"/>
      <c r="G4196" s="1"/>
      <c r="H4196" s="1" t="str">
        <f>"4048846024527"</f>
        <v>4048846024527</v>
      </c>
      <c r="I4196" s="3">
        <v>0</v>
      </c>
      <c r="J4196" s="3">
        <v>0</v>
      </c>
      <c r="K4196" s="3">
        <v>50000</v>
      </c>
    </row>
    <row r="4197" spans="1:11" x14ac:dyDescent="0.2">
      <c r="A4197" s="1" t="s">
        <v>9</v>
      </c>
      <c r="B4197" s="1" t="s">
        <v>1772</v>
      </c>
      <c r="C4197" s="1"/>
      <c r="D4197" s="1"/>
      <c r="E4197" s="1"/>
      <c r="F4197" s="1"/>
      <c r="G4197" s="1"/>
      <c r="H4197" s="1" t="str">
        <f>"7800032004136"</f>
        <v>7800032004136</v>
      </c>
      <c r="I4197" s="3">
        <v>1</v>
      </c>
      <c r="J4197" s="3">
        <v>0</v>
      </c>
      <c r="K4197" s="3">
        <v>140000</v>
      </c>
    </row>
    <row r="4198" spans="1:11" x14ac:dyDescent="0.2">
      <c r="A4198" s="1" t="s">
        <v>9</v>
      </c>
      <c r="B4198" s="1" t="s">
        <v>1773</v>
      </c>
      <c r="C4198" s="1"/>
      <c r="D4198" s="1"/>
      <c r="E4198" s="1"/>
      <c r="F4198" s="1"/>
      <c r="G4198" s="1"/>
      <c r="H4198" s="1" t="str">
        <f>"7800032004143"</f>
        <v>7800032004143</v>
      </c>
      <c r="I4198" s="3">
        <v>1</v>
      </c>
      <c r="J4198" s="3">
        <v>0</v>
      </c>
      <c r="K4198" s="3">
        <v>150000</v>
      </c>
    </row>
    <row r="4199" spans="1:11" x14ac:dyDescent="0.2">
      <c r="A4199" s="1" t="s">
        <v>9</v>
      </c>
      <c r="B4199" s="1" t="s">
        <v>1783</v>
      </c>
      <c r="C4199" s="1"/>
      <c r="D4199" s="1"/>
      <c r="E4199" s="1"/>
      <c r="F4199" s="1"/>
      <c r="G4199" s="1"/>
      <c r="H4199" s="1" t="str">
        <f>"7804633500417"</f>
        <v>7804633500417</v>
      </c>
      <c r="I4199" s="3">
        <v>0</v>
      </c>
      <c r="J4199" s="3">
        <v>0</v>
      </c>
      <c r="K4199" s="3">
        <v>2000</v>
      </c>
    </row>
    <row r="4200" spans="1:11" x14ac:dyDescent="0.2">
      <c r="A4200" s="1" t="s">
        <v>9</v>
      </c>
      <c r="B4200" s="1" t="s">
        <v>1784</v>
      </c>
      <c r="C4200" s="1"/>
      <c r="D4200" s="1"/>
      <c r="E4200" s="1"/>
      <c r="F4200" s="1"/>
      <c r="G4200" s="1"/>
      <c r="H4200" s="1" t="str">
        <f>"8903726214817"</f>
        <v>8903726214817</v>
      </c>
      <c r="I4200" s="3">
        <v>167</v>
      </c>
      <c r="J4200" s="3">
        <v>0</v>
      </c>
      <c r="K4200" s="3">
        <v>2000</v>
      </c>
    </row>
    <row r="4201" spans="1:11" x14ac:dyDescent="0.2">
      <c r="A4201" s="1" t="s">
        <v>9</v>
      </c>
      <c r="B4201" s="1" t="s">
        <v>1787</v>
      </c>
      <c r="C4201" s="1"/>
      <c r="D4201" s="1"/>
      <c r="E4201" s="1"/>
      <c r="F4201" s="1"/>
      <c r="G4201" s="1"/>
      <c r="H4201" s="1" t="str">
        <f>"8903726193389"</f>
        <v>8903726193389</v>
      </c>
      <c r="I4201" s="3">
        <v>11</v>
      </c>
      <c r="J4201" s="3">
        <v>0</v>
      </c>
      <c r="K4201" s="3">
        <v>4500</v>
      </c>
    </row>
    <row r="4202" spans="1:11" x14ac:dyDescent="0.2">
      <c r="A4202" s="1" t="s">
        <v>9</v>
      </c>
      <c r="B4202" s="1" t="s">
        <v>1795</v>
      </c>
      <c r="C4202" s="1"/>
      <c r="D4202" s="1"/>
      <c r="E4202" s="1"/>
      <c r="F4202" s="1"/>
      <c r="G4202" s="1"/>
      <c r="H4202" s="1" t="str">
        <f>"8903726285541"</f>
        <v>8903726285541</v>
      </c>
      <c r="I4202" s="3">
        <v>80</v>
      </c>
      <c r="J4202" s="3">
        <v>0</v>
      </c>
      <c r="K4202" s="3">
        <v>3000</v>
      </c>
    </row>
    <row r="4203" spans="1:11" x14ac:dyDescent="0.2">
      <c r="A4203" s="1" t="s">
        <v>9</v>
      </c>
      <c r="B4203" s="1" t="s">
        <v>1797</v>
      </c>
      <c r="C4203" s="1"/>
      <c r="D4203" s="1"/>
      <c r="E4203" s="1"/>
      <c r="F4203" s="1"/>
      <c r="G4203" s="1"/>
      <c r="H4203" s="1" t="str">
        <f>"8903726287682"</f>
        <v>8903726287682</v>
      </c>
      <c r="I4203" s="3">
        <v>148</v>
      </c>
      <c r="J4203" s="3">
        <v>0</v>
      </c>
      <c r="K4203" s="3">
        <v>3500</v>
      </c>
    </row>
    <row r="4204" spans="1:11" x14ac:dyDescent="0.2">
      <c r="A4204" s="1" t="s">
        <v>9</v>
      </c>
      <c r="B4204" s="1" t="s">
        <v>1798</v>
      </c>
      <c r="C4204" s="1"/>
      <c r="D4204" s="1"/>
      <c r="E4204" s="1"/>
      <c r="F4204" s="1"/>
      <c r="G4204" s="1"/>
      <c r="H4204" s="1" t="str">
        <f>"7804620834082"</f>
        <v>7804620834082</v>
      </c>
      <c r="I4204" s="3">
        <v>153</v>
      </c>
      <c r="J4204" s="3">
        <v>0</v>
      </c>
      <c r="K4204" s="3">
        <v>3500</v>
      </c>
    </row>
    <row r="4205" spans="1:11" x14ac:dyDescent="0.2">
      <c r="A4205" s="1" t="s">
        <v>9</v>
      </c>
      <c r="B4205" s="1" t="s">
        <v>1800</v>
      </c>
      <c r="C4205" s="1"/>
      <c r="D4205" s="1"/>
      <c r="E4205" s="1"/>
      <c r="F4205" s="1"/>
      <c r="G4205" s="1"/>
      <c r="H4205" s="1" t="str">
        <f>"7804620836307"</f>
        <v>7804620836307</v>
      </c>
      <c r="I4205" s="3">
        <v>20</v>
      </c>
      <c r="J4205" s="3">
        <v>0</v>
      </c>
      <c r="K4205" s="3">
        <v>3000</v>
      </c>
    </row>
    <row r="4206" spans="1:11" x14ac:dyDescent="0.2">
      <c r="A4206" s="1" t="s">
        <v>9</v>
      </c>
      <c r="B4206" s="1" t="s">
        <v>1802</v>
      </c>
      <c r="C4206" s="1"/>
      <c r="D4206" s="1"/>
      <c r="E4206" s="1"/>
      <c r="F4206" s="1"/>
      <c r="G4206" s="1"/>
      <c r="H4206" s="1" t="str">
        <f>"7800018000329"</f>
        <v>7800018000329</v>
      </c>
      <c r="I4206" s="3">
        <v>6</v>
      </c>
      <c r="J4206" s="3">
        <v>0</v>
      </c>
      <c r="K4206" s="3">
        <v>1000</v>
      </c>
    </row>
    <row r="4207" spans="1:11" x14ac:dyDescent="0.2">
      <c r="A4207" s="1" t="s">
        <v>9</v>
      </c>
      <c r="B4207" s="1" t="s">
        <v>1803</v>
      </c>
      <c r="C4207" s="1"/>
      <c r="D4207" s="1"/>
      <c r="E4207" s="1"/>
      <c r="F4207" s="1"/>
      <c r="G4207" s="1"/>
      <c r="H4207" s="1" t="str">
        <f>"7800007126610"</f>
        <v>7800007126610</v>
      </c>
      <c r="I4207" s="3">
        <v>79</v>
      </c>
      <c r="J4207" s="3">
        <v>0</v>
      </c>
      <c r="K4207" s="3">
        <v>1000</v>
      </c>
    </row>
    <row r="4208" spans="1:11" x14ac:dyDescent="0.2">
      <c r="A4208" s="1" t="s">
        <v>9</v>
      </c>
      <c r="B4208" s="1" t="s">
        <v>1848</v>
      </c>
      <c r="C4208" s="1"/>
      <c r="D4208" s="1"/>
      <c r="E4208" s="1"/>
      <c r="F4208" s="1"/>
      <c r="G4208" s="1"/>
      <c r="H4208" s="1" t="str">
        <f>"7501298222639"</f>
        <v>7501298222639</v>
      </c>
      <c r="I4208" s="3">
        <v>133</v>
      </c>
      <c r="J4208" s="3">
        <v>0</v>
      </c>
      <c r="K4208" s="3">
        <v>11000</v>
      </c>
    </row>
    <row r="4209" spans="1:11" x14ac:dyDescent="0.2">
      <c r="A4209" s="1" t="s">
        <v>9</v>
      </c>
      <c r="B4209" s="1" t="s">
        <v>1849</v>
      </c>
      <c r="C4209" s="1"/>
      <c r="D4209" s="1"/>
      <c r="E4209" s="1"/>
      <c r="F4209" s="1"/>
      <c r="G4209" s="1"/>
      <c r="H4209" s="1" t="str">
        <f>"7501298222592"</f>
        <v>7501298222592</v>
      </c>
      <c r="I4209" s="3">
        <v>54</v>
      </c>
      <c r="J4209" s="3">
        <v>0</v>
      </c>
      <c r="K4209" s="3">
        <v>9000</v>
      </c>
    </row>
    <row r="4210" spans="1:11" x14ac:dyDescent="0.2">
      <c r="A4210" s="1" t="s">
        <v>9</v>
      </c>
      <c r="B4210" s="1" t="s">
        <v>1850</v>
      </c>
      <c r="C4210" s="1"/>
      <c r="D4210" s="1"/>
      <c r="E4210" s="1"/>
      <c r="F4210" s="1"/>
      <c r="G4210" s="1"/>
      <c r="H4210" s="1" t="str">
        <f>"7501298222608"</f>
        <v>7501298222608</v>
      </c>
      <c r="I4210" s="3">
        <v>57</v>
      </c>
      <c r="J4210" s="3">
        <v>0</v>
      </c>
      <c r="K4210" s="3">
        <v>10000</v>
      </c>
    </row>
    <row r="4211" spans="1:11" x14ac:dyDescent="0.2">
      <c r="A4211" s="1" t="s">
        <v>9</v>
      </c>
      <c r="B4211" s="1" t="s">
        <v>1851</v>
      </c>
      <c r="C4211" s="1"/>
      <c r="D4211" s="1"/>
      <c r="E4211" s="1"/>
      <c r="F4211" s="1"/>
      <c r="G4211" s="1"/>
      <c r="H4211" s="1" t="str">
        <f>"7501298222615"</f>
        <v>7501298222615</v>
      </c>
      <c r="I4211" s="3">
        <v>109</v>
      </c>
      <c r="J4211" s="3">
        <v>0</v>
      </c>
      <c r="K4211" s="3">
        <v>10000</v>
      </c>
    </row>
    <row r="4212" spans="1:11" x14ac:dyDescent="0.2">
      <c r="A4212" s="1" t="s">
        <v>9</v>
      </c>
      <c r="B4212" s="1" t="s">
        <v>1852</v>
      </c>
      <c r="C4212" s="1"/>
      <c r="D4212" s="1"/>
      <c r="E4212" s="1"/>
      <c r="F4212" s="1"/>
      <c r="G4212" s="1"/>
      <c r="H4212" s="1" t="str">
        <f>"7501298222707"</f>
        <v>7501298222707</v>
      </c>
      <c r="I4212" s="3">
        <v>6</v>
      </c>
      <c r="J4212" s="3">
        <v>0</v>
      </c>
      <c r="K4212" s="3">
        <v>14000</v>
      </c>
    </row>
    <row r="4213" spans="1:11" x14ac:dyDescent="0.2">
      <c r="A4213" s="1" t="s">
        <v>9</v>
      </c>
      <c r="B4213" s="1" t="s">
        <v>1855</v>
      </c>
      <c r="C4213" s="1"/>
      <c r="D4213" s="1"/>
      <c r="E4213" s="1"/>
      <c r="F4213" s="1"/>
      <c r="G4213" s="1"/>
      <c r="H4213" s="1" t="str">
        <f>"7501298222660"</f>
        <v>7501298222660</v>
      </c>
      <c r="I4213" s="3">
        <v>2</v>
      </c>
      <c r="J4213" s="3">
        <v>0</v>
      </c>
      <c r="K4213" s="3">
        <v>16000</v>
      </c>
    </row>
    <row r="4214" spans="1:11" x14ac:dyDescent="0.2">
      <c r="A4214" s="1" t="s">
        <v>9</v>
      </c>
      <c r="B4214" s="1" t="s">
        <v>1856</v>
      </c>
      <c r="C4214" s="1"/>
      <c r="D4214" s="1"/>
      <c r="E4214" s="1"/>
      <c r="F4214" s="1"/>
      <c r="G4214" s="1"/>
      <c r="H4214" s="1" t="str">
        <f>"7501298222677"</f>
        <v>7501298222677</v>
      </c>
      <c r="I4214" s="3">
        <v>3</v>
      </c>
      <c r="J4214" s="3">
        <v>0</v>
      </c>
      <c r="K4214" s="3">
        <v>16000</v>
      </c>
    </row>
    <row r="4215" spans="1:11" x14ac:dyDescent="0.2">
      <c r="A4215" s="1" t="s">
        <v>9</v>
      </c>
      <c r="B4215" s="1" t="s">
        <v>1857</v>
      </c>
      <c r="C4215" s="1"/>
      <c r="D4215" s="1"/>
      <c r="E4215" s="1"/>
      <c r="F4215" s="1"/>
      <c r="G4215" s="1"/>
      <c r="H4215" s="1" t="str">
        <f>"7501298222684"</f>
        <v>7501298222684</v>
      </c>
      <c r="I4215" s="3">
        <v>4</v>
      </c>
      <c r="J4215" s="3">
        <v>0</v>
      </c>
      <c r="K4215" s="3">
        <v>19000</v>
      </c>
    </row>
    <row r="4216" spans="1:11" x14ac:dyDescent="0.2">
      <c r="A4216" s="1" t="s">
        <v>9</v>
      </c>
      <c r="B4216" s="1" t="s">
        <v>1858</v>
      </c>
      <c r="C4216" s="1"/>
      <c r="D4216" s="1"/>
      <c r="E4216" s="1"/>
      <c r="F4216" s="1"/>
      <c r="G4216" s="1"/>
      <c r="H4216" s="1" t="str">
        <f>"7501298222691"</f>
        <v>7501298222691</v>
      </c>
      <c r="I4216" s="3">
        <v>16</v>
      </c>
      <c r="J4216" s="3">
        <v>0</v>
      </c>
      <c r="K4216" s="3">
        <v>11000</v>
      </c>
    </row>
    <row r="4217" spans="1:11" x14ac:dyDescent="0.2">
      <c r="A4217" s="1" t="s">
        <v>9</v>
      </c>
      <c r="B4217" s="1" t="s">
        <v>1877</v>
      </c>
      <c r="C4217" s="1"/>
      <c r="D4217" s="1"/>
      <c r="E4217" s="1"/>
      <c r="F4217" s="1"/>
      <c r="G4217" s="1"/>
      <c r="H4217" s="1" t="str">
        <f>"8903726195628"</f>
        <v>8903726195628</v>
      </c>
      <c r="I4217" s="3">
        <v>7</v>
      </c>
      <c r="J4217" s="3">
        <v>0</v>
      </c>
      <c r="K4217" s="3">
        <v>4000</v>
      </c>
    </row>
    <row r="4218" spans="1:11" x14ac:dyDescent="0.2">
      <c r="A4218" s="1" t="s">
        <v>9</v>
      </c>
      <c r="B4218" s="1" t="s">
        <v>1916</v>
      </c>
      <c r="C4218" s="1"/>
      <c r="D4218" s="1"/>
      <c r="E4218" s="1"/>
      <c r="F4218" s="1"/>
      <c r="G4218" s="1"/>
      <c r="H4218" s="1" t="str">
        <f>"8904317825436"</f>
        <v>8904317825436</v>
      </c>
      <c r="I4218" s="3">
        <v>56</v>
      </c>
      <c r="J4218" s="3">
        <v>0</v>
      </c>
      <c r="K4218" s="3">
        <v>1000</v>
      </c>
    </row>
    <row r="4219" spans="1:11" x14ac:dyDescent="0.2">
      <c r="A4219" s="1" t="s">
        <v>9</v>
      </c>
      <c r="B4219" s="1" t="s">
        <v>1917</v>
      </c>
      <c r="C4219" s="1"/>
      <c r="D4219" s="1"/>
      <c r="E4219" s="1"/>
      <c r="F4219" s="1"/>
      <c r="G4219" s="1"/>
      <c r="H4219" s="1" t="str">
        <f>"7800007119322"</f>
        <v>7800007119322</v>
      </c>
      <c r="I4219" s="3">
        <v>147</v>
      </c>
      <c r="J4219" s="3">
        <v>0</v>
      </c>
      <c r="K4219" s="3">
        <v>1000</v>
      </c>
    </row>
    <row r="4220" spans="1:11" x14ac:dyDescent="0.2">
      <c r="A4220" s="1" t="s">
        <v>9</v>
      </c>
      <c r="B4220" s="1" t="s">
        <v>1918</v>
      </c>
      <c r="C4220" s="1"/>
      <c r="D4220" s="1"/>
      <c r="E4220" s="1"/>
      <c r="F4220" s="1"/>
      <c r="G4220" s="1"/>
      <c r="H4220" s="1" t="str">
        <f>"7800007119407"</f>
        <v>7800007119407</v>
      </c>
      <c r="I4220" s="3">
        <v>0</v>
      </c>
      <c r="J4220" s="3">
        <v>0</v>
      </c>
      <c r="K4220" s="3">
        <v>500</v>
      </c>
    </row>
    <row r="4221" spans="1:11" x14ac:dyDescent="0.2">
      <c r="A4221" s="1" t="s">
        <v>9</v>
      </c>
      <c r="B4221" s="1" t="s">
        <v>1919</v>
      </c>
      <c r="C4221" s="1"/>
      <c r="D4221" s="1"/>
      <c r="E4221" s="1"/>
      <c r="F4221" s="1"/>
      <c r="G4221" s="1"/>
      <c r="H4221" s="1" t="str">
        <f>"7804620834273"</f>
        <v>7804620834273</v>
      </c>
      <c r="I4221" s="3">
        <v>0</v>
      </c>
      <c r="J4221" s="3">
        <v>0</v>
      </c>
      <c r="K4221" s="3">
        <v>500</v>
      </c>
    </row>
    <row r="4222" spans="1:11" x14ac:dyDescent="0.2">
      <c r="A4222" s="1" t="s">
        <v>9</v>
      </c>
      <c r="B4222" s="1" t="s">
        <v>1940</v>
      </c>
      <c r="C4222" s="1"/>
      <c r="D4222" s="1"/>
      <c r="E4222" s="1"/>
      <c r="F4222" s="1"/>
      <c r="G4222" s="1"/>
      <c r="H4222" s="1" t="str">
        <f>"7800026005989"</f>
        <v>7800026005989</v>
      </c>
      <c r="I4222" s="3">
        <v>6</v>
      </c>
      <c r="J4222" s="3">
        <v>0</v>
      </c>
      <c r="K4222" s="3">
        <v>20000</v>
      </c>
    </row>
    <row r="4223" spans="1:11" x14ac:dyDescent="0.2">
      <c r="A4223" s="1" t="s">
        <v>9</v>
      </c>
      <c r="B4223" s="1" t="s">
        <v>2018</v>
      </c>
      <c r="C4223" s="1"/>
      <c r="D4223" s="1"/>
      <c r="E4223" s="1"/>
      <c r="F4223" s="1"/>
      <c r="G4223" s="1"/>
      <c r="H4223" s="1" t="str">
        <f>"7804673040287"</f>
        <v>7804673040287</v>
      </c>
      <c r="I4223" s="3">
        <v>83</v>
      </c>
      <c r="J4223" s="3">
        <v>0</v>
      </c>
      <c r="K4223" s="3">
        <v>2500</v>
      </c>
    </row>
    <row r="4224" spans="1:11" x14ac:dyDescent="0.2">
      <c r="A4224" s="1" t="s">
        <v>9</v>
      </c>
      <c r="B4224" s="1" t="s">
        <v>2020</v>
      </c>
      <c r="C4224" s="1"/>
      <c r="D4224" s="1"/>
      <c r="E4224" s="1"/>
      <c r="F4224" s="1"/>
      <c r="G4224" s="1"/>
      <c r="H4224" s="1" t="str">
        <f>"7804633500424"</f>
        <v>7804633500424</v>
      </c>
      <c r="I4224" s="3">
        <v>0</v>
      </c>
      <c r="J4224" s="3">
        <v>0</v>
      </c>
      <c r="K4224" s="3">
        <v>1000</v>
      </c>
    </row>
    <row r="4225" spans="1:11" x14ac:dyDescent="0.2">
      <c r="A4225" s="1" t="s">
        <v>9</v>
      </c>
      <c r="B4225" s="1" t="s">
        <v>2020</v>
      </c>
      <c r="C4225" s="1"/>
      <c r="D4225" s="1"/>
      <c r="E4225" s="1"/>
      <c r="F4225" s="1"/>
      <c r="G4225" s="1"/>
      <c r="H4225" s="1" t="str">
        <f>"75708173248130"</f>
        <v>75708173248130</v>
      </c>
      <c r="I4225" s="3">
        <v>0</v>
      </c>
      <c r="J4225" s="3">
        <v>0</v>
      </c>
      <c r="K4225" s="3">
        <v>1000</v>
      </c>
    </row>
    <row r="4226" spans="1:11" x14ac:dyDescent="0.2">
      <c r="A4226" s="1" t="s">
        <v>9</v>
      </c>
      <c r="B4226" s="1" t="s">
        <v>2021</v>
      </c>
      <c r="C4226" s="1"/>
      <c r="D4226" s="1"/>
      <c r="E4226" s="1"/>
      <c r="F4226" s="1"/>
      <c r="G4226" s="1"/>
      <c r="H4226" s="1" t="str">
        <f>"7800007804853"</f>
        <v>7800007804853</v>
      </c>
      <c r="I4226" s="3">
        <v>25</v>
      </c>
      <c r="J4226" s="3">
        <v>0</v>
      </c>
      <c r="K4226" s="3">
        <v>2000</v>
      </c>
    </row>
    <row r="4227" spans="1:11" x14ac:dyDescent="0.2">
      <c r="A4227" s="1" t="s">
        <v>9</v>
      </c>
      <c r="B4227" s="1" t="s">
        <v>2022</v>
      </c>
      <c r="C4227" s="1"/>
      <c r="D4227" s="1"/>
      <c r="E4227" s="1"/>
      <c r="F4227" s="1"/>
      <c r="G4227" s="1"/>
      <c r="H4227" s="1" t="str">
        <f>"7804620835065"</f>
        <v>7804620835065</v>
      </c>
      <c r="I4227" s="3">
        <v>67</v>
      </c>
      <c r="J4227" s="3">
        <v>0</v>
      </c>
      <c r="K4227" s="3">
        <v>2000</v>
      </c>
    </row>
    <row r="4228" spans="1:11" x14ac:dyDescent="0.2">
      <c r="A4228" s="1" t="s">
        <v>9</v>
      </c>
      <c r="B4228" s="1" t="s">
        <v>2024</v>
      </c>
      <c r="C4228" s="1"/>
      <c r="D4228" s="1"/>
      <c r="E4228" s="1"/>
      <c r="F4228" s="1"/>
      <c r="G4228" s="1"/>
      <c r="H4228" s="1" t="str">
        <f>"7804620835058"</f>
        <v>7804620835058</v>
      </c>
      <c r="I4228" s="3">
        <v>330</v>
      </c>
      <c r="J4228" s="3">
        <v>0</v>
      </c>
      <c r="K4228" s="3">
        <v>1000</v>
      </c>
    </row>
    <row r="4229" spans="1:11" x14ac:dyDescent="0.2">
      <c r="A4229" s="1" t="s">
        <v>9</v>
      </c>
      <c r="B4229" s="1" t="s">
        <v>2025</v>
      </c>
      <c r="C4229" s="1"/>
      <c r="D4229" s="1"/>
      <c r="E4229" s="1"/>
      <c r="F4229" s="1"/>
      <c r="G4229" s="1"/>
      <c r="H4229" s="1" t="str">
        <f>"7800068031120"</f>
        <v>7800068031120</v>
      </c>
      <c r="I4229" s="3">
        <v>24</v>
      </c>
      <c r="J4229" s="3">
        <v>0</v>
      </c>
      <c r="K4229" s="3">
        <v>6000</v>
      </c>
    </row>
    <row r="4230" spans="1:11" x14ac:dyDescent="0.2">
      <c r="A4230" s="1" t="s">
        <v>9</v>
      </c>
      <c r="B4230" s="1" t="s">
        <v>2030</v>
      </c>
      <c r="C4230" s="1"/>
      <c r="D4230" s="1"/>
      <c r="E4230" s="1"/>
      <c r="F4230" s="1"/>
      <c r="G4230" s="1"/>
      <c r="H4230" s="1" t="str">
        <f>"7800007367655"</f>
        <v>7800007367655</v>
      </c>
      <c r="I4230" s="3">
        <v>9</v>
      </c>
      <c r="J4230" s="3">
        <v>0</v>
      </c>
      <c r="K4230" s="3">
        <v>1000</v>
      </c>
    </row>
    <row r="4231" spans="1:11" x14ac:dyDescent="0.2">
      <c r="A4231" s="1" t="s">
        <v>9</v>
      </c>
      <c r="B4231" s="1" t="s">
        <v>2031</v>
      </c>
      <c r="C4231" s="1"/>
      <c r="D4231" s="1"/>
      <c r="E4231" s="1"/>
      <c r="F4231" s="1"/>
      <c r="G4231" s="1"/>
      <c r="H4231" s="1" t="str">
        <f>"7800063001760"</f>
        <v>7800063001760</v>
      </c>
      <c r="I4231" s="3">
        <v>305</v>
      </c>
      <c r="J4231" s="3">
        <v>0</v>
      </c>
      <c r="K4231" s="3">
        <v>1000</v>
      </c>
    </row>
    <row r="4232" spans="1:11" x14ac:dyDescent="0.2">
      <c r="A4232" s="1" t="s">
        <v>9</v>
      </c>
      <c r="B4232" s="1" t="s">
        <v>2046</v>
      </c>
      <c r="C4232" s="1"/>
      <c r="D4232" s="1"/>
      <c r="E4232" s="1"/>
      <c r="F4232" s="1"/>
      <c r="G4232" s="1"/>
      <c r="H4232" s="1" t="str">
        <f>"7804650882947"</f>
        <v>7804650882947</v>
      </c>
      <c r="I4232" s="3">
        <v>255</v>
      </c>
      <c r="J4232" s="3">
        <v>0</v>
      </c>
      <c r="K4232" s="3">
        <v>4000</v>
      </c>
    </row>
    <row r="4233" spans="1:11" x14ac:dyDescent="0.2">
      <c r="A4233" s="1" t="s">
        <v>9</v>
      </c>
      <c r="B4233" s="1" t="s">
        <v>2047</v>
      </c>
      <c r="C4233" s="1"/>
      <c r="D4233" s="1"/>
      <c r="E4233" s="1"/>
      <c r="F4233" s="1"/>
      <c r="G4233" s="1"/>
      <c r="H4233" s="1" t="str">
        <f>"7804650882954"</f>
        <v>7804650882954</v>
      </c>
      <c r="I4233" s="3">
        <v>21</v>
      </c>
      <c r="J4233" s="3">
        <v>0</v>
      </c>
      <c r="K4233" s="3">
        <v>5000</v>
      </c>
    </row>
    <row r="4234" spans="1:11" x14ac:dyDescent="0.2">
      <c r="A4234" s="1" t="s">
        <v>9</v>
      </c>
      <c r="B4234" s="1" t="s">
        <v>2052</v>
      </c>
      <c r="C4234" s="1"/>
      <c r="D4234" s="1"/>
      <c r="E4234" s="1"/>
      <c r="F4234" s="1"/>
      <c r="G4234" s="1"/>
      <c r="H4234" s="1" t="str">
        <f>"8027950170173"</f>
        <v>8027950170173</v>
      </c>
      <c r="I4234" s="3">
        <v>5</v>
      </c>
      <c r="J4234" s="3">
        <v>0</v>
      </c>
      <c r="K4234" s="3">
        <v>40000</v>
      </c>
    </row>
    <row r="4235" spans="1:11" x14ac:dyDescent="0.2">
      <c r="A4235" s="1" t="s">
        <v>9</v>
      </c>
      <c r="B4235" s="1" t="s">
        <v>2075</v>
      </c>
      <c r="C4235" s="1"/>
      <c r="D4235" s="1"/>
      <c r="E4235" s="1"/>
      <c r="F4235" s="1"/>
      <c r="G4235" s="1"/>
      <c r="H4235" s="1" t="str">
        <f>"7800007120250"</f>
        <v>7800007120250</v>
      </c>
      <c r="I4235" s="3">
        <v>230</v>
      </c>
      <c r="J4235" s="3">
        <v>0</v>
      </c>
      <c r="K4235" s="3">
        <v>500</v>
      </c>
    </row>
    <row r="4236" spans="1:11" x14ac:dyDescent="0.2">
      <c r="A4236" s="1" t="s">
        <v>9</v>
      </c>
      <c r="B4236" s="1" t="s">
        <v>2078</v>
      </c>
      <c r="C4236" s="1"/>
      <c r="D4236" s="1"/>
      <c r="E4236" s="1"/>
      <c r="F4236" s="1"/>
      <c r="G4236" s="1"/>
      <c r="H4236" s="1" t="str">
        <f>"7804650884408"</f>
        <v>7804650884408</v>
      </c>
      <c r="I4236" s="3">
        <v>7</v>
      </c>
      <c r="J4236" s="3">
        <v>0</v>
      </c>
      <c r="K4236" s="3">
        <v>14000</v>
      </c>
    </row>
    <row r="4237" spans="1:11" x14ac:dyDescent="0.2">
      <c r="A4237" s="1" t="s">
        <v>9</v>
      </c>
      <c r="B4237" s="1" t="s">
        <v>2079</v>
      </c>
      <c r="C4237" s="1"/>
      <c r="D4237" s="1"/>
      <c r="E4237" s="1"/>
      <c r="F4237" s="1"/>
      <c r="G4237" s="1"/>
      <c r="H4237" s="1" t="str">
        <f>"7800018130682"</f>
        <v>7800018130682</v>
      </c>
      <c r="I4237" s="3">
        <v>0</v>
      </c>
      <c r="J4237" s="3">
        <v>0</v>
      </c>
      <c r="K4237" s="3">
        <v>15000</v>
      </c>
    </row>
    <row r="4238" spans="1:11" x14ac:dyDescent="0.2">
      <c r="A4238" s="1" t="s">
        <v>9</v>
      </c>
      <c r="B4238" s="1" t="s">
        <v>2080</v>
      </c>
      <c r="C4238" s="1"/>
      <c r="D4238" s="1"/>
      <c r="E4238" s="1"/>
      <c r="F4238" s="1"/>
      <c r="G4238" s="1"/>
      <c r="H4238" s="1" t="str">
        <f>"7800032003313"</f>
        <v>7800032003313</v>
      </c>
      <c r="I4238" s="3">
        <v>3</v>
      </c>
      <c r="J4238" s="3">
        <v>0</v>
      </c>
      <c r="K4238" s="3">
        <v>35000</v>
      </c>
    </row>
    <row r="4239" spans="1:11" x14ac:dyDescent="0.2">
      <c r="A4239" s="1" t="s">
        <v>9</v>
      </c>
      <c r="B4239" s="1" t="s">
        <v>2081</v>
      </c>
      <c r="C4239" s="1"/>
      <c r="D4239" s="1"/>
      <c r="E4239" s="1"/>
      <c r="F4239" s="1"/>
      <c r="G4239" s="1"/>
      <c r="H4239" s="1" t="str">
        <f>"7800032003290"</f>
        <v>7800032003290</v>
      </c>
      <c r="I4239" s="3">
        <v>3</v>
      </c>
      <c r="J4239" s="3">
        <v>0</v>
      </c>
      <c r="K4239" s="3">
        <v>38000</v>
      </c>
    </row>
    <row r="4240" spans="1:11" x14ac:dyDescent="0.2">
      <c r="A4240" s="1" t="s">
        <v>9</v>
      </c>
      <c r="B4240" s="1" t="s">
        <v>2083</v>
      </c>
      <c r="C4240" s="1"/>
      <c r="D4240" s="1"/>
      <c r="E4240" s="1"/>
      <c r="F4240" s="1"/>
      <c r="G4240" s="1"/>
      <c r="H4240" s="1" t="str">
        <f>"7612797155721"</f>
        <v>7612797155721</v>
      </c>
      <c r="I4240" s="3">
        <v>11</v>
      </c>
      <c r="J4240" s="3">
        <v>0</v>
      </c>
      <c r="K4240" s="3">
        <v>33000</v>
      </c>
    </row>
    <row r="4241" spans="1:11" x14ac:dyDescent="0.2">
      <c r="A4241" s="1" t="s">
        <v>9</v>
      </c>
      <c r="B4241" s="1" t="s">
        <v>2084</v>
      </c>
      <c r="C4241" s="1"/>
      <c r="D4241" s="1"/>
      <c r="E4241" s="1"/>
      <c r="F4241" s="1"/>
      <c r="G4241" s="1"/>
      <c r="H4241" s="1" t="str">
        <f>"7800018000657"</f>
        <v>7800018000657</v>
      </c>
      <c r="I4241" s="3">
        <v>0</v>
      </c>
      <c r="J4241" s="3">
        <v>0</v>
      </c>
      <c r="K4241" s="3">
        <v>30000</v>
      </c>
    </row>
    <row r="4242" spans="1:11" x14ac:dyDescent="0.2">
      <c r="A4242" s="1" t="s">
        <v>9</v>
      </c>
      <c r="B4242" s="1" t="s">
        <v>2085</v>
      </c>
      <c r="C4242" s="1"/>
      <c r="D4242" s="1"/>
      <c r="E4242" s="1"/>
      <c r="F4242" s="1"/>
      <c r="G4242" s="1"/>
      <c r="H4242" s="1" t="str">
        <f>"7800018000640"</f>
        <v>7800018000640</v>
      </c>
      <c r="I4242" s="3">
        <v>11</v>
      </c>
      <c r="J4242" s="3">
        <v>0</v>
      </c>
      <c r="K4242" s="3">
        <v>20000</v>
      </c>
    </row>
    <row r="4243" spans="1:11" x14ac:dyDescent="0.2">
      <c r="A4243" s="1" t="s">
        <v>9</v>
      </c>
      <c r="B4243" s="1" t="s">
        <v>2133</v>
      </c>
      <c r="C4243" s="1"/>
      <c r="D4243" s="1"/>
      <c r="E4243" s="1"/>
      <c r="F4243" s="1"/>
      <c r="G4243" s="1"/>
      <c r="H4243" s="1" t="str">
        <f>"7800041043409"</f>
        <v>7800041043409</v>
      </c>
      <c r="I4243" s="3">
        <v>21</v>
      </c>
      <c r="J4243" s="3">
        <v>0</v>
      </c>
      <c r="K4243" s="3">
        <v>7000</v>
      </c>
    </row>
    <row r="4244" spans="1:11" x14ac:dyDescent="0.2">
      <c r="A4244" s="1" t="s">
        <v>9</v>
      </c>
      <c r="B4244" s="1" t="s">
        <v>2162</v>
      </c>
      <c r="C4244" s="1"/>
      <c r="D4244" s="1"/>
      <c r="E4244" s="1"/>
      <c r="F4244" s="1"/>
      <c r="G4244" s="1"/>
      <c r="H4244" s="1" t="str">
        <f>"7800063116464"</f>
        <v>7800063116464</v>
      </c>
      <c r="I4244" s="3">
        <v>113</v>
      </c>
      <c r="J4244" s="3">
        <v>0</v>
      </c>
      <c r="K4244" s="3">
        <v>2500</v>
      </c>
    </row>
    <row r="4245" spans="1:11" x14ac:dyDescent="0.2">
      <c r="A4245" s="1" t="s">
        <v>9</v>
      </c>
      <c r="B4245" s="1" t="s">
        <v>2163</v>
      </c>
      <c r="C4245" s="1"/>
      <c r="D4245" s="1"/>
      <c r="E4245" s="1"/>
      <c r="F4245" s="1"/>
      <c r="G4245" s="1"/>
      <c r="H4245" s="1" t="str">
        <f>"7800068031854"</f>
        <v>7800068031854</v>
      </c>
      <c r="I4245" s="3">
        <v>73</v>
      </c>
      <c r="J4245" s="3">
        <v>0</v>
      </c>
      <c r="K4245" s="3">
        <v>3500</v>
      </c>
    </row>
    <row r="4246" spans="1:11" x14ac:dyDescent="0.2">
      <c r="A4246" s="1" t="s">
        <v>9</v>
      </c>
      <c r="B4246" s="1" t="s">
        <v>2171</v>
      </c>
      <c r="C4246" s="1"/>
      <c r="D4246" s="1"/>
      <c r="E4246" s="1"/>
      <c r="F4246" s="1"/>
      <c r="G4246" s="1"/>
      <c r="H4246" s="1" t="str">
        <f>"7800063000015"</f>
        <v>7800063000015</v>
      </c>
      <c r="I4246" s="3">
        <v>0</v>
      </c>
      <c r="J4246" s="3">
        <v>0</v>
      </c>
      <c r="K4246" s="3">
        <v>2000</v>
      </c>
    </row>
    <row r="4247" spans="1:11" x14ac:dyDescent="0.2">
      <c r="A4247" s="1" t="s">
        <v>9</v>
      </c>
      <c r="B4247" s="1" t="s">
        <v>2175</v>
      </c>
      <c r="C4247" s="1"/>
      <c r="D4247" s="1"/>
      <c r="E4247" s="1"/>
      <c r="F4247" s="1"/>
      <c r="G4247" s="1"/>
      <c r="H4247" s="1" t="str">
        <f>"7800063311227"</f>
        <v>7800063311227</v>
      </c>
      <c r="I4247" s="3">
        <v>139</v>
      </c>
      <c r="J4247" s="3">
        <v>0</v>
      </c>
      <c r="K4247" s="3">
        <v>1500</v>
      </c>
    </row>
    <row r="4248" spans="1:11" x14ac:dyDescent="0.2">
      <c r="A4248" s="1" t="s">
        <v>9</v>
      </c>
      <c r="B4248" s="1" t="s">
        <v>2200</v>
      </c>
      <c r="C4248" s="1"/>
      <c r="D4248" s="1"/>
      <c r="E4248" s="1"/>
      <c r="F4248" s="1"/>
      <c r="G4248" s="1"/>
      <c r="H4248" s="1" t="str">
        <f>"7891721202797"</f>
        <v>7891721202797</v>
      </c>
      <c r="I4248" s="3">
        <v>0</v>
      </c>
      <c r="J4248" s="3">
        <v>0</v>
      </c>
      <c r="K4248" s="3">
        <v>20000</v>
      </c>
    </row>
    <row r="4249" spans="1:11" x14ac:dyDescent="0.2">
      <c r="A4249" s="1" t="s">
        <v>9</v>
      </c>
      <c r="B4249" s="1" t="s">
        <v>2201</v>
      </c>
      <c r="C4249" s="1"/>
      <c r="D4249" s="1"/>
      <c r="E4249" s="1"/>
      <c r="F4249" s="1"/>
      <c r="G4249" s="1"/>
      <c r="H4249" s="1" t="str">
        <f>"7891721028861"</f>
        <v>7891721028861</v>
      </c>
      <c r="I4249" s="3">
        <v>26</v>
      </c>
      <c r="J4249" s="3">
        <v>0</v>
      </c>
      <c r="K4249" s="3">
        <v>23000</v>
      </c>
    </row>
    <row r="4250" spans="1:11" x14ac:dyDescent="0.2">
      <c r="A4250" s="1" t="s">
        <v>9</v>
      </c>
      <c r="B4250" s="1" t="s">
        <v>2202</v>
      </c>
      <c r="C4250" s="1"/>
      <c r="D4250" s="1"/>
      <c r="E4250" s="1"/>
      <c r="F4250" s="1"/>
      <c r="G4250" s="1"/>
      <c r="H4250" s="1" t="str">
        <f>"7891721028557"</f>
        <v>7891721028557</v>
      </c>
      <c r="I4250" s="3">
        <v>13</v>
      </c>
      <c r="J4250" s="3">
        <v>0</v>
      </c>
      <c r="K4250" s="3">
        <v>12000</v>
      </c>
    </row>
    <row r="4251" spans="1:11" x14ac:dyDescent="0.2">
      <c r="A4251" s="1" t="s">
        <v>9</v>
      </c>
      <c r="B4251" s="1" t="s">
        <v>2203</v>
      </c>
      <c r="C4251" s="1"/>
      <c r="D4251" s="1"/>
      <c r="E4251" s="1"/>
      <c r="F4251" s="1"/>
      <c r="G4251" s="1"/>
      <c r="H4251" s="1" t="str">
        <f>"7891721028830"</f>
        <v>7891721028830</v>
      </c>
      <c r="I4251" s="3">
        <v>28</v>
      </c>
      <c r="J4251" s="3">
        <v>0</v>
      </c>
      <c r="K4251" s="3">
        <v>17000</v>
      </c>
    </row>
    <row r="4252" spans="1:11" x14ac:dyDescent="0.2">
      <c r="A4252" s="1" t="s">
        <v>9</v>
      </c>
      <c r="B4252" s="1" t="s">
        <v>2205</v>
      </c>
      <c r="C4252" s="1"/>
      <c r="D4252" s="1"/>
      <c r="E4252" s="1"/>
      <c r="F4252" s="1"/>
      <c r="G4252" s="1"/>
      <c r="H4252" s="1" t="str">
        <f>"7800068012327"</f>
        <v>7800068012327</v>
      </c>
      <c r="I4252" s="3">
        <v>0</v>
      </c>
      <c r="J4252" s="3">
        <v>0</v>
      </c>
      <c r="K4252" s="3">
        <v>8500</v>
      </c>
    </row>
    <row r="4253" spans="1:11" x14ac:dyDescent="0.2">
      <c r="A4253" s="1" t="s">
        <v>9</v>
      </c>
      <c r="B4253" s="1" t="s">
        <v>2207</v>
      </c>
      <c r="C4253" s="1"/>
      <c r="D4253" s="1"/>
      <c r="E4253" s="1"/>
      <c r="F4253" s="1"/>
      <c r="G4253" s="1"/>
      <c r="H4253" s="1" t="str">
        <f>"7800068012303"</f>
        <v>7800068012303</v>
      </c>
      <c r="I4253" s="3">
        <v>28</v>
      </c>
      <c r="J4253" s="3">
        <v>0</v>
      </c>
      <c r="K4253" s="3">
        <v>4500</v>
      </c>
    </row>
    <row r="4254" spans="1:11" x14ac:dyDescent="0.2">
      <c r="A4254" s="1" t="s">
        <v>9</v>
      </c>
      <c r="B4254" s="1" t="s">
        <v>2208</v>
      </c>
      <c r="C4254" s="1"/>
      <c r="D4254" s="1"/>
      <c r="E4254" s="1"/>
      <c r="F4254" s="1"/>
      <c r="G4254" s="1"/>
      <c r="H4254" s="1" t="str">
        <f>"7800068012310"</f>
        <v>7800068012310</v>
      </c>
      <c r="I4254" s="3">
        <v>1</v>
      </c>
      <c r="J4254" s="3">
        <v>0</v>
      </c>
      <c r="K4254" s="3">
        <v>7000</v>
      </c>
    </row>
    <row r="4255" spans="1:11" x14ac:dyDescent="0.2">
      <c r="A4255" s="1" t="s">
        <v>9</v>
      </c>
      <c r="B4255" s="1" t="s">
        <v>2210</v>
      </c>
      <c r="C4255" s="1"/>
      <c r="D4255" s="1"/>
      <c r="E4255" s="1"/>
      <c r="F4255" s="1"/>
      <c r="G4255" s="1"/>
      <c r="H4255" s="1" t="str">
        <f>"7800007120410"</f>
        <v>7800007120410</v>
      </c>
      <c r="I4255" s="3">
        <v>46</v>
      </c>
      <c r="J4255" s="3">
        <v>0</v>
      </c>
      <c r="K4255" s="3">
        <v>1000</v>
      </c>
    </row>
    <row r="4256" spans="1:11" x14ac:dyDescent="0.2">
      <c r="A4256" s="1" t="s">
        <v>9</v>
      </c>
      <c r="B4256" s="1" t="s">
        <v>2216</v>
      </c>
      <c r="C4256" s="1"/>
      <c r="D4256" s="1"/>
      <c r="E4256" s="1"/>
      <c r="F4256" s="1"/>
      <c r="G4256" s="1"/>
      <c r="H4256" s="1" t="str">
        <f>"7804620834730"</f>
        <v>7804620834730</v>
      </c>
      <c r="I4256" s="3">
        <v>2</v>
      </c>
      <c r="J4256" s="3">
        <v>0</v>
      </c>
      <c r="K4256" s="3">
        <v>6000</v>
      </c>
    </row>
    <row r="4257" spans="1:11" x14ac:dyDescent="0.2">
      <c r="A4257" s="1" t="s">
        <v>9</v>
      </c>
      <c r="B4257" s="1" t="s">
        <v>2217</v>
      </c>
      <c r="C4257" s="1"/>
      <c r="D4257" s="1"/>
      <c r="E4257" s="1"/>
      <c r="F4257" s="1"/>
      <c r="G4257" s="1"/>
      <c r="H4257" s="1" t="str">
        <f>"7804620834723"</f>
        <v>7804620834723</v>
      </c>
      <c r="I4257" s="3">
        <v>1</v>
      </c>
      <c r="J4257" s="3">
        <v>0</v>
      </c>
      <c r="K4257" s="3">
        <v>4500</v>
      </c>
    </row>
    <row r="4258" spans="1:11" x14ac:dyDescent="0.2">
      <c r="A4258" s="1" t="s">
        <v>9</v>
      </c>
      <c r="B4258" s="1" t="s">
        <v>2264</v>
      </c>
      <c r="C4258" s="1"/>
      <c r="D4258" s="1"/>
      <c r="E4258" s="1"/>
      <c r="F4258" s="1"/>
      <c r="G4258" s="1"/>
      <c r="H4258" s="1" t="str">
        <f>"7800038000729"</f>
        <v>7800038000729</v>
      </c>
      <c r="I4258" s="3">
        <v>7</v>
      </c>
      <c r="J4258" s="3">
        <v>0</v>
      </c>
      <c r="K4258" s="3">
        <v>5000</v>
      </c>
    </row>
    <row r="4259" spans="1:11" x14ac:dyDescent="0.2">
      <c r="A4259" s="1" t="s">
        <v>9</v>
      </c>
      <c r="B4259" s="1" t="s">
        <v>2266</v>
      </c>
      <c r="C4259" s="1"/>
      <c r="D4259" s="1"/>
      <c r="E4259" s="1"/>
      <c r="F4259" s="1"/>
      <c r="G4259" s="1"/>
      <c r="H4259" s="1" t="str">
        <f>"3596540060163"</f>
        <v>3596540060163</v>
      </c>
      <c r="I4259" s="3">
        <v>3</v>
      </c>
      <c r="J4259" s="3">
        <v>0</v>
      </c>
      <c r="K4259" s="3">
        <v>14000</v>
      </c>
    </row>
    <row r="4260" spans="1:11" x14ac:dyDescent="0.2">
      <c r="A4260" s="1" t="s">
        <v>9</v>
      </c>
      <c r="B4260" s="1" t="s">
        <v>2346</v>
      </c>
      <c r="C4260" s="1"/>
      <c r="D4260" s="1"/>
      <c r="E4260" s="1"/>
      <c r="F4260" s="1"/>
      <c r="G4260" s="1"/>
      <c r="H4260" s="1" t="str">
        <f>"76100154917892"</f>
        <v>76100154917892</v>
      </c>
      <c r="I4260" s="3">
        <v>20</v>
      </c>
      <c r="J4260" s="3">
        <v>0</v>
      </c>
      <c r="K4260" s="3">
        <v>14000</v>
      </c>
    </row>
    <row r="4261" spans="1:11" x14ac:dyDescent="0.2">
      <c r="A4261" s="1" t="s">
        <v>9</v>
      </c>
      <c r="B4261" s="1" t="s">
        <v>2363</v>
      </c>
      <c r="C4261" s="1"/>
      <c r="D4261" s="1"/>
      <c r="E4261" s="1"/>
      <c r="F4261" s="1"/>
      <c r="G4261" s="1"/>
      <c r="H4261" s="1" t="str">
        <f>"8903726273562"</f>
        <v>8903726273562</v>
      </c>
      <c r="I4261" s="3">
        <v>42</v>
      </c>
      <c r="J4261" s="3">
        <v>0</v>
      </c>
      <c r="K4261" s="3">
        <v>2500</v>
      </c>
    </row>
    <row r="4262" spans="1:11" x14ac:dyDescent="0.2">
      <c r="A4262" s="1" t="s">
        <v>9</v>
      </c>
      <c r="B4262" s="1" t="s">
        <v>2368</v>
      </c>
      <c r="C4262" s="1"/>
      <c r="D4262" s="1"/>
      <c r="E4262" s="1"/>
      <c r="F4262" s="1"/>
      <c r="G4262" s="1"/>
      <c r="H4262" s="1" t="str">
        <f>"7804620834464"</f>
        <v>7804620834464</v>
      </c>
      <c r="I4262" s="3">
        <v>91</v>
      </c>
      <c r="J4262" s="3">
        <v>0</v>
      </c>
      <c r="K4262" s="3">
        <v>1000</v>
      </c>
    </row>
    <row r="4263" spans="1:11" x14ac:dyDescent="0.2">
      <c r="A4263" s="1" t="s">
        <v>9</v>
      </c>
      <c r="B4263" s="1" t="s">
        <v>2369</v>
      </c>
      <c r="C4263" s="1"/>
      <c r="D4263" s="1"/>
      <c r="E4263" s="1"/>
      <c r="F4263" s="1"/>
      <c r="G4263" s="1"/>
      <c r="H4263" s="1" t="str">
        <f>"7800007120847"</f>
        <v>7800007120847</v>
      </c>
      <c r="I4263" s="3">
        <v>37</v>
      </c>
      <c r="J4263" s="3">
        <v>0</v>
      </c>
      <c r="K4263" s="3">
        <v>1000</v>
      </c>
    </row>
    <row r="4264" spans="1:11" x14ac:dyDescent="0.2">
      <c r="A4264" s="1" t="s">
        <v>9</v>
      </c>
      <c r="B4264" s="1" t="s">
        <v>2390</v>
      </c>
      <c r="C4264" s="1"/>
      <c r="D4264" s="1"/>
      <c r="E4264" s="1"/>
      <c r="F4264" s="1"/>
      <c r="G4264" s="1"/>
      <c r="H4264" s="1" t="str">
        <f>"7800007775696"</f>
        <v>7800007775696</v>
      </c>
      <c r="I4264" s="3">
        <v>0</v>
      </c>
      <c r="J4264" s="3">
        <v>0</v>
      </c>
      <c r="K4264" s="3">
        <v>16500</v>
      </c>
    </row>
    <row r="4265" spans="1:11" x14ac:dyDescent="0.2">
      <c r="A4265" s="1" t="s">
        <v>9</v>
      </c>
      <c r="B4265" s="1" t="s">
        <v>2391</v>
      </c>
      <c r="C4265" s="1"/>
      <c r="D4265" s="1"/>
      <c r="E4265" s="1"/>
      <c r="F4265" s="1"/>
      <c r="G4265" s="1"/>
      <c r="H4265" s="1" t="str">
        <f>"7800007787866"</f>
        <v>7800007787866</v>
      </c>
      <c r="I4265" s="3">
        <v>9</v>
      </c>
      <c r="J4265" s="3">
        <v>0</v>
      </c>
      <c r="K4265" s="3">
        <v>8500</v>
      </c>
    </row>
    <row r="4266" spans="1:11" x14ac:dyDescent="0.2">
      <c r="A4266" s="1" t="s">
        <v>9</v>
      </c>
      <c r="B4266" s="1" t="s">
        <v>2392</v>
      </c>
      <c r="C4266" s="1"/>
      <c r="D4266" s="1"/>
      <c r="E4266" s="1"/>
      <c r="F4266" s="1"/>
      <c r="G4266" s="1"/>
      <c r="H4266" s="1" t="str">
        <f>"7800007771513"</f>
        <v>7800007771513</v>
      </c>
      <c r="I4266" s="3">
        <v>20</v>
      </c>
      <c r="J4266" s="3">
        <v>0</v>
      </c>
      <c r="K4266" s="3">
        <v>14500</v>
      </c>
    </row>
    <row r="4267" spans="1:11" x14ac:dyDescent="0.2">
      <c r="A4267" s="1" t="s">
        <v>9</v>
      </c>
      <c r="B4267" s="1" t="s">
        <v>2424</v>
      </c>
      <c r="C4267" s="1"/>
      <c r="D4267" s="1"/>
      <c r="E4267" s="1"/>
      <c r="F4267" s="1"/>
      <c r="G4267" s="1"/>
      <c r="H4267" s="1" t="str">
        <f>"7804620835669"</f>
        <v>7804620835669</v>
      </c>
      <c r="I4267" s="3">
        <v>93</v>
      </c>
      <c r="J4267" s="3">
        <v>0</v>
      </c>
      <c r="K4267" s="3">
        <v>2500</v>
      </c>
    </row>
    <row r="4268" spans="1:11" x14ac:dyDescent="0.2">
      <c r="A4268" s="1" t="s">
        <v>9</v>
      </c>
      <c r="B4268" s="1" t="s">
        <v>2432</v>
      </c>
      <c r="C4268" s="1"/>
      <c r="D4268" s="1"/>
      <c r="E4268" s="1"/>
      <c r="F4268" s="1"/>
      <c r="G4268" s="1"/>
      <c r="H4268" s="1" t="str">
        <f>"7800007771278"</f>
        <v>7800007771278</v>
      </c>
      <c r="I4268" s="3">
        <v>35</v>
      </c>
      <c r="J4268" s="3">
        <v>0</v>
      </c>
      <c r="K4268" s="3">
        <v>500</v>
      </c>
    </row>
    <row r="4269" spans="1:11" x14ac:dyDescent="0.2">
      <c r="A4269" s="1" t="s">
        <v>9</v>
      </c>
      <c r="B4269" s="1" t="s">
        <v>2433</v>
      </c>
      <c r="C4269" s="1"/>
      <c r="D4269" s="1"/>
      <c r="E4269" s="1"/>
      <c r="F4269" s="1"/>
      <c r="G4269" s="1"/>
      <c r="H4269" s="1" t="str">
        <f>"7804620834099"</f>
        <v>7804620834099</v>
      </c>
      <c r="I4269" s="3">
        <v>24</v>
      </c>
      <c r="J4269" s="3">
        <v>0</v>
      </c>
      <c r="K4269" s="3">
        <v>500</v>
      </c>
    </row>
    <row r="4270" spans="1:11" x14ac:dyDescent="0.2">
      <c r="A4270" s="1" t="s">
        <v>9</v>
      </c>
      <c r="B4270" s="1" t="s">
        <v>2434</v>
      </c>
      <c r="C4270" s="1"/>
      <c r="D4270" s="1"/>
      <c r="E4270" s="1"/>
      <c r="F4270" s="1"/>
      <c r="G4270" s="1"/>
      <c r="H4270" s="1" t="str">
        <f>"7804620833863"</f>
        <v>7804620833863</v>
      </c>
      <c r="I4270" s="3">
        <v>126</v>
      </c>
      <c r="J4270" s="3">
        <v>0</v>
      </c>
      <c r="K4270" s="3">
        <v>1000</v>
      </c>
    </row>
    <row r="4271" spans="1:11" x14ac:dyDescent="0.2">
      <c r="A4271" s="1" t="s">
        <v>9</v>
      </c>
      <c r="B4271" s="1" t="s">
        <v>2435</v>
      </c>
      <c r="C4271" s="1"/>
      <c r="D4271" s="1"/>
      <c r="E4271" s="1"/>
      <c r="F4271" s="1"/>
      <c r="G4271" s="1"/>
      <c r="H4271" s="1" t="str">
        <f>"7800007771353"</f>
        <v>7800007771353</v>
      </c>
      <c r="I4271" s="3">
        <v>7</v>
      </c>
      <c r="J4271" s="3">
        <v>0</v>
      </c>
      <c r="K4271" s="3">
        <v>1000</v>
      </c>
    </row>
    <row r="4272" spans="1:11" x14ac:dyDescent="0.2">
      <c r="A4272" s="1" t="s">
        <v>9</v>
      </c>
      <c r="B4272" s="1" t="s">
        <v>2460</v>
      </c>
      <c r="C4272" s="1"/>
      <c r="D4272" s="1"/>
      <c r="E4272" s="1"/>
      <c r="F4272" s="1"/>
      <c r="G4272" s="1"/>
      <c r="H4272" s="1" t="str">
        <f>"7841141002699"</f>
        <v>7841141002699</v>
      </c>
      <c r="I4272" s="3">
        <v>10</v>
      </c>
      <c r="J4272" s="3">
        <v>0</v>
      </c>
      <c r="K4272" s="3">
        <v>18000</v>
      </c>
    </row>
    <row r="4273" spans="1:11" x14ac:dyDescent="0.2">
      <c r="A4273" s="1" t="s">
        <v>9</v>
      </c>
      <c r="B4273" s="1" t="s">
        <v>2461</v>
      </c>
      <c r="C4273" s="1"/>
      <c r="D4273" s="1"/>
      <c r="E4273" s="1"/>
      <c r="F4273" s="1"/>
      <c r="G4273" s="1"/>
      <c r="H4273" s="1" t="str">
        <f>"7841141002712"</f>
        <v>7841141002712</v>
      </c>
      <c r="I4273" s="3">
        <v>9</v>
      </c>
      <c r="J4273" s="3">
        <v>0</v>
      </c>
      <c r="K4273" s="3">
        <v>19000</v>
      </c>
    </row>
    <row r="4274" spans="1:11" x14ac:dyDescent="0.2">
      <c r="A4274" s="1" t="s">
        <v>9</v>
      </c>
      <c r="B4274" s="1" t="s">
        <v>2462</v>
      </c>
      <c r="C4274" s="1"/>
      <c r="D4274" s="1"/>
      <c r="E4274" s="1"/>
      <c r="F4274" s="1"/>
      <c r="G4274" s="1"/>
      <c r="H4274" s="1" t="str">
        <f>"7841141003450"</f>
        <v>7841141003450</v>
      </c>
      <c r="I4274" s="3">
        <v>8</v>
      </c>
      <c r="J4274" s="3">
        <v>0</v>
      </c>
      <c r="K4274" s="3">
        <v>15000</v>
      </c>
    </row>
    <row r="4275" spans="1:11" x14ac:dyDescent="0.2">
      <c r="A4275" s="1" t="s">
        <v>9</v>
      </c>
      <c r="B4275" s="1" t="s">
        <v>2463</v>
      </c>
      <c r="C4275" s="1"/>
      <c r="D4275" s="1"/>
      <c r="E4275" s="1"/>
      <c r="F4275" s="1"/>
      <c r="G4275" s="1"/>
      <c r="H4275" s="1" t="str">
        <f>"7841141003764"</f>
        <v>7841141003764</v>
      </c>
      <c r="I4275" s="3">
        <v>4</v>
      </c>
      <c r="J4275" s="3">
        <v>0</v>
      </c>
      <c r="K4275" s="3">
        <v>21000</v>
      </c>
    </row>
    <row r="4276" spans="1:11" x14ac:dyDescent="0.2">
      <c r="A4276" s="1" t="s">
        <v>9</v>
      </c>
      <c r="B4276" s="1" t="s">
        <v>2465</v>
      </c>
      <c r="C4276" s="1"/>
      <c r="D4276" s="1"/>
      <c r="E4276" s="1"/>
      <c r="F4276" s="1"/>
      <c r="G4276" s="1"/>
      <c r="H4276" s="1" t="str">
        <f>"7841141003443"</f>
        <v>7841141003443</v>
      </c>
      <c r="I4276" s="3">
        <v>0</v>
      </c>
      <c r="J4276" s="3">
        <v>0</v>
      </c>
      <c r="K4276" s="3">
        <v>15000</v>
      </c>
    </row>
    <row r="4277" spans="1:11" x14ac:dyDescent="0.2">
      <c r="A4277" s="1" t="s">
        <v>9</v>
      </c>
      <c r="B4277" s="1" t="s">
        <v>2467</v>
      </c>
      <c r="C4277" s="1"/>
      <c r="D4277" s="1"/>
      <c r="E4277" s="1"/>
      <c r="F4277" s="1"/>
      <c r="G4277" s="1"/>
      <c r="H4277" s="1" t="str">
        <f>"7800007128157"</f>
        <v>7800007128157</v>
      </c>
      <c r="I4277" s="3">
        <v>57</v>
      </c>
      <c r="J4277" s="3">
        <v>0</v>
      </c>
      <c r="K4277" s="3">
        <v>2000</v>
      </c>
    </row>
    <row r="4278" spans="1:11" x14ac:dyDescent="0.2">
      <c r="A4278" s="1" t="s">
        <v>9</v>
      </c>
      <c r="B4278" s="1" t="s">
        <v>2498</v>
      </c>
      <c r="C4278" s="1"/>
      <c r="D4278" s="1"/>
      <c r="E4278" s="1"/>
      <c r="F4278" s="1"/>
      <c r="G4278" s="1"/>
      <c r="H4278" s="1" t="str">
        <f>"7804629440253"</f>
        <v>7804629440253</v>
      </c>
      <c r="I4278" s="3">
        <v>156</v>
      </c>
      <c r="J4278" s="3">
        <v>0</v>
      </c>
      <c r="K4278" s="3">
        <v>10000</v>
      </c>
    </row>
    <row r="4279" spans="1:11" x14ac:dyDescent="0.2">
      <c r="A4279" s="1" t="s">
        <v>9</v>
      </c>
      <c r="B4279" s="1" t="s">
        <v>2500</v>
      </c>
      <c r="C4279" s="1"/>
      <c r="D4279" s="1"/>
      <c r="E4279" s="1"/>
      <c r="F4279" s="1"/>
      <c r="G4279" s="1"/>
      <c r="H4279" s="1" t="str">
        <f>"7804653720123"</f>
        <v>7804653720123</v>
      </c>
      <c r="I4279" s="3">
        <v>2</v>
      </c>
      <c r="J4279" s="3">
        <v>0</v>
      </c>
      <c r="K4279" s="3">
        <v>12000</v>
      </c>
    </row>
    <row r="4280" spans="1:11" x14ac:dyDescent="0.2">
      <c r="A4280" s="1" t="s">
        <v>9</v>
      </c>
      <c r="B4280" s="1" t="s">
        <v>2505</v>
      </c>
      <c r="C4280" s="1"/>
      <c r="D4280" s="1"/>
      <c r="E4280" s="1"/>
      <c r="F4280" s="1"/>
      <c r="G4280" s="1"/>
      <c r="H4280" s="1" t="str">
        <f>"7804650886242"</f>
        <v>7804650886242</v>
      </c>
      <c r="I4280" s="3">
        <v>0</v>
      </c>
      <c r="J4280" s="3">
        <v>0</v>
      </c>
      <c r="K4280" s="3">
        <v>11000</v>
      </c>
    </row>
    <row r="4281" spans="1:11" x14ac:dyDescent="0.2">
      <c r="A4281" s="1" t="s">
        <v>9</v>
      </c>
      <c r="B4281" s="1" t="s">
        <v>2525</v>
      </c>
      <c r="C4281" s="1"/>
      <c r="D4281" s="1"/>
      <c r="E4281" s="1"/>
      <c r="F4281" s="1"/>
      <c r="G4281" s="1"/>
      <c r="H4281" s="1" t="str">
        <f>"7800007808981"</f>
        <v>7800007808981</v>
      </c>
      <c r="I4281" s="3">
        <v>19</v>
      </c>
      <c r="J4281" s="3">
        <v>0</v>
      </c>
      <c r="K4281" s="3">
        <v>15000</v>
      </c>
    </row>
    <row r="4282" spans="1:11" x14ac:dyDescent="0.2">
      <c r="A4282" s="1" t="s">
        <v>9</v>
      </c>
      <c r="B4282" s="1" t="s">
        <v>2528</v>
      </c>
      <c r="C4282" s="1"/>
      <c r="D4282" s="1"/>
      <c r="E4282" s="1"/>
      <c r="F4282" s="1"/>
      <c r="G4282" s="1"/>
      <c r="H4282" s="1" t="str">
        <f>"7804650884880"</f>
        <v>7804650884880</v>
      </c>
      <c r="I4282" s="3">
        <v>0</v>
      </c>
      <c r="J4282" s="3">
        <v>0</v>
      </c>
      <c r="K4282" s="3">
        <v>25000</v>
      </c>
    </row>
    <row r="4283" spans="1:11" x14ac:dyDescent="0.2">
      <c r="A4283" s="1" t="s">
        <v>9</v>
      </c>
      <c r="B4283" s="1" t="s">
        <v>2569</v>
      </c>
      <c r="C4283" s="1"/>
      <c r="D4283" s="1"/>
      <c r="E4283" s="1"/>
      <c r="F4283" s="1"/>
      <c r="G4283" s="1"/>
      <c r="H4283" s="1" t="str">
        <f>"4048846022936"</f>
        <v>4048846022936</v>
      </c>
      <c r="I4283" s="3">
        <v>1</v>
      </c>
      <c r="J4283" s="3">
        <v>0</v>
      </c>
      <c r="K4283" s="3">
        <v>59000</v>
      </c>
    </row>
    <row r="4284" spans="1:11" x14ac:dyDescent="0.2">
      <c r="A4284" s="1" t="s">
        <v>9</v>
      </c>
      <c r="B4284" s="1" t="s">
        <v>2571</v>
      </c>
      <c r="C4284" s="1"/>
      <c r="D4284" s="1"/>
      <c r="E4284" s="1"/>
      <c r="F4284" s="1"/>
      <c r="G4284" s="1"/>
      <c r="H4284" s="1" t="str">
        <f>"4048846023049"</f>
        <v>4048846023049</v>
      </c>
      <c r="I4284" s="3">
        <v>9</v>
      </c>
      <c r="J4284" s="3">
        <v>0</v>
      </c>
      <c r="K4284" s="3">
        <v>35000</v>
      </c>
    </row>
    <row r="4285" spans="1:11" x14ac:dyDescent="0.2">
      <c r="A4285" s="1" t="s">
        <v>9</v>
      </c>
      <c r="B4285" s="1" t="s">
        <v>2572</v>
      </c>
      <c r="C4285" s="1"/>
      <c r="D4285" s="1"/>
      <c r="E4285" s="1"/>
      <c r="F4285" s="1"/>
      <c r="G4285" s="1"/>
      <c r="H4285" s="1" t="str">
        <f>"4048846023032"</f>
        <v>4048846023032</v>
      </c>
      <c r="I4285" s="3">
        <v>23</v>
      </c>
      <c r="J4285" s="3">
        <v>0</v>
      </c>
      <c r="K4285" s="3">
        <v>55000</v>
      </c>
    </row>
    <row r="4286" spans="1:11" x14ac:dyDescent="0.2">
      <c r="A4286" s="1" t="s">
        <v>9</v>
      </c>
      <c r="B4286" s="1" t="s">
        <v>2598</v>
      </c>
      <c r="C4286" s="1"/>
      <c r="D4286" s="1"/>
      <c r="E4286" s="1"/>
      <c r="F4286" s="1"/>
      <c r="G4286" s="1"/>
      <c r="H4286" s="1" t="str">
        <f>"8436024613780"</f>
        <v>8436024613780</v>
      </c>
      <c r="I4286" s="3">
        <v>4</v>
      </c>
      <c r="J4286" s="3">
        <v>0</v>
      </c>
      <c r="K4286" s="3">
        <v>23000</v>
      </c>
    </row>
    <row r="4287" spans="1:11" x14ac:dyDescent="0.2">
      <c r="A4287" s="1" t="s">
        <v>9</v>
      </c>
      <c r="B4287" s="1" t="s">
        <v>2613</v>
      </c>
      <c r="C4287" s="1"/>
      <c r="D4287" s="1"/>
      <c r="E4287" s="1"/>
      <c r="F4287" s="1"/>
      <c r="G4287" s="1"/>
      <c r="H4287" s="1" t="str">
        <f>"7800008010642"</f>
        <v>7800008010642</v>
      </c>
      <c r="I4287" s="3">
        <v>0</v>
      </c>
      <c r="J4287" s="3">
        <v>0</v>
      </c>
      <c r="K4287" s="3">
        <v>39000</v>
      </c>
    </row>
    <row r="4288" spans="1:11" x14ac:dyDescent="0.2">
      <c r="A4288" s="1" t="s">
        <v>9</v>
      </c>
      <c r="B4288" s="1" t="s">
        <v>2627</v>
      </c>
      <c r="C4288" s="1"/>
      <c r="D4288" s="1"/>
      <c r="E4288" s="1"/>
      <c r="F4288" s="1"/>
      <c r="G4288" s="1"/>
      <c r="H4288" s="1" t="str">
        <f>"7800063120263"</f>
        <v>7800063120263</v>
      </c>
      <c r="I4288" s="3">
        <v>281</v>
      </c>
      <c r="J4288" s="3">
        <v>0</v>
      </c>
      <c r="K4288" s="3">
        <v>1000</v>
      </c>
    </row>
    <row r="4289" spans="1:11" x14ac:dyDescent="0.2">
      <c r="A4289" s="1" t="s">
        <v>9</v>
      </c>
      <c r="B4289" s="1" t="s">
        <v>2629</v>
      </c>
      <c r="C4289" s="1"/>
      <c r="D4289" s="1"/>
      <c r="E4289" s="1"/>
      <c r="F4289" s="1"/>
      <c r="G4289" s="1"/>
      <c r="H4289" s="1" t="str">
        <f>"7800063111445"</f>
        <v>7800063111445</v>
      </c>
      <c r="I4289" s="3">
        <v>106</v>
      </c>
      <c r="J4289" s="3">
        <v>0</v>
      </c>
      <c r="K4289" s="3">
        <v>1500</v>
      </c>
    </row>
    <row r="4290" spans="1:11" x14ac:dyDescent="0.2">
      <c r="A4290" s="1" t="s">
        <v>9</v>
      </c>
      <c r="B4290" s="1" t="s">
        <v>2630</v>
      </c>
      <c r="C4290" s="1"/>
      <c r="D4290" s="1"/>
      <c r="E4290" s="1"/>
      <c r="F4290" s="1"/>
      <c r="G4290" s="1"/>
      <c r="H4290" s="1" t="str">
        <f>"7800063111483"</f>
        <v>7800063111483</v>
      </c>
      <c r="I4290" s="3">
        <v>525</v>
      </c>
      <c r="J4290" s="3">
        <v>0</v>
      </c>
      <c r="K4290" s="3">
        <v>500</v>
      </c>
    </row>
    <row r="4291" spans="1:11" x14ac:dyDescent="0.2">
      <c r="A4291" s="1" t="s">
        <v>9</v>
      </c>
      <c r="B4291" s="1" t="s">
        <v>2631</v>
      </c>
      <c r="C4291" s="1"/>
      <c r="D4291" s="1"/>
      <c r="E4291" s="1"/>
      <c r="F4291" s="1"/>
      <c r="G4291" s="1"/>
      <c r="H4291" s="1" t="str">
        <f>"7800007810410"</f>
        <v>7800007810410</v>
      </c>
      <c r="I4291" s="3">
        <v>256</v>
      </c>
      <c r="J4291" s="3">
        <v>0</v>
      </c>
      <c r="K4291" s="3">
        <v>1000</v>
      </c>
    </row>
    <row r="4292" spans="1:11" x14ac:dyDescent="0.2">
      <c r="A4292" s="1" t="s">
        <v>9</v>
      </c>
      <c r="B4292" s="1" t="s">
        <v>2633</v>
      </c>
      <c r="C4292" s="1"/>
      <c r="D4292" s="1"/>
      <c r="E4292" s="1"/>
      <c r="F4292" s="1"/>
      <c r="G4292" s="1"/>
      <c r="H4292" s="1" t="str">
        <f>"7800060137653"</f>
        <v>7800060137653</v>
      </c>
      <c r="I4292" s="3">
        <v>2</v>
      </c>
      <c r="J4292" s="3">
        <v>0</v>
      </c>
      <c r="K4292" s="3">
        <v>11000</v>
      </c>
    </row>
    <row r="4293" spans="1:11" x14ac:dyDescent="0.2">
      <c r="A4293" s="1" t="s">
        <v>9</v>
      </c>
      <c r="B4293" s="1" t="s">
        <v>2634</v>
      </c>
      <c r="C4293" s="1"/>
      <c r="D4293" s="1"/>
      <c r="E4293" s="1"/>
      <c r="F4293" s="1"/>
      <c r="G4293" s="1"/>
      <c r="H4293" s="1" t="str">
        <f>"7800060137578"</f>
        <v>7800060137578</v>
      </c>
      <c r="I4293" s="3">
        <v>8</v>
      </c>
      <c r="J4293" s="3">
        <v>0</v>
      </c>
      <c r="K4293" s="3">
        <v>20000</v>
      </c>
    </row>
    <row r="4294" spans="1:11" x14ac:dyDescent="0.2">
      <c r="A4294" s="1" t="s">
        <v>9</v>
      </c>
      <c r="B4294" s="1" t="s">
        <v>2635</v>
      </c>
      <c r="C4294" s="1"/>
      <c r="D4294" s="1"/>
      <c r="E4294" s="1"/>
      <c r="F4294" s="1"/>
      <c r="G4294" s="1"/>
      <c r="H4294" s="1" t="str">
        <f>"7800060170513"</f>
        <v>7800060170513</v>
      </c>
      <c r="I4294" s="3">
        <v>14</v>
      </c>
      <c r="J4294" s="3">
        <v>0</v>
      </c>
      <c r="K4294" s="3">
        <v>43000</v>
      </c>
    </row>
    <row r="4295" spans="1:11" x14ac:dyDescent="0.2">
      <c r="A4295" s="1" t="s">
        <v>9</v>
      </c>
      <c r="B4295" s="1" t="s">
        <v>2648</v>
      </c>
      <c r="C4295" s="1"/>
      <c r="D4295" s="1"/>
      <c r="E4295" s="1"/>
      <c r="F4295" s="1"/>
      <c r="G4295" s="1"/>
      <c r="H4295" s="1" t="str">
        <f>"7800007409249"</f>
        <v>7800007409249</v>
      </c>
      <c r="I4295" s="3">
        <v>52</v>
      </c>
      <c r="J4295" s="3">
        <v>0</v>
      </c>
      <c r="K4295" s="3">
        <v>1000</v>
      </c>
    </row>
    <row r="4296" spans="1:11" x14ac:dyDescent="0.2">
      <c r="A4296" s="1" t="s">
        <v>9</v>
      </c>
      <c r="B4296" s="1" t="s">
        <v>2709</v>
      </c>
      <c r="C4296" s="1"/>
      <c r="D4296" s="1"/>
      <c r="E4296" s="1"/>
      <c r="F4296" s="1"/>
      <c r="G4296" s="1"/>
      <c r="H4296" s="1" t="str">
        <f>"7800007804228"</f>
        <v>7800007804228</v>
      </c>
      <c r="I4296" s="3">
        <v>0</v>
      </c>
      <c r="J4296" s="3">
        <v>0</v>
      </c>
      <c r="K4296" s="3">
        <v>6700</v>
      </c>
    </row>
    <row r="4297" spans="1:11" x14ac:dyDescent="0.2">
      <c r="A4297" s="1" t="s">
        <v>9</v>
      </c>
      <c r="B4297" s="1" t="s">
        <v>2720</v>
      </c>
      <c r="C4297" s="1"/>
      <c r="D4297" s="1"/>
      <c r="E4297" s="1"/>
      <c r="F4297" s="1"/>
      <c r="G4297" s="1"/>
      <c r="H4297" s="1" t="str">
        <f>"7804620833603"</f>
        <v>7804620833603</v>
      </c>
      <c r="I4297" s="3">
        <v>290</v>
      </c>
      <c r="J4297" s="3">
        <v>0</v>
      </c>
      <c r="K4297" s="3">
        <v>1500</v>
      </c>
    </row>
    <row r="4298" spans="1:11" x14ac:dyDescent="0.2">
      <c r="A4298" s="1" t="s">
        <v>9</v>
      </c>
      <c r="B4298" s="1" t="s">
        <v>2769</v>
      </c>
      <c r="C4298" s="1"/>
      <c r="D4298" s="1"/>
      <c r="E4298" s="1"/>
      <c r="F4298" s="1"/>
      <c r="G4298" s="1"/>
      <c r="H4298" s="1" t="str">
        <f>"7891317006631"</f>
        <v>7891317006631</v>
      </c>
      <c r="I4298" s="3">
        <v>0</v>
      </c>
      <c r="J4298" s="3">
        <v>0</v>
      </c>
      <c r="K4298" s="3">
        <v>4500</v>
      </c>
    </row>
    <row r="4299" spans="1:11" x14ac:dyDescent="0.2">
      <c r="A4299" s="1" t="s">
        <v>9</v>
      </c>
      <c r="B4299" s="1" t="s">
        <v>2779</v>
      </c>
      <c r="C4299" s="1"/>
      <c r="D4299" s="1"/>
      <c r="E4299" s="1"/>
      <c r="F4299" s="1"/>
      <c r="G4299" s="1"/>
      <c r="H4299" s="1" t="str">
        <f>"7804653720093"</f>
        <v>7804653720093</v>
      </c>
      <c r="I4299" s="3">
        <v>0</v>
      </c>
      <c r="J4299" s="3">
        <v>0</v>
      </c>
      <c r="K4299" s="3">
        <v>10000</v>
      </c>
    </row>
    <row r="4300" spans="1:11" x14ac:dyDescent="0.2">
      <c r="A4300" s="1" t="s">
        <v>9</v>
      </c>
      <c r="B4300" s="1" t="s">
        <v>2781</v>
      </c>
      <c r="C4300" s="1"/>
      <c r="D4300" s="1"/>
      <c r="E4300" s="1"/>
      <c r="F4300" s="1"/>
      <c r="G4300" s="1"/>
      <c r="H4300" s="1" t="str">
        <f>"7804673040560"</f>
        <v>7804673040560</v>
      </c>
      <c r="I4300" s="3">
        <v>11</v>
      </c>
      <c r="J4300" s="3">
        <v>0</v>
      </c>
      <c r="K4300" s="3">
        <v>2000</v>
      </c>
    </row>
    <row r="4301" spans="1:11" x14ac:dyDescent="0.2">
      <c r="A4301" s="1" t="s">
        <v>9</v>
      </c>
      <c r="B4301" s="1" t="s">
        <v>2782</v>
      </c>
      <c r="C4301" s="1"/>
      <c r="D4301" s="1"/>
      <c r="E4301" s="1"/>
      <c r="F4301" s="1"/>
      <c r="G4301" s="1"/>
      <c r="H4301" s="1" t="str">
        <f>"7804918500736"</f>
        <v>7804918500736</v>
      </c>
      <c r="I4301" s="3">
        <v>57</v>
      </c>
      <c r="J4301" s="3">
        <v>0</v>
      </c>
      <c r="K4301" s="3">
        <v>2000</v>
      </c>
    </row>
    <row r="4302" spans="1:11" x14ac:dyDescent="0.2">
      <c r="A4302" s="1" t="s">
        <v>9</v>
      </c>
      <c r="B4302" s="1" t="s">
        <v>2783</v>
      </c>
      <c r="C4302" s="1"/>
      <c r="D4302" s="1"/>
      <c r="E4302" s="1"/>
      <c r="F4302" s="1"/>
      <c r="G4302" s="1"/>
      <c r="H4302" s="1" t="str">
        <f>"8903726192337"</f>
        <v>8903726192337</v>
      </c>
      <c r="I4302" s="3">
        <v>228</v>
      </c>
      <c r="J4302" s="3">
        <v>0</v>
      </c>
      <c r="K4302" s="3">
        <v>2000</v>
      </c>
    </row>
    <row r="4303" spans="1:11" x14ac:dyDescent="0.2">
      <c r="A4303" s="1" t="s">
        <v>9</v>
      </c>
      <c r="B4303" s="1" t="s">
        <v>2785</v>
      </c>
      <c r="C4303" s="1"/>
      <c r="D4303" s="1"/>
      <c r="E4303" s="1"/>
      <c r="F4303" s="1"/>
      <c r="G4303" s="1"/>
      <c r="H4303" s="1" t="str">
        <f>"7800007802279"</f>
        <v>7800007802279</v>
      </c>
      <c r="I4303" s="3">
        <v>14</v>
      </c>
      <c r="J4303" s="3">
        <v>0</v>
      </c>
      <c r="K4303" s="3">
        <v>2500</v>
      </c>
    </row>
    <row r="4304" spans="1:11" x14ac:dyDescent="0.2">
      <c r="A4304" s="1" t="s">
        <v>9</v>
      </c>
      <c r="B4304" s="1" t="s">
        <v>2822</v>
      </c>
      <c r="C4304" s="1"/>
      <c r="D4304" s="1"/>
      <c r="E4304" s="1"/>
      <c r="F4304" s="1"/>
      <c r="G4304" s="1"/>
      <c r="H4304" s="1" t="str">
        <f>"4048846005243"</f>
        <v>4048846005243</v>
      </c>
      <c r="I4304" s="3">
        <v>2</v>
      </c>
      <c r="J4304" s="3">
        <v>0</v>
      </c>
      <c r="K4304" s="3">
        <v>46000</v>
      </c>
    </row>
    <row r="4305" spans="1:11" x14ac:dyDescent="0.2">
      <c r="A4305" s="1" t="s">
        <v>9</v>
      </c>
      <c r="B4305" s="1" t="s">
        <v>2865</v>
      </c>
      <c r="C4305" s="1"/>
      <c r="D4305" s="1"/>
      <c r="E4305" s="1"/>
      <c r="F4305" s="1"/>
      <c r="G4305" s="1"/>
      <c r="H4305" s="1" t="str">
        <f>"7800063110202"</f>
        <v>7800063110202</v>
      </c>
      <c r="I4305" s="3">
        <v>0</v>
      </c>
      <c r="J4305" s="3">
        <v>0</v>
      </c>
      <c r="K4305" s="3">
        <v>500</v>
      </c>
    </row>
    <row r="4306" spans="1:11" x14ac:dyDescent="0.2">
      <c r="A4306" s="1" t="s">
        <v>9</v>
      </c>
      <c r="B4306" s="1" t="s">
        <v>2866</v>
      </c>
      <c r="C4306" s="1"/>
      <c r="D4306" s="1"/>
      <c r="E4306" s="1"/>
      <c r="F4306" s="1"/>
      <c r="G4306" s="1"/>
      <c r="H4306" s="1" t="str">
        <f>"7804650883081"</f>
        <v>7804650883081</v>
      </c>
      <c r="I4306" s="3">
        <v>19</v>
      </c>
      <c r="J4306" s="3">
        <v>0</v>
      </c>
      <c r="K4306" s="3">
        <v>500</v>
      </c>
    </row>
    <row r="4307" spans="1:11" x14ac:dyDescent="0.2">
      <c r="A4307" s="1" t="s">
        <v>9</v>
      </c>
      <c r="B4307" s="1" t="s">
        <v>2867</v>
      </c>
      <c r="C4307" s="1"/>
      <c r="D4307" s="1"/>
      <c r="E4307" s="1"/>
      <c r="F4307" s="1"/>
      <c r="G4307" s="1"/>
      <c r="H4307" s="1" t="str">
        <f>"7804620832811"</f>
        <v>7804620832811</v>
      </c>
      <c r="I4307" s="3">
        <v>363</v>
      </c>
      <c r="J4307" s="3">
        <v>0</v>
      </c>
      <c r="K4307" s="3">
        <v>500</v>
      </c>
    </row>
    <row r="4308" spans="1:11" x14ac:dyDescent="0.2">
      <c r="A4308" s="1" t="s">
        <v>9</v>
      </c>
      <c r="B4308" s="1" t="s">
        <v>2876</v>
      </c>
      <c r="C4308" s="1"/>
      <c r="D4308" s="1"/>
      <c r="E4308" s="1"/>
      <c r="F4308" s="1"/>
      <c r="G4308" s="1"/>
      <c r="H4308" s="1" t="str">
        <f>"7804620836246"</f>
        <v>7804620836246</v>
      </c>
      <c r="I4308" s="3">
        <v>50</v>
      </c>
      <c r="J4308" s="3">
        <v>0</v>
      </c>
      <c r="K4308" s="3">
        <v>1000</v>
      </c>
    </row>
    <row r="4309" spans="1:11" x14ac:dyDescent="0.2">
      <c r="A4309" s="1" t="s">
        <v>9</v>
      </c>
      <c r="B4309" s="1" t="s">
        <v>2880</v>
      </c>
      <c r="C4309" s="1"/>
      <c r="D4309" s="1"/>
      <c r="E4309" s="1"/>
      <c r="F4309" s="1"/>
      <c r="G4309" s="1"/>
      <c r="H4309" s="1" t="str">
        <f>"7800007679895"</f>
        <v>7800007679895</v>
      </c>
      <c r="I4309" s="3">
        <v>908</v>
      </c>
      <c r="J4309" s="3">
        <v>0</v>
      </c>
      <c r="K4309" s="3">
        <v>1000</v>
      </c>
    </row>
    <row r="4310" spans="1:11" x14ac:dyDescent="0.2">
      <c r="A4310" s="1" t="s">
        <v>9</v>
      </c>
      <c r="B4310" s="1" t="s">
        <v>2881</v>
      </c>
      <c r="C4310" s="1"/>
      <c r="D4310" s="1"/>
      <c r="E4310" s="1"/>
      <c r="F4310" s="1"/>
      <c r="G4310" s="1"/>
      <c r="H4310" s="1" t="str">
        <f>"7804650880677"</f>
        <v>7804650880677</v>
      </c>
      <c r="I4310" s="3">
        <v>58</v>
      </c>
      <c r="J4310" s="3">
        <v>0</v>
      </c>
      <c r="K4310" s="3">
        <v>1000</v>
      </c>
    </row>
    <row r="4311" spans="1:11" x14ac:dyDescent="0.2">
      <c r="A4311" s="1" t="s">
        <v>9</v>
      </c>
      <c r="B4311" s="1" t="s">
        <v>2882</v>
      </c>
      <c r="C4311" s="1"/>
      <c r="D4311" s="1"/>
      <c r="E4311" s="1"/>
      <c r="F4311" s="1"/>
      <c r="G4311" s="1"/>
      <c r="H4311" s="1" t="str">
        <f>"8903726207628"</f>
        <v>8903726207628</v>
      </c>
      <c r="I4311" s="3">
        <v>483</v>
      </c>
      <c r="J4311" s="3">
        <v>0</v>
      </c>
      <c r="K4311" s="3">
        <v>1000</v>
      </c>
    </row>
    <row r="4312" spans="1:11" x14ac:dyDescent="0.2">
      <c r="A4312" s="1" t="s">
        <v>9</v>
      </c>
      <c r="B4312" s="1" t="s">
        <v>2887</v>
      </c>
      <c r="C4312" s="1"/>
      <c r="D4312" s="1"/>
      <c r="E4312" s="1"/>
      <c r="F4312" s="1"/>
      <c r="G4312" s="1"/>
      <c r="H4312" s="1" t="str">
        <f>"7800007516756"</f>
        <v>7800007516756</v>
      </c>
      <c r="I4312" s="3">
        <v>17</v>
      </c>
      <c r="J4312" s="3">
        <v>0</v>
      </c>
      <c r="K4312" s="3">
        <v>1000</v>
      </c>
    </row>
    <row r="4313" spans="1:11" x14ac:dyDescent="0.2">
      <c r="A4313" s="1" t="s">
        <v>9</v>
      </c>
      <c r="B4313" s="1" t="s">
        <v>3004</v>
      </c>
      <c r="C4313" s="1"/>
      <c r="D4313" s="1"/>
      <c r="E4313" s="1"/>
      <c r="F4313" s="1"/>
      <c r="G4313" s="1"/>
      <c r="H4313" s="1" t="str">
        <f>"7804620836550"</f>
        <v>7804620836550</v>
      </c>
      <c r="I4313" s="3">
        <v>5</v>
      </c>
      <c r="J4313" s="3">
        <v>0</v>
      </c>
      <c r="K4313" s="3">
        <v>2000</v>
      </c>
    </row>
    <row r="4314" spans="1:11" x14ac:dyDescent="0.2">
      <c r="A4314" s="1" t="s">
        <v>9</v>
      </c>
      <c r="B4314" s="1" t="s">
        <v>3005</v>
      </c>
      <c r="C4314" s="1"/>
      <c r="D4314" s="1"/>
      <c r="E4314" s="1"/>
      <c r="F4314" s="1"/>
      <c r="G4314" s="1"/>
      <c r="H4314" s="1" t="str">
        <f>"7800046005167"</f>
        <v>7800046005167</v>
      </c>
      <c r="I4314" s="3">
        <v>50</v>
      </c>
      <c r="J4314" s="3">
        <v>0</v>
      </c>
      <c r="K4314" s="3">
        <v>1500</v>
      </c>
    </row>
    <row r="4315" spans="1:11" x14ac:dyDescent="0.2">
      <c r="A4315" s="1" t="s">
        <v>9</v>
      </c>
      <c r="B4315" s="1" t="s">
        <v>3007</v>
      </c>
      <c r="C4315" s="1"/>
      <c r="D4315" s="1"/>
      <c r="E4315" s="1"/>
      <c r="F4315" s="1"/>
      <c r="G4315" s="1"/>
      <c r="H4315" s="1" t="str">
        <f>"7803501004118"</f>
        <v>7803501004118</v>
      </c>
      <c r="I4315" s="3">
        <v>2</v>
      </c>
      <c r="J4315" s="3">
        <v>0</v>
      </c>
      <c r="K4315" s="3">
        <v>1500</v>
      </c>
    </row>
    <row r="4316" spans="1:11" x14ac:dyDescent="0.2">
      <c r="A4316" s="1" t="s">
        <v>9</v>
      </c>
      <c r="B4316" s="1" t="s">
        <v>3016</v>
      </c>
      <c r="C4316" s="1"/>
      <c r="D4316" s="1"/>
      <c r="E4316" s="1"/>
      <c r="F4316" s="1"/>
      <c r="G4316" s="1"/>
      <c r="H4316" s="1" t="str">
        <f>"7800063116396"</f>
        <v>7800063116396</v>
      </c>
      <c r="I4316" s="3">
        <v>244</v>
      </c>
      <c r="J4316" s="3">
        <v>0</v>
      </c>
      <c r="K4316" s="3">
        <v>1000</v>
      </c>
    </row>
    <row r="4317" spans="1:11" x14ac:dyDescent="0.2">
      <c r="A4317" s="1" t="s">
        <v>9</v>
      </c>
      <c r="B4317" s="1" t="s">
        <v>3017</v>
      </c>
      <c r="C4317" s="1"/>
      <c r="D4317" s="1"/>
      <c r="E4317" s="1"/>
      <c r="F4317" s="1"/>
      <c r="G4317" s="1"/>
      <c r="H4317" s="1" t="str">
        <f>"7800063116402"</f>
        <v>7800063116402</v>
      </c>
      <c r="I4317" s="3">
        <v>237</v>
      </c>
      <c r="J4317" s="3">
        <v>0</v>
      </c>
      <c r="K4317" s="3">
        <v>1000</v>
      </c>
    </row>
    <row r="4318" spans="1:11" x14ac:dyDescent="0.2">
      <c r="A4318" s="1" t="s">
        <v>9</v>
      </c>
      <c r="B4318" s="1" t="s">
        <v>3020</v>
      </c>
      <c r="C4318" s="1"/>
      <c r="D4318" s="1"/>
      <c r="E4318" s="1"/>
      <c r="F4318" s="1"/>
      <c r="G4318" s="1"/>
      <c r="H4318" s="1" t="str">
        <f>"7800060170940"</f>
        <v>7800060170940</v>
      </c>
      <c r="I4318" s="3">
        <v>0</v>
      </c>
      <c r="J4318" s="3">
        <v>0</v>
      </c>
      <c r="K4318" s="3">
        <v>6500</v>
      </c>
    </row>
    <row r="4319" spans="1:11" x14ac:dyDescent="0.2">
      <c r="A4319" s="1" t="s">
        <v>9</v>
      </c>
      <c r="B4319" s="1" t="s">
        <v>3045</v>
      </c>
      <c r="C4319" s="1"/>
      <c r="D4319" s="1"/>
      <c r="E4319" s="1"/>
      <c r="F4319" s="1"/>
      <c r="G4319" s="1"/>
      <c r="H4319" s="1" t="str">
        <f>"7800068031908"</f>
        <v>7800068031908</v>
      </c>
      <c r="I4319" s="3">
        <v>29</v>
      </c>
      <c r="J4319" s="3">
        <v>0</v>
      </c>
      <c r="K4319" s="3">
        <v>1500</v>
      </c>
    </row>
    <row r="4320" spans="1:11" x14ac:dyDescent="0.2">
      <c r="A4320" s="1" t="s">
        <v>9</v>
      </c>
      <c r="B4320" s="1" t="s">
        <v>3053</v>
      </c>
      <c r="C4320" s="1"/>
      <c r="D4320" s="1"/>
      <c r="E4320" s="1"/>
      <c r="F4320" s="1"/>
      <c r="G4320" s="1"/>
      <c r="H4320" s="1" t="str">
        <f>"7804650880233"</f>
        <v>7804650880233</v>
      </c>
      <c r="I4320" s="3">
        <v>15</v>
      </c>
      <c r="J4320" s="3">
        <v>0</v>
      </c>
      <c r="K4320" s="3">
        <v>1500</v>
      </c>
    </row>
    <row r="4321" spans="1:11" x14ac:dyDescent="0.2">
      <c r="A4321" s="1" t="s">
        <v>9</v>
      </c>
      <c r="B4321" s="1" t="s">
        <v>3055</v>
      </c>
      <c r="C4321" s="1"/>
      <c r="D4321" s="1"/>
      <c r="E4321" s="1"/>
      <c r="F4321" s="1"/>
      <c r="G4321" s="1"/>
      <c r="H4321" s="1" t="str">
        <f>"7800007806208"</f>
        <v>7800007806208</v>
      </c>
      <c r="I4321" s="3">
        <v>55</v>
      </c>
      <c r="J4321" s="3">
        <v>0</v>
      </c>
      <c r="K4321" s="3">
        <v>2500</v>
      </c>
    </row>
    <row r="4322" spans="1:11" x14ac:dyDescent="0.2">
      <c r="A4322" s="1" t="s">
        <v>9</v>
      </c>
      <c r="B4322" s="1" t="s">
        <v>3057</v>
      </c>
      <c r="C4322" s="1"/>
      <c r="D4322" s="1"/>
      <c r="E4322" s="1"/>
      <c r="F4322" s="1"/>
      <c r="G4322" s="1"/>
      <c r="H4322" s="1" t="str">
        <f>"7800063003122"</f>
        <v>7800063003122</v>
      </c>
      <c r="I4322" s="3">
        <v>48</v>
      </c>
      <c r="J4322" s="3">
        <v>0</v>
      </c>
      <c r="K4322" s="3">
        <v>1000</v>
      </c>
    </row>
    <row r="4323" spans="1:11" x14ac:dyDescent="0.2">
      <c r="A4323" s="1" t="s">
        <v>9</v>
      </c>
      <c r="B4323" s="1" t="s">
        <v>3069</v>
      </c>
      <c r="C4323" s="1"/>
      <c r="D4323" s="1"/>
      <c r="E4323" s="1"/>
      <c r="F4323" s="1"/>
      <c r="G4323" s="1"/>
      <c r="H4323" s="1" t="str">
        <f>"4048846022462"</f>
        <v>4048846022462</v>
      </c>
      <c r="I4323" s="3">
        <v>1</v>
      </c>
      <c r="J4323" s="3">
        <v>0</v>
      </c>
      <c r="K4323" s="3">
        <v>46000</v>
      </c>
    </row>
    <row r="4324" spans="1:11" x14ac:dyDescent="0.2">
      <c r="A4324" s="1" t="s">
        <v>9</v>
      </c>
      <c r="B4324" s="1" t="s">
        <v>3070</v>
      </c>
      <c r="C4324" s="1"/>
      <c r="D4324" s="1"/>
      <c r="E4324" s="1"/>
      <c r="F4324" s="1"/>
      <c r="G4324" s="1"/>
      <c r="H4324" s="1" t="str">
        <f>"4048846022455"</f>
        <v>4048846022455</v>
      </c>
      <c r="I4324" s="3">
        <v>1</v>
      </c>
      <c r="J4324" s="3">
        <v>0</v>
      </c>
      <c r="K4324" s="3">
        <v>41000</v>
      </c>
    </row>
    <row r="4325" spans="1:11" x14ac:dyDescent="0.2">
      <c r="A4325" s="1" t="s">
        <v>9</v>
      </c>
      <c r="B4325" s="1" t="s">
        <v>3071</v>
      </c>
      <c r="C4325" s="1"/>
      <c r="D4325" s="1"/>
      <c r="E4325" s="1"/>
      <c r="F4325" s="1"/>
      <c r="G4325" s="1"/>
      <c r="H4325" s="1" t="str">
        <f>"4048846022677"</f>
        <v>4048846022677</v>
      </c>
      <c r="I4325" s="3">
        <v>3</v>
      </c>
      <c r="J4325" s="3">
        <v>0</v>
      </c>
      <c r="K4325" s="3">
        <v>40000</v>
      </c>
    </row>
    <row r="4326" spans="1:11" x14ac:dyDescent="0.2">
      <c r="A4326" s="1" t="s">
        <v>9</v>
      </c>
      <c r="B4326" s="1" t="s">
        <v>3072</v>
      </c>
      <c r="C4326" s="1"/>
      <c r="D4326" s="1"/>
      <c r="E4326" s="1"/>
      <c r="F4326" s="1"/>
      <c r="G4326" s="1"/>
      <c r="H4326" s="1" t="str">
        <f>"76022460480311"</f>
        <v>76022460480311</v>
      </c>
      <c r="I4326" s="3">
        <v>1</v>
      </c>
      <c r="J4326" s="3">
        <v>0</v>
      </c>
      <c r="K4326" s="3">
        <v>26000</v>
      </c>
    </row>
    <row r="4327" spans="1:11" x14ac:dyDescent="0.2">
      <c r="A4327" s="1" t="s">
        <v>9</v>
      </c>
      <c r="B4327" s="1" t="s">
        <v>3081</v>
      </c>
      <c r="C4327" s="1"/>
      <c r="D4327" s="1"/>
      <c r="E4327" s="1"/>
      <c r="F4327" s="1"/>
      <c r="G4327" s="1"/>
      <c r="H4327" s="1" t="str">
        <f>"7800028000357"</f>
        <v>7800028000357</v>
      </c>
      <c r="I4327" s="3">
        <v>165</v>
      </c>
      <c r="J4327" s="3">
        <v>0</v>
      </c>
      <c r="K4327" s="3">
        <v>1500</v>
      </c>
    </row>
    <row r="4328" spans="1:11" x14ac:dyDescent="0.2">
      <c r="A4328" s="1" t="s">
        <v>9</v>
      </c>
      <c r="B4328" s="1" t="s">
        <v>3105</v>
      </c>
      <c r="C4328" s="1"/>
      <c r="D4328" s="1"/>
      <c r="E4328" s="1"/>
      <c r="F4328" s="1"/>
      <c r="G4328" s="1"/>
      <c r="H4328" s="1" t="str">
        <f>"7891317020231"</f>
        <v>7891317020231</v>
      </c>
      <c r="I4328" s="3">
        <v>0</v>
      </c>
      <c r="J4328" s="3">
        <v>0</v>
      </c>
      <c r="K4328" s="3">
        <v>8000</v>
      </c>
    </row>
    <row r="4329" spans="1:11" x14ac:dyDescent="0.2">
      <c r="A4329" s="1" t="s">
        <v>9</v>
      </c>
      <c r="B4329" s="1" t="s">
        <v>3106</v>
      </c>
      <c r="C4329" s="1"/>
      <c r="D4329" s="1"/>
      <c r="E4329" s="1"/>
      <c r="F4329" s="1"/>
      <c r="G4329" s="1"/>
      <c r="H4329" s="1" t="str">
        <f>"7891317026813"</f>
        <v>7891317026813</v>
      </c>
      <c r="I4329" s="3">
        <v>3</v>
      </c>
      <c r="J4329" s="3">
        <v>0</v>
      </c>
      <c r="K4329" s="3">
        <v>7500</v>
      </c>
    </row>
    <row r="4330" spans="1:11" x14ac:dyDescent="0.2">
      <c r="A4330" s="1" t="s">
        <v>9</v>
      </c>
      <c r="B4330" s="1" t="s">
        <v>3108</v>
      </c>
      <c r="C4330" s="1"/>
      <c r="D4330" s="1"/>
      <c r="E4330" s="1"/>
      <c r="F4330" s="1"/>
      <c r="G4330" s="1"/>
      <c r="H4330" s="1" t="str">
        <f>"7891317018467"</f>
        <v>7891317018467</v>
      </c>
      <c r="I4330" s="3">
        <v>0</v>
      </c>
      <c r="J4330" s="3">
        <v>0</v>
      </c>
      <c r="K4330" s="3">
        <v>6000</v>
      </c>
    </row>
    <row r="4331" spans="1:11" x14ac:dyDescent="0.2">
      <c r="A4331" s="1" t="s">
        <v>9</v>
      </c>
      <c r="B4331" s="1" t="s">
        <v>3111</v>
      </c>
      <c r="C4331" s="1"/>
      <c r="D4331" s="1"/>
      <c r="E4331" s="1"/>
      <c r="F4331" s="1"/>
      <c r="G4331" s="1"/>
      <c r="H4331" s="1" t="str">
        <f>"7804640560527"</f>
        <v>7804640560527</v>
      </c>
      <c r="I4331" s="3">
        <v>34</v>
      </c>
      <c r="J4331" s="3">
        <v>0</v>
      </c>
      <c r="K4331" s="3">
        <v>3000</v>
      </c>
    </row>
    <row r="4332" spans="1:11" x14ac:dyDescent="0.2">
      <c r="A4332" s="1" t="s">
        <v>9</v>
      </c>
      <c r="B4332" s="1" t="s">
        <v>3127</v>
      </c>
      <c r="C4332" s="1"/>
      <c r="D4332" s="1"/>
      <c r="E4332" s="1"/>
      <c r="F4332" s="1"/>
      <c r="G4332" s="1"/>
      <c r="H4332" s="1" t="str">
        <f>"7800046005563"</f>
        <v>7800046005563</v>
      </c>
      <c r="I4332" s="3">
        <v>30</v>
      </c>
      <c r="J4332" s="3">
        <v>0</v>
      </c>
      <c r="K4332" s="3">
        <v>5000</v>
      </c>
    </row>
    <row r="4333" spans="1:11" x14ac:dyDescent="0.2">
      <c r="A4333" s="1" t="s">
        <v>9</v>
      </c>
      <c r="B4333" s="1" t="s">
        <v>3140</v>
      </c>
      <c r="C4333" s="1"/>
      <c r="D4333" s="1"/>
      <c r="E4333" s="1"/>
      <c r="F4333" s="1"/>
      <c r="G4333" s="1"/>
      <c r="H4333" s="1" t="str">
        <f>"7792183020205"</f>
        <v>7792183020205</v>
      </c>
      <c r="I4333" s="3">
        <v>13</v>
      </c>
      <c r="J4333" s="3">
        <v>0</v>
      </c>
      <c r="K4333" s="3">
        <v>21000</v>
      </c>
    </row>
    <row r="4334" spans="1:11" x14ac:dyDescent="0.2">
      <c r="A4334" s="1" t="s">
        <v>9</v>
      </c>
      <c r="B4334" s="1" t="s">
        <v>3143</v>
      </c>
      <c r="C4334" s="1"/>
      <c r="D4334" s="1"/>
      <c r="E4334" s="1"/>
      <c r="F4334" s="1"/>
      <c r="G4334" s="1"/>
      <c r="H4334" s="1" t="str">
        <f>"7800028002160"</f>
        <v>7800028002160</v>
      </c>
      <c r="I4334" s="3">
        <v>0</v>
      </c>
      <c r="J4334" s="3">
        <v>0</v>
      </c>
      <c r="K4334" s="3">
        <v>12000</v>
      </c>
    </row>
    <row r="4335" spans="1:11" x14ac:dyDescent="0.2">
      <c r="A4335" s="1" t="s">
        <v>9</v>
      </c>
      <c r="B4335" s="1" t="s">
        <v>3190</v>
      </c>
      <c r="C4335" s="1"/>
      <c r="D4335" s="1"/>
      <c r="E4335" s="1"/>
      <c r="F4335" s="1"/>
      <c r="G4335" s="1"/>
      <c r="H4335" s="1" t="str">
        <f>"7800063001944"</f>
        <v>7800063001944</v>
      </c>
      <c r="I4335" s="3">
        <v>152</v>
      </c>
      <c r="J4335" s="3">
        <v>0</v>
      </c>
      <c r="K4335" s="3">
        <v>1500</v>
      </c>
    </row>
    <row r="4336" spans="1:11" x14ac:dyDescent="0.2">
      <c r="A4336" s="1" t="s">
        <v>9</v>
      </c>
      <c r="B4336" s="1" t="s">
        <v>3191</v>
      </c>
      <c r="C4336" s="1"/>
      <c r="D4336" s="1"/>
      <c r="E4336" s="1"/>
      <c r="F4336" s="1"/>
      <c r="G4336" s="1"/>
      <c r="H4336" s="1" t="str">
        <f>"7800018000831"</f>
        <v>7800018000831</v>
      </c>
      <c r="I4336" s="3">
        <v>182</v>
      </c>
      <c r="J4336" s="3">
        <v>0</v>
      </c>
      <c r="K4336" s="3">
        <v>1500</v>
      </c>
    </row>
    <row r="4337" spans="1:11" x14ac:dyDescent="0.2">
      <c r="A4337" s="1" t="s">
        <v>9</v>
      </c>
      <c r="B4337" s="1" t="s">
        <v>3198</v>
      </c>
      <c r="C4337" s="1"/>
      <c r="D4337" s="1"/>
      <c r="E4337" s="1"/>
      <c r="F4337" s="1"/>
      <c r="G4337" s="1"/>
      <c r="H4337" s="1" t="str">
        <f>"7800007478801"</f>
        <v>7800007478801</v>
      </c>
      <c r="I4337" s="3">
        <v>0</v>
      </c>
      <c r="J4337" s="3">
        <v>0</v>
      </c>
      <c r="K4337" s="3">
        <v>3000</v>
      </c>
    </row>
    <row r="4338" spans="1:11" x14ac:dyDescent="0.2">
      <c r="A4338" s="1" t="s">
        <v>9</v>
      </c>
      <c r="B4338" s="1" t="s">
        <v>3200</v>
      </c>
      <c r="C4338" s="1"/>
      <c r="D4338" s="1"/>
      <c r="E4338" s="1"/>
      <c r="F4338" s="1"/>
      <c r="G4338" s="1"/>
      <c r="H4338" s="1" t="str">
        <f>"7800028005536"</f>
        <v>7800028005536</v>
      </c>
      <c r="I4338" s="3">
        <v>129</v>
      </c>
      <c r="J4338" s="3">
        <v>0</v>
      </c>
      <c r="K4338" s="3">
        <v>4000</v>
      </c>
    </row>
    <row r="4339" spans="1:11" x14ac:dyDescent="0.2">
      <c r="A4339" s="1" t="s">
        <v>9</v>
      </c>
      <c r="B4339" s="1" t="s">
        <v>3224</v>
      </c>
      <c r="C4339" s="1"/>
      <c r="D4339" s="1"/>
      <c r="E4339" s="1"/>
      <c r="F4339" s="1"/>
      <c r="G4339" s="1"/>
      <c r="H4339" s="1" t="str">
        <f>"7804918441312"</f>
        <v>7804918441312</v>
      </c>
      <c r="I4339" s="3">
        <v>4</v>
      </c>
      <c r="J4339" s="3">
        <v>0</v>
      </c>
      <c r="K4339" s="3">
        <v>8500</v>
      </c>
    </row>
    <row r="4340" spans="1:11" x14ac:dyDescent="0.2">
      <c r="A4340" s="1" t="s">
        <v>9</v>
      </c>
      <c r="B4340" s="1" t="s">
        <v>3226</v>
      </c>
      <c r="C4340" s="1"/>
      <c r="D4340" s="1"/>
      <c r="E4340" s="1"/>
      <c r="F4340" s="1"/>
      <c r="G4340" s="1"/>
      <c r="H4340" s="1" t="str">
        <f>"7800063310848"</f>
        <v>7800063310848</v>
      </c>
      <c r="I4340" s="3">
        <v>5</v>
      </c>
      <c r="J4340" s="3">
        <v>0</v>
      </c>
      <c r="K4340" s="3">
        <v>2000</v>
      </c>
    </row>
    <row r="4341" spans="1:11" x14ac:dyDescent="0.2">
      <c r="A4341" s="1" t="s">
        <v>9</v>
      </c>
      <c r="B4341" s="1" t="s">
        <v>3238</v>
      </c>
      <c r="C4341" s="1"/>
      <c r="D4341" s="1"/>
      <c r="E4341" s="1"/>
      <c r="F4341" s="1"/>
      <c r="G4341" s="1"/>
      <c r="H4341" s="1" t="str">
        <f>"7500435248280"</f>
        <v>7500435248280</v>
      </c>
      <c r="I4341" s="3">
        <v>23</v>
      </c>
      <c r="J4341" s="3">
        <v>0</v>
      </c>
      <c r="K4341" s="3">
        <v>29000</v>
      </c>
    </row>
    <row r="4342" spans="1:11" x14ac:dyDescent="0.2">
      <c r="A4342" s="1" t="s">
        <v>9</v>
      </c>
      <c r="B4342" s="1" t="s">
        <v>3240</v>
      </c>
      <c r="C4342" s="1"/>
      <c r="D4342" s="1"/>
      <c r="E4342" s="1"/>
      <c r="F4342" s="1"/>
      <c r="G4342" s="1"/>
      <c r="H4342" s="1" t="str">
        <f>"7500435221030"</f>
        <v>7500435221030</v>
      </c>
      <c r="I4342" s="3">
        <v>18</v>
      </c>
      <c r="J4342" s="3">
        <v>0</v>
      </c>
      <c r="K4342" s="3">
        <v>19000</v>
      </c>
    </row>
    <row r="4343" spans="1:11" x14ac:dyDescent="0.2">
      <c r="A4343" s="1" t="s">
        <v>9</v>
      </c>
      <c r="B4343" s="1" t="s">
        <v>3313</v>
      </c>
      <c r="C4343" s="1"/>
      <c r="D4343" s="1"/>
      <c r="E4343" s="1"/>
      <c r="F4343" s="1"/>
      <c r="G4343" s="1"/>
      <c r="H4343" s="1" t="str">
        <f>"7800063120935"</f>
        <v>7800063120935</v>
      </c>
      <c r="I4343" s="3">
        <v>107</v>
      </c>
      <c r="J4343" s="3">
        <v>0</v>
      </c>
      <c r="K4343" s="3">
        <v>1500</v>
      </c>
    </row>
    <row r="4344" spans="1:11" x14ac:dyDescent="0.2">
      <c r="A4344" s="1" t="s">
        <v>9</v>
      </c>
      <c r="B4344" s="1" t="s">
        <v>3366</v>
      </c>
      <c r="C4344" s="1"/>
      <c r="D4344" s="1"/>
      <c r="E4344" s="1"/>
      <c r="F4344" s="1"/>
      <c r="G4344" s="1"/>
      <c r="H4344" s="1" t="str">
        <f>"7800018163697"</f>
        <v>7800018163697</v>
      </c>
      <c r="I4344" s="3">
        <v>30</v>
      </c>
      <c r="J4344" s="3">
        <v>0</v>
      </c>
      <c r="K4344" s="3">
        <v>20000</v>
      </c>
    </row>
    <row r="4345" spans="1:11" x14ac:dyDescent="0.2">
      <c r="A4345" s="1" t="s">
        <v>9</v>
      </c>
      <c r="B4345" s="1" t="s">
        <v>3428</v>
      </c>
      <c r="C4345" s="1"/>
      <c r="D4345" s="1"/>
      <c r="E4345" s="1"/>
      <c r="F4345" s="1"/>
      <c r="G4345" s="1"/>
      <c r="H4345" s="1" t="str">
        <f>"8903726234426"</f>
        <v>8903726234426</v>
      </c>
      <c r="I4345" s="3">
        <v>12</v>
      </c>
      <c r="J4345" s="3">
        <v>0</v>
      </c>
      <c r="K4345" s="3">
        <v>7500</v>
      </c>
    </row>
    <row r="4346" spans="1:11" x14ac:dyDescent="0.2">
      <c r="A4346" s="1" t="s">
        <v>9</v>
      </c>
      <c r="B4346" s="1" t="s">
        <v>3432</v>
      </c>
      <c r="C4346" s="1"/>
      <c r="D4346" s="1"/>
      <c r="E4346" s="1"/>
      <c r="F4346" s="1"/>
      <c r="G4346" s="1"/>
      <c r="H4346" s="1" t="str">
        <f>"7804650881711"</f>
        <v>7804650881711</v>
      </c>
      <c r="I4346" s="3">
        <v>0</v>
      </c>
      <c r="J4346" s="3">
        <v>0</v>
      </c>
      <c r="K4346" s="3">
        <v>12000</v>
      </c>
    </row>
    <row r="4347" spans="1:11" x14ac:dyDescent="0.2">
      <c r="A4347" s="1" t="s">
        <v>9</v>
      </c>
      <c r="B4347" s="1" t="s">
        <v>3433</v>
      </c>
      <c r="C4347" s="1"/>
      <c r="D4347" s="1"/>
      <c r="E4347" s="1"/>
      <c r="F4347" s="1"/>
      <c r="G4347" s="1"/>
      <c r="H4347" s="1" t="str">
        <f>"7804650881735"</f>
        <v>7804650881735</v>
      </c>
      <c r="I4347" s="3">
        <v>4</v>
      </c>
      <c r="J4347" s="3">
        <v>0</v>
      </c>
      <c r="K4347" s="3">
        <v>12000</v>
      </c>
    </row>
    <row r="4348" spans="1:11" x14ac:dyDescent="0.2">
      <c r="A4348" s="1" t="s">
        <v>9</v>
      </c>
      <c r="B4348" s="1" t="s">
        <v>3434</v>
      </c>
      <c r="C4348" s="1"/>
      <c r="D4348" s="1"/>
      <c r="E4348" s="1"/>
      <c r="F4348" s="1"/>
      <c r="G4348" s="1"/>
      <c r="H4348" s="1" t="str">
        <f>"8903726234419"</f>
        <v>8903726234419</v>
      </c>
      <c r="I4348" s="3">
        <v>12</v>
      </c>
      <c r="J4348" s="3">
        <v>0</v>
      </c>
      <c r="K4348" s="3">
        <v>6500</v>
      </c>
    </row>
    <row r="4349" spans="1:11" x14ac:dyDescent="0.2">
      <c r="A4349" s="1" t="s">
        <v>9</v>
      </c>
      <c r="B4349" s="1" t="s">
        <v>3437</v>
      </c>
      <c r="C4349" s="1"/>
      <c r="D4349" s="1"/>
      <c r="E4349" s="1"/>
      <c r="F4349" s="1"/>
      <c r="G4349" s="1"/>
      <c r="H4349" s="1" t="str">
        <f>"7809591402889"</f>
        <v>7809591402889</v>
      </c>
      <c r="I4349" s="3">
        <v>4</v>
      </c>
      <c r="J4349" s="3">
        <v>0</v>
      </c>
      <c r="K4349" s="3">
        <v>22000</v>
      </c>
    </row>
    <row r="4350" spans="1:11" x14ac:dyDescent="0.2">
      <c r="A4350" s="1" t="s">
        <v>9</v>
      </c>
      <c r="B4350" s="1" t="s">
        <v>3440</v>
      </c>
      <c r="C4350" s="1"/>
      <c r="D4350" s="1"/>
      <c r="E4350" s="1"/>
      <c r="F4350" s="1"/>
      <c r="G4350" s="1"/>
      <c r="H4350" s="1" t="str">
        <f>"7809591402780"</f>
        <v>7809591402780</v>
      </c>
      <c r="I4350" s="3">
        <v>17</v>
      </c>
      <c r="J4350" s="3">
        <v>0</v>
      </c>
      <c r="K4350" s="3">
        <v>15000</v>
      </c>
    </row>
    <row r="4351" spans="1:11" x14ac:dyDescent="0.2">
      <c r="A4351" s="1" t="s">
        <v>9</v>
      </c>
      <c r="B4351" s="1" t="s">
        <v>3441</v>
      </c>
      <c r="C4351" s="1"/>
      <c r="D4351" s="1"/>
      <c r="E4351" s="1"/>
      <c r="F4351" s="1"/>
      <c r="G4351" s="1"/>
      <c r="H4351" s="1" t="str">
        <f>"7809591402797"</f>
        <v>7809591402797</v>
      </c>
      <c r="I4351" s="3">
        <v>17</v>
      </c>
      <c r="J4351" s="3">
        <v>0</v>
      </c>
      <c r="K4351" s="3">
        <v>19000</v>
      </c>
    </row>
    <row r="4352" spans="1:11" x14ac:dyDescent="0.2">
      <c r="A4352" s="1" t="s">
        <v>9</v>
      </c>
      <c r="B4352" s="1" t="s">
        <v>3442</v>
      </c>
      <c r="C4352" s="1"/>
      <c r="D4352" s="1"/>
      <c r="E4352" s="1"/>
      <c r="F4352" s="1"/>
      <c r="G4352" s="1"/>
      <c r="H4352" s="1" t="str">
        <f>"7809591402902"</f>
        <v>7809591402902</v>
      </c>
      <c r="I4352" s="3">
        <v>2</v>
      </c>
      <c r="J4352" s="3">
        <v>0</v>
      </c>
      <c r="K4352" s="3">
        <v>16000</v>
      </c>
    </row>
    <row r="4353" spans="1:11" x14ac:dyDescent="0.2">
      <c r="A4353" s="1" t="s">
        <v>9</v>
      </c>
      <c r="B4353" s="1" t="s">
        <v>3455</v>
      </c>
      <c r="C4353" s="1"/>
      <c r="D4353" s="1"/>
      <c r="E4353" s="1"/>
      <c r="F4353" s="1"/>
      <c r="G4353" s="1"/>
      <c r="H4353" s="1" t="str">
        <f>"7804673040249"</f>
        <v>7804673040249</v>
      </c>
      <c r="I4353" s="3">
        <v>309</v>
      </c>
      <c r="J4353" s="3">
        <v>0</v>
      </c>
      <c r="K4353" s="3">
        <v>1500</v>
      </c>
    </row>
    <row r="4354" spans="1:11" x14ac:dyDescent="0.2">
      <c r="A4354" s="1" t="s">
        <v>9</v>
      </c>
      <c r="B4354" s="1" t="s">
        <v>3456</v>
      </c>
      <c r="C4354" s="1"/>
      <c r="D4354" s="1"/>
      <c r="E4354" s="1"/>
      <c r="F4354" s="1"/>
      <c r="G4354" s="1"/>
      <c r="H4354" s="1" t="str">
        <f>"7804673040232"</f>
        <v>7804673040232</v>
      </c>
      <c r="I4354" s="3">
        <v>134</v>
      </c>
      <c r="J4354" s="3">
        <v>0</v>
      </c>
      <c r="K4354" s="3">
        <v>1000</v>
      </c>
    </row>
    <row r="4355" spans="1:11" x14ac:dyDescent="0.2">
      <c r="A4355" s="1" t="s">
        <v>9</v>
      </c>
      <c r="B4355" s="1" t="s">
        <v>3457</v>
      </c>
      <c r="C4355" s="1"/>
      <c r="D4355" s="1"/>
      <c r="E4355" s="1"/>
      <c r="F4355" s="1"/>
      <c r="G4355" s="1"/>
      <c r="H4355" s="1" t="str">
        <f>"7800007802705"</f>
        <v>7800007802705</v>
      </c>
      <c r="I4355" s="3">
        <v>34</v>
      </c>
      <c r="J4355" s="3">
        <v>0</v>
      </c>
      <c r="K4355" s="3">
        <v>1500</v>
      </c>
    </row>
    <row r="4356" spans="1:11" x14ac:dyDescent="0.2">
      <c r="A4356" s="1" t="s">
        <v>9</v>
      </c>
      <c r="B4356" s="1" t="s">
        <v>3561</v>
      </c>
      <c r="C4356" s="1"/>
      <c r="D4356" s="1"/>
      <c r="E4356" s="1"/>
      <c r="F4356" s="1"/>
      <c r="G4356" s="1"/>
      <c r="H4356" s="1" t="str">
        <f>"7800004006410"</f>
        <v>7800004006410</v>
      </c>
      <c r="I4356" s="3">
        <v>0</v>
      </c>
      <c r="J4356" s="3">
        <v>0</v>
      </c>
      <c r="K4356" s="3">
        <v>1500</v>
      </c>
    </row>
    <row r="4357" spans="1:11" x14ac:dyDescent="0.2">
      <c r="A4357" s="1" t="s">
        <v>9</v>
      </c>
      <c r="B4357" s="1" t="s">
        <v>3564</v>
      </c>
      <c r="C4357" s="1"/>
      <c r="D4357" s="1"/>
      <c r="E4357" s="1"/>
      <c r="F4357" s="1"/>
      <c r="G4357" s="1"/>
      <c r="H4357" s="1" t="str">
        <f>"7804620835829"</f>
        <v>7804620835829</v>
      </c>
      <c r="I4357" s="3">
        <v>584</v>
      </c>
      <c r="J4357" s="3">
        <v>0</v>
      </c>
      <c r="K4357" s="3">
        <v>500</v>
      </c>
    </row>
    <row r="4358" spans="1:11" x14ac:dyDescent="0.2">
      <c r="A4358" s="1" t="s">
        <v>9</v>
      </c>
      <c r="B4358" s="1" t="s">
        <v>3565</v>
      </c>
      <c r="C4358" s="1"/>
      <c r="D4358" s="1"/>
      <c r="E4358" s="1"/>
      <c r="F4358" s="1"/>
      <c r="G4358" s="1"/>
      <c r="H4358" s="1" t="str">
        <f>"7800007803788"</f>
        <v>7800007803788</v>
      </c>
      <c r="I4358" s="3">
        <v>165</v>
      </c>
      <c r="J4358" s="3">
        <v>0</v>
      </c>
      <c r="K4358" s="3">
        <v>1000</v>
      </c>
    </row>
    <row r="4359" spans="1:11" x14ac:dyDescent="0.2">
      <c r="A4359" s="1" t="s">
        <v>9</v>
      </c>
      <c r="B4359" s="1" t="s">
        <v>3566</v>
      </c>
      <c r="C4359" s="1"/>
      <c r="D4359" s="1"/>
      <c r="E4359" s="1"/>
      <c r="F4359" s="1"/>
      <c r="G4359" s="1"/>
      <c r="H4359" s="1" t="str">
        <f>"7800007124326"</f>
        <v>7800007124326</v>
      </c>
      <c r="I4359" s="3">
        <v>29</v>
      </c>
      <c r="J4359" s="3">
        <v>0</v>
      </c>
      <c r="K4359" s="3">
        <v>500</v>
      </c>
    </row>
    <row r="4360" spans="1:11" x14ac:dyDescent="0.2">
      <c r="A4360" s="1" t="s">
        <v>9</v>
      </c>
      <c r="B4360" s="1" t="s">
        <v>3567</v>
      </c>
      <c r="C4360" s="1"/>
      <c r="D4360" s="1"/>
      <c r="E4360" s="1"/>
      <c r="F4360" s="1"/>
      <c r="G4360" s="1"/>
      <c r="H4360" s="1" t="str">
        <f>"7800063111001"</f>
        <v>7800063111001</v>
      </c>
      <c r="I4360" s="3">
        <v>179</v>
      </c>
      <c r="J4360" s="3">
        <v>0</v>
      </c>
      <c r="K4360" s="3">
        <v>1000</v>
      </c>
    </row>
    <row r="4361" spans="1:11" x14ac:dyDescent="0.2">
      <c r="A4361" s="1" t="s">
        <v>9</v>
      </c>
      <c r="B4361" s="1" t="s">
        <v>3618</v>
      </c>
      <c r="C4361" s="1"/>
      <c r="D4361" s="1"/>
      <c r="E4361" s="1"/>
      <c r="F4361" s="1"/>
      <c r="G4361" s="1"/>
      <c r="H4361" s="1" t="str">
        <f>"7804650881780"</f>
        <v>7804650881780</v>
      </c>
      <c r="I4361" s="3">
        <v>141</v>
      </c>
      <c r="J4361" s="3">
        <v>0</v>
      </c>
      <c r="K4361" s="3">
        <v>5000</v>
      </c>
    </row>
    <row r="4362" spans="1:11" x14ac:dyDescent="0.2">
      <c r="A4362" s="1" t="s">
        <v>9</v>
      </c>
      <c r="B4362" s="1" t="s">
        <v>3619</v>
      </c>
      <c r="C4362" s="1"/>
      <c r="D4362" s="1"/>
      <c r="E4362" s="1"/>
      <c r="F4362" s="1"/>
      <c r="G4362" s="1"/>
      <c r="H4362" s="1" t="str">
        <f>"7804650881773"</f>
        <v>7804650881773</v>
      </c>
      <c r="I4362" s="3">
        <v>0</v>
      </c>
      <c r="J4362" s="3">
        <v>0</v>
      </c>
      <c r="K4362" s="3">
        <v>3000</v>
      </c>
    </row>
    <row r="4363" spans="1:11" x14ac:dyDescent="0.2">
      <c r="A4363" s="1" t="s">
        <v>9</v>
      </c>
      <c r="B4363" s="1" t="s">
        <v>3633</v>
      </c>
      <c r="C4363" s="1"/>
      <c r="D4363" s="1"/>
      <c r="E4363" s="1"/>
      <c r="F4363" s="1"/>
      <c r="G4363" s="1"/>
      <c r="H4363" s="1" t="str">
        <f>"3583316669293"</f>
        <v>3583316669293</v>
      </c>
      <c r="I4363" s="3">
        <v>28</v>
      </c>
      <c r="J4363" s="3">
        <v>0</v>
      </c>
      <c r="K4363" s="3">
        <v>10000</v>
      </c>
    </row>
    <row r="4364" spans="1:11" x14ac:dyDescent="0.2">
      <c r="A4364" s="1" t="s">
        <v>9</v>
      </c>
      <c r="B4364" s="1" t="s">
        <v>3636</v>
      </c>
      <c r="C4364" s="1"/>
      <c r="D4364" s="1"/>
      <c r="E4364" s="1"/>
      <c r="F4364" s="1"/>
      <c r="G4364" s="1"/>
      <c r="H4364" s="1" t="str">
        <f>"7804651290130"</f>
        <v>7804651290130</v>
      </c>
      <c r="I4364" s="3">
        <v>1</v>
      </c>
      <c r="J4364" s="3">
        <v>0</v>
      </c>
      <c r="K4364" s="3">
        <v>10000</v>
      </c>
    </row>
    <row r="4365" spans="1:11" x14ac:dyDescent="0.2">
      <c r="A4365" s="1" t="s">
        <v>9</v>
      </c>
      <c r="B4365" s="1" t="s">
        <v>3681</v>
      </c>
      <c r="C4365" s="1"/>
      <c r="D4365" s="1"/>
      <c r="E4365" s="1"/>
      <c r="F4365" s="1"/>
      <c r="G4365" s="1"/>
      <c r="H4365" s="1" t="str">
        <f>"7800068014031"</f>
        <v>7800068014031</v>
      </c>
      <c r="I4365" s="3">
        <v>0</v>
      </c>
      <c r="J4365" s="3">
        <v>0</v>
      </c>
      <c r="K4365" s="3">
        <v>9500</v>
      </c>
    </row>
    <row r="4366" spans="1:11" x14ac:dyDescent="0.2">
      <c r="A4366" s="1" t="s">
        <v>9</v>
      </c>
      <c r="B4366" s="1" t="s">
        <v>3684</v>
      </c>
      <c r="C4366" s="1"/>
      <c r="D4366" s="1"/>
      <c r="E4366" s="1"/>
      <c r="F4366" s="1"/>
      <c r="G4366" s="1"/>
      <c r="H4366" s="1" t="str">
        <f>"7804667110323"</f>
        <v>7804667110323</v>
      </c>
      <c r="I4366" s="3">
        <v>0</v>
      </c>
      <c r="J4366" s="3">
        <v>0</v>
      </c>
      <c r="K4366" s="3">
        <v>4000</v>
      </c>
    </row>
    <row r="4367" spans="1:11" x14ac:dyDescent="0.2">
      <c r="A4367" s="1" t="s">
        <v>9</v>
      </c>
      <c r="B4367" s="1" t="s">
        <v>3714</v>
      </c>
      <c r="C4367" s="1"/>
      <c r="D4367" s="1"/>
      <c r="E4367" s="1"/>
      <c r="F4367" s="1"/>
      <c r="G4367" s="1"/>
      <c r="H4367" s="1" t="str">
        <f>"7800007124753"</f>
        <v>7800007124753</v>
      </c>
      <c r="I4367" s="3">
        <v>151</v>
      </c>
      <c r="J4367" s="3">
        <v>0</v>
      </c>
      <c r="K4367" s="3">
        <v>1000</v>
      </c>
    </row>
    <row r="4368" spans="1:11" x14ac:dyDescent="0.2">
      <c r="A4368" s="1" t="s">
        <v>9</v>
      </c>
      <c r="B4368" s="1" t="s">
        <v>3724</v>
      </c>
      <c r="C4368" s="1"/>
      <c r="D4368" s="1"/>
      <c r="E4368" s="1"/>
      <c r="F4368" s="1"/>
      <c r="G4368" s="1"/>
      <c r="H4368" s="1" t="str">
        <f>"7804650885917"</f>
        <v>7804650885917</v>
      </c>
      <c r="I4368" s="3">
        <v>0</v>
      </c>
      <c r="J4368" s="3">
        <v>0</v>
      </c>
      <c r="K4368" s="3">
        <v>11000</v>
      </c>
    </row>
    <row r="4369" spans="1:11" x14ac:dyDescent="0.2">
      <c r="A4369" s="1" t="s">
        <v>9</v>
      </c>
      <c r="B4369" s="1" t="s">
        <v>3739</v>
      </c>
      <c r="C4369" s="1"/>
      <c r="D4369" s="1"/>
      <c r="E4369" s="1"/>
      <c r="F4369" s="1"/>
      <c r="G4369" s="1"/>
      <c r="H4369" s="1" t="str">
        <f>"4048846004321"</f>
        <v>4048846004321</v>
      </c>
      <c r="I4369" s="3">
        <v>0</v>
      </c>
      <c r="J4369" s="3">
        <v>0</v>
      </c>
      <c r="K4369" s="3">
        <v>63000</v>
      </c>
    </row>
    <row r="4370" spans="1:11" x14ac:dyDescent="0.2">
      <c r="A4370" s="1" t="s">
        <v>9</v>
      </c>
      <c r="B4370" s="1" t="s">
        <v>3746</v>
      </c>
      <c r="C4370" s="1"/>
      <c r="D4370" s="1"/>
      <c r="E4370" s="1"/>
      <c r="F4370" s="1"/>
      <c r="G4370" s="1"/>
      <c r="H4370" s="1" t="str">
        <f>"7800007803801"</f>
        <v>7800007803801</v>
      </c>
      <c r="I4370" s="3">
        <v>438</v>
      </c>
      <c r="J4370" s="3">
        <v>0</v>
      </c>
      <c r="K4370" s="3">
        <v>2000</v>
      </c>
    </row>
    <row r="4371" spans="1:11" x14ac:dyDescent="0.2">
      <c r="A4371" s="1" t="s">
        <v>9</v>
      </c>
      <c r="B4371" s="1" t="s">
        <v>3749</v>
      </c>
      <c r="C4371" s="1"/>
      <c r="D4371" s="1"/>
      <c r="E4371" s="1"/>
      <c r="F4371" s="1"/>
      <c r="G4371" s="1"/>
      <c r="H4371" s="1" t="str">
        <f>"7800063110752"</f>
        <v>7800063110752</v>
      </c>
      <c r="I4371" s="3">
        <v>266</v>
      </c>
      <c r="J4371" s="3">
        <v>0</v>
      </c>
      <c r="K4371" s="3">
        <v>500</v>
      </c>
    </row>
    <row r="4372" spans="1:11" x14ac:dyDescent="0.2">
      <c r="A4372" s="1" t="s">
        <v>9</v>
      </c>
      <c r="B4372" s="1" t="s">
        <v>3773</v>
      </c>
      <c r="C4372" s="1"/>
      <c r="D4372" s="1"/>
      <c r="E4372" s="1"/>
      <c r="F4372" s="1"/>
      <c r="G4372" s="1"/>
      <c r="H4372" s="1" t="str">
        <f>"7804650881223"</f>
        <v>7804650881223</v>
      </c>
      <c r="I4372" s="3">
        <v>0</v>
      </c>
      <c r="J4372" s="3">
        <v>0</v>
      </c>
      <c r="K4372" s="3">
        <v>7500</v>
      </c>
    </row>
    <row r="4373" spans="1:11" x14ac:dyDescent="0.2">
      <c r="A4373" s="1" t="s">
        <v>9</v>
      </c>
      <c r="B4373" s="1" t="s">
        <v>3775</v>
      </c>
      <c r="C4373" s="1"/>
      <c r="D4373" s="1"/>
      <c r="E4373" s="1"/>
      <c r="F4373" s="1"/>
      <c r="G4373" s="1"/>
      <c r="H4373" s="1" t="str">
        <f>"7804673040423"</f>
        <v>7804673040423</v>
      </c>
      <c r="I4373" s="3">
        <v>131</v>
      </c>
      <c r="J4373" s="3">
        <v>0</v>
      </c>
      <c r="K4373" s="3">
        <v>2500</v>
      </c>
    </row>
    <row r="4374" spans="1:11" x14ac:dyDescent="0.2">
      <c r="A4374" s="1" t="s">
        <v>9</v>
      </c>
      <c r="B4374" s="1" t="s">
        <v>3776</v>
      </c>
      <c r="C4374" s="1"/>
      <c r="D4374" s="1"/>
      <c r="E4374" s="1"/>
      <c r="F4374" s="1"/>
      <c r="G4374" s="1"/>
      <c r="H4374" s="1" t="str">
        <f>"8903726304419"</f>
        <v>8903726304419</v>
      </c>
      <c r="I4374" s="3">
        <v>182</v>
      </c>
      <c r="J4374" s="3">
        <v>0</v>
      </c>
      <c r="K4374" s="3">
        <v>5500</v>
      </c>
    </row>
    <row r="4375" spans="1:11" x14ac:dyDescent="0.2">
      <c r="A4375" s="1" t="s">
        <v>9</v>
      </c>
      <c r="B4375" s="1" t="s">
        <v>3777</v>
      </c>
      <c r="C4375" s="1"/>
      <c r="D4375" s="1"/>
      <c r="E4375" s="1"/>
      <c r="F4375" s="1"/>
      <c r="G4375" s="1"/>
      <c r="H4375" s="1" t="str">
        <f>"8903726304402"</f>
        <v>8903726304402</v>
      </c>
      <c r="I4375" s="3">
        <v>254</v>
      </c>
      <c r="J4375" s="3">
        <v>0</v>
      </c>
      <c r="K4375" s="3">
        <v>3000</v>
      </c>
    </row>
    <row r="4376" spans="1:11" x14ac:dyDescent="0.2">
      <c r="A4376" s="1" t="s">
        <v>9</v>
      </c>
      <c r="B4376" s="1" t="s">
        <v>3805</v>
      </c>
      <c r="C4376" s="1"/>
      <c r="D4376" s="1"/>
      <c r="E4376" s="1"/>
      <c r="F4376" s="1"/>
      <c r="G4376" s="1"/>
      <c r="H4376" s="1" t="str">
        <f>"7800026017319"</f>
        <v>7800026017319</v>
      </c>
      <c r="I4376" s="3">
        <v>3</v>
      </c>
      <c r="J4376" s="3">
        <v>0</v>
      </c>
      <c r="K4376" s="3">
        <v>17000</v>
      </c>
    </row>
    <row r="4377" spans="1:11" x14ac:dyDescent="0.2">
      <c r="A4377" s="1" t="s">
        <v>9</v>
      </c>
      <c r="B4377" s="1" t="s">
        <v>3806</v>
      </c>
      <c r="C4377" s="1"/>
      <c r="D4377" s="1"/>
      <c r="E4377" s="1"/>
      <c r="F4377" s="1"/>
      <c r="G4377" s="1"/>
      <c r="H4377" s="1" t="str">
        <f>"7800026017388"</f>
        <v>7800026017388</v>
      </c>
      <c r="I4377" s="3">
        <v>2</v>
      </c>
      <c r="J4377" s="3">
        <v>0</v>
      </c>
      <c r="K4377" s="3">
        <v>16000</v>
      </c>
    </row>
    <row r="4378" spans="1:11" x14ac:dyDescent="0.2">
      <c r="A4378" s="1" t="s">
        <v>9</v>
      </c>
      <c r="B4378" s="1" t="s">
        <v>3829</v>
      </c>
      <c r="C4378" s="1"/>
      <c r="D4378" s="1"/>
      <c r="E4378" s="1"/>
      <c r="F4378" s="1"/>
      <c r="G4378" s="1"/>
      <c r="H4378" s="1" t="str">
        <f>"7804918500569"</f>
        <v>7804918500569</v>
      </c>
      <c r="I4378" s="3">
        <v>297</v>
      </c>
      <c r="J4378" s="3">
        <v>0</v>
      </c>
      <c r="K4378" s="3">
        <v>3500</v>
      </c>
    </row>
    <row r="4379" spans="1:11" x14ac:dyDescent="0.2">
      <c r="A4379" s="1" t="s">
        <v>9</v>
      </c>
      <c r="B4379" s="1" t="s">
        <v>3851</v>
      </c>
      <c r="C4379" s="1"/>
      <c r="D4379" s="1"/>
      <c r="E4379" s="1"/>
      <c r="F4379" s="1"/>
      <c r="G4379" s="1"/>
      <c r="H4379" s="1" t="str">
        <f>"7800063001494"</f>
        <v>7800063001494</v>
      </c>
      <c r="I4379" s="3">
        <v>190</v>
      </c>
      <c r="J4379" s="3">
        <v>0</v>
      </c>
      <c r="K4379" s="3">
        <v>500</v>
      </c>
    </row>
    <row r="4380" spans="1:11" x14ac:dyDescent="0.2">
      <c r="A4380" s="1" t="s">
        <v>9</v>
      </c>
      <c r="B4380" s="1" t="s">
        <v>3852</v>
      </c>
      <c r="C4380" s="1"/>
      <c r="D4380" s="1"/>
      <c r="E4380" s="1"/>
      <c r="F4380" s="1"/>
      <c r="G4380" s="1"/>
      <c r="H4380" s="1" t="str">
        <f>"7800007125644"</f>
        <v>7800007125644</v>
      </c>
      <c r="I4380" s="3">
        <v>3</v>
      </c>
      <c r="J4380" s="3">
        <v>0</v>
      </c>
      <c r="K4380" s="3">
        <v>500</v>
      </c>
    </row>
    <row r="4381" spans="1:11" x14ac:dyDescent="0.2">
      <c r="A4381" s="1" t="s">
        <v>9</v>
      </c>
      <c r="B4381" s="1" t="s">
        <v>3853</v>
      </c>
      <c r="C4381" s="1"/>
      <c r="D4381" s="1"/>
      <c r="E4381" s="1"/>
      <c r="F4381" s="1"/>
      <c r="G4381" s="1"/>
      <c r="H4381" s="1" t="str">
        <f>"7800063001487"</f>
        <v>7800063001487</v>
      </c>
      <c r="I4381" s="3">
        <v>88</v>
      </c>
      <c r="J4381" s="3">
        <v>0</v>
      </c>
      <c r="K4381" s="3">
        <v>500</v>
      </c>
    </row>
    <row r="4382" spans="1:11" x14ac:dyDescent="0.2">
      <c r="A4382" s="1" t="s">
        <v>9</v>
      </c>
      <c r="B4382" s="1" t="s">
        <v>3928</v>
      </c>
      <c r="C4382" s="1"/>
      <c r="D4382" s="1"/>
      <c r="E4382" s="1"/>
      <c r="F4382" s="1"/>
      <c r="G4382" s="1"/>
      <c r="H4382" s="1" t="str">
        <f>"8903726308837"</f>
        <v>8903726308837</v>
      </c>
      <c r="I4382" s="3">
        <v>101</v>
      </c>
      <c r="J4382" s="3">
        <v>0</v>
      </c>
      <c r="K4382" s="3">
        <v>3000</v>
      </c>
    </row>
    <row r="4383" spans="1:11" x14ac:dyDescent="0.2">
      <c r="A4383" s="1" t="s">
        <v>9</v>
      </c>
      <c r="B4383" s="1" t="s">
        <v>3932</v>
      </c>
      <c r="C4383" s="1"/>
      <c r="D4383" s="1"/>
      <c r="E4383" s="1"/>
      <c r="F4383" s="1"/>
      <c r="G4383" s="1"/>
      <c r="H4383" s="1" t="str">
        <f>"8903726193358"</f>
        <v>8903726193358</v>
      </c>
      <c r="I4383" s="3">
        <v>193</v>
      </c>
      <c r="J4383" s="3">
        <v>0</v>
      </c>
      <c r="K4383" s="3">
        <v>3000</v>
      </c>
    </row>
    <row r="4384" spans="1:11" x14ac:dyDescent="0.2">
      <c r="A4384" s="1" t="s">
        <v>9</v>
      </c>
      <c r="B4384" s="1" t="s">
        <v>3933</v>
      </c>
      <c r="C4384" s="1"/>
      <c r="D4384" s="1"/>
      <c r="E4384" s="1"/>
      <c r="F4384" s="1"/>
      <c r="G4384" s="1"/>
      <c r="H4384" s="1" t="str">
        <f>"8903726347157"</f>
        <v>8903726347157</v>
      </c>
      <c r="I4384" s="3">
        <v>0</v>
      </c>
      <c r="J4384" s="3">
        <v>0</v>
      </c>
      <c r="K4384" s="3">
        <v>2000</v>
      </c>
    </row>
    <row r="4385" spans="1:11" x14ac:dyDescent="0.2">
      <c r="A4385" s="1" t="s">
        <v>9</v>
      </c>
      <c r="B4385" s="1" t="s">
        <v>3979</v>
      </c>
      <c r="C4385" s="1"/>
      <c r="D4385" s="1"/>
      <c r="E4385" s="1"/>
      <c r="F4385" s="1"/>
      <c r="G4385" s="1"/>
      <c r="H4385" s="1" t="str">
        <f>"7800063310947"</f>
        <v>7800063310947</v>
      </c>
      <c r="I4385" s="3">
        <v>258</v>
      </c>
      <c r="J4385" s="3">
        <v>0</v>
      </c>
      <c r="K4385" s="3">
        <v>2500</v>
      </c>
    </row>
    <row r="4386" spans="1:11" x14ac:dyDescent="0.2">
      <c r="A4386" s="1" t="s">
        <v>9</v>
      </c>
      <c r="B4386" s="1" t="s">
        <v>4055</v>
      </c>
      <c r="C4386" s="1"/>
      <c r="D4386" s="1"/>
      <c r="E4386" s="1"/>
      <c r="F4386" s="1"/>
      <c r="G4386" s="1"/>
      <c r="H4386" s="1" t="str">
        <f>"7804651290246"</f>
        <v>7804651290246</v>
      </c>
      <c r="I4386" s="3">
        <v>7</v>
      </c>
      <c r="J4386" s="3">
        <v>0</v>
      </c>
      <c r="K4386" s="3">
        <v>7000</v>
      </c>
    </row>
    <row r="4387" spans="1:11" x14ac:dyDescent="0.2">
      <c r="A4387" s="1" t="s">
        <v>9</v>
      </c>
      <c r="B4387" s="1" t="s">
        <v>4073</v>
      </c>
      <c r="C4387" s="1"/>
      <c r="D4387" s="1"/>
      <c r="E4387" s="1"/>
      <c r="F4387" s="1"/>
      <c r="G4387" s="1"/>
      <c r="H4387" s="1" t="str">
        <f>"7800068014444"</f>
        <v>7800068014444</v>
      </c>
      <c r="I4387" s="3">
        <v>0</v>
      </c>
      <c r="J4387" s="3">
        <v>0</v>
      </c>
      <c r="K4387" s="3">
        <v>6500</v>
      </c>
    </row>
    <row r="4388" spans="1:11" x14ac:dyDescent="0.2">
      <c r="A4388" s="1" t="s">
        <v>9</v>
      </c>
      <c r="B4388" s="1" t="s">
        <v>4079</v>
      </c>
      <c r="C4388" s="1"/>
      <c r="D4388" s="1"/>
      <c r="E4388" s="1"/>
      <c r="F4388" s="1"/>
      <c r="G4388" s="1"/>
      <c r="H4388" s="1" t="str">
        <f>"7800007808431"</f>
        <v>7800007808431</v>
      </c>
      <c r="I4388" s="3">
        <v>25</v>
      </c>
      <c r="J4388" s="3">
        <v>0</v>
      </c>
      <c r="K4388" s="3">
        <v>2500</v>
      </c>
    </row>
    <row r="4389" spans="1:11" x14ac:dyDescent="0.2">
      <c r="A4389" s="1" t="s">
        <v>9</v>
      </c>
      <c r="B4389" s="1" t="s">
        <v>4080</v>
      </c>
      <c r="C4389" s="1"/>
      <c r="D4389" s="1"/>
      <c r="E4389" s="1"/>
      <c r="F4389" s="1"/>
      <c r="G4389" s="1"/>
      <c r="H4389" s="1" t="str">
        <f>"7800007808424"</f>
        <v>7800007808424</v>
      </c>
      <c r="I4389" s="3">
        <v>143</v>
      </c>
      <c r="J4389" s="3">
        <v>0</v>
      </c>
      <c r="K4389" s="3">
        <v>4500</v>
      </c>
    </row>
    <row r="4390" spans="1:11" x14ac:dyDescent="0.2">
      <c r="A4390" s="1" t="s">
        <v>9</v>
      </c>
      <c r="B4390" s="1" t="s">
        <v>4098</v>
      </c>
      <c r="C4390" s="1"/>
      <c r="D4390" s="1"/>
      <c r="E4390" s="1"/>
      <c r="F4390" s="1"/>
      <c r="G4390" s="1"/>
      <c r="H4390" s="1" t="str">
        <f>"7800063000121"</f>
        <v>7800063000121</v>
      </c>
      <c r="I4390" s="3">
        <v>7</v>
      </c>
      <c r="J4390" s="3">
        <v>0</v>
      </c>
      <c r="K4390" s="3">
        <v>30000</v>
      </c>
    </row>
    <row r="4391" spans="1:11" x14ac:dyDescent="0.2">
      <c r="A4391" s="1" t="s">
        <v>9</v>
      </c>
      <c r="B4391" s="1" t="s">
        <v>4099</v>
      </c>
      <c r="C4391" s="1"/>
      <c r="D4391" s="1"/>
      <c r="E4391" s="1"/>
      <c r="F4391" s="1"/>
      <c r="G4391" s="1"/>
      <c r="H4391" s="1" t="str">
        <f>"76054541414617"</f>
        <v>76054541414617</v>
      </c>
      <c r="I4391" s="3">
        <v>0</v>
      </c>
      <c r="J4391" s="3">
        <v>0</v>
      </c>
      <c r="K4391" s="3">
        <v>8000</v>
      </c>
    </row>
    <row r="4392" spans="1:11" x14ac:dyDescent="0.2">
      <c r="A4392" s="1" t="s">
        <v>9</v>
      </c>
      <c r="B4392" s="1" t="s">
        <v>4105</v>
      </c>
      <c r="C4392" s="1"/>
      <c r="D4392" s="1"/>
      <c r="E4392" s="1"/>
      <c r="F4392" s="1"/>
      <c r="G4392" s="1"/>
      <c r="H4392" s="1" t="str">
        <f>"7804629440529"</f>
        <v>7804629440529</v>
      </c>
      <c r="I4392" s="3">
        <v>144</v>
      </c>
      <c r="J4392" s="3">
        <v>0</v>
      </c>
      <c r="K4392" s="3">
        <v>2500</v>
      </c>
    </row>
    <row r="4393" spans="1:11" x14ac:dyDescent="0.2">
      <c r="A4393" s="1" t="s">
        <v>9</v>
      </c>
      <c r="B4393" s="1" t="s">
        <v>4184</v>
      </c>
      <c r="C4393" s="1"/>
      <c r="D4393" s="1"/>
      <c r="E4393" s="1"/>
      <c r="F4393" s="1"/>
      <c r="G4393" s="1"/>
      <c r="H4393" s="1" t="str">
        <f>"7800063116419"</f>
        <v>7800063116419</v>
      </c>
      <c r="I4393" s="3">
        <v>11</v>
      </c>
      <c r="J4393" s="3">
        <v>0</v>
      </c>
      <c r="K4393" s="3">
        <v>2000</v>
      </c>
    </row>
    <row r="4394" spans="1:11" x14ac:dyDescent="0.2">
      <c r="A4394" s="1" t="s">
        <v>9</v>
      </c>
      <c r="B4394" s="1" t="s">
        <v>4188</v>
      </c>
      <c r="C4394" s="1"/>
      <c r="D4394" s="1"/>
      <c r="E4394" s="1"/>
      <c r="F4394" s="1"/>
      <c r="G4394" s="1"/>
      <c r="H4394" s="1" t="str">
        <f>"8903726311547"</f>
        <v>8903726311547</v>
      </c>
      <c r="I4394" s="3">
        <v>28</v>
      </c>
      <c r="J4394" s="3">
        <v>0</v>
      </c>
      <c r="K4394" s="3">
        <v>2000</v>
      </c>
    </row>
    <row r="4395" spans="1:11" x14ac:dyDescent="0.2">
      <c r="A4395" s="1" t="s">
        <v>9</v>
      </c>
      <c r="B4395" s="1" t="s">
        <v>4364</v>
      </c>
      <c r="C4395" s="1"/>
      <c r="D4395" s="1"/>
      <c r="E4395" s="1"/>
      <c r="F4395" s="1"/>
      <c r="G4395" s="1"/>
      <c r="H4395" s="1" t="str">
        <f>"5000158103689"</f>
        <v>5000158103689</v>
      </c>
      <c r="I4395" s="3">
        <v>272</v>
      </c>
      <c r="J4395" s="3">
        <v>0</v>
      </c>
      <c r="K4395" s="3">
        <v>3000</v>
      </c>
    </row>
    <row r="4396" spans="1:11" x14ac:dyDescent="0.2">
      <c r="A4396" s="1" t="s">
        <v>9</v>
      </c>
      <c r="B4396" s="1" t="s">
        <v>4385</v>
      </c>
      <c r="C4396" s="1"/>
      <c r="D4396" s="1"/>
      <c r="E4396" s="1"/>
      <c r="F4396" s="1"/>
      <c r="G4396" s="1"/>
      <c r="H4396" s="1" t="str">
        <f>"7800008011588"</f>
        <v>7800008011588</v>
      </c>
      <c r="I4396" s="3">
        <v>35</v>
      </c>
      <c r="J4396" s="3">
        <v>0</v>
      </c>
      <c r="K4396" s="3">
        <v>4500</v>
      </c>
    </row>
    <row r="4397" spans="1:11" x14ac:dyDescent="0.2">
      <c r="A4397" s="1" t="s">
        <v>9</v>
      </c>
      <c r="B4397" s="1" t="s">
        <v>4386</v>
      </c>
      <c r="C4397" s="1"/>
      <c r="D4397" s="1"/>
      <c r="E4397" s="1"/>
      <c r="F4397" s="1"/>
      <c r="G4397" s="1"/>
      <c r="H4397" s="1" t="str">
        <f>"7800008011625"</f>
        <v>7800008011625</v>
      </c>
      <c r="I4397" s="3">
        <v>26</v>
      </c>
      <c r="J4397" s="3">
        <v>0</v>
      </c>
      <c r="K4397" s="3">
        <v>6000</v>
      </c>
    </row>
    <row r="4398" spans="1:11" x14ac:dyDescent="0.2">
      <c r="A4398" s="1" t="s">
        <v>9</v>
      </c>
      <c r="B4398" s="1" t="s">
        <v>4407</v>
      </c>
      <c r="C4398" s="1"/>
      <c r="D4398" s="1"/>
      <c r="E4398" s="1"/>
      <c r="F4398" s="1"/>
      <c r="G4398" s="1"/>
      <c r="H4398" s="1" t="str">
        <f>"7800028001194"</f>
        <v>7800028001194</v>
      </c>
      <c r="I4398" s="3">
        <v>0</v>
      </c>
      <c r="J4398" s="3">
        <v>0</v>
      </c>
      <c r="K4398" s="3">
        <v>8000</v>
      </c>
    </row>
    <row r="4399" spans="1:11" x14ac:dyDescent="0.2">
      <c r="A4399" s="1" t="s">
        <v>9</v>
      </c>
      <c r="B4399" s="1" t="s">
        <v>4409</v>
      </c>
      <c r="C4399" s="1"/>
      <c r="D4399" s="1"/>
      <c r="E4399" s="1"/>
      <c r="F4399" s="1"/>
      <c r="G4399" s="1"/>
      <c r="H4399" s="1" t="str">
        <f>"7800028001859"</f>
        <v>7800028001859</v>
      </c>
      <c r="I4399" s="3">
        <v>0</v>
      </c>
      <c r="J4399" s="3">
        <v>0</v>
      </c>
      <c r="K4399" s="3">
        <v>9000</v>
      </c>
    </row>
    <row r="4400" spans="1:11" x14ac:dyDescent="0.2">
      <c r="A4400" s="1" t="s">
        <v>9</v>
      </c>
      <c r="B4400" s="1" t="s">
        <v>4410</v>
      </c>
      <c r="C4400" s="1"/>
      <c r="D4400" s="1"/>
      <c r="E4400" s="1"/>
      <c r="F4400" s="1"/>
      <c r="G4400" s="1"/>
      <c r="H4400" s="1" t="str">
        <f>"7502253072566"</f>
        <v>7502253072566</v>
      </c>
      <c r="I4400" s="3">
        <v>49</v>
      </c>
      <c r="J4400" s="3">
        <v>0</v>
      </c>
      <c r="K4400" s="3">
        <v>1500</v>
      </c>
    </row>
    <row r="4401" spans="1:11" x14ac:dyDescent="0.2">
      <c r="A4401" s="1" t="s">
        <v>9</v>
      </c>
      <c r="B4401" s="1" t="s">
        <v>4430</v>
      </c>
      <c r="C4401" s="1"/>
      <c r="D4401" s="1"/>
      <c r="E4401" s="1"/>
      <c r="F4401" s="1"/>
      <c r="G4401" s="1"/>
      <c r="H4401" s="1" t="str">
        <f>"5997001370612"</f>
        <v>5997001370612</v>
      </c>
      <c r="I4401" s="3">
        <v>10</v>
      </c>
      <c r="J4401" s="3">
        <v>0</v>
      </c>
      <c r="K4401" s="3">
        <v>4500</v>
      </c>
    </row>
    <row r="4402" spans="1:11" x14ac:dyDescent="0.2">
      <c r="A4402" s="1" t="s">
        <v>9</v>
      </c>
      <c r="B4402" s="1" t="s">
        <v>4432</v>
      </c>
      <c r="C4402" s="1"/>
      <c r="D4402" s="1"/>
      <c r="E4402" s="1"/>
      <c r="F4402" s="1"/>
      <c r="G4402" s="1"/>
      <c r="H4402" s="1" t="str">
        <f>"7800007808325"</f>
        <v>7800007808325</v>
      </c>
      <c r="I4402" s="3">
        <v>114</v>
      </c>
      <c r="J4402" s="3">
        <v>0</v>
      </c>
      <c r="K4402" s="3">
        <v>3500</v>
      </c>
    </row>
    <row r="4403" spans="1:11" x14ac:dyDescent="0.2">
      <c r="A4403" s="1" t="s">
        <v>9</v>
      </c>
      <c r="B4403" s="1" t="s">
        <v>4450</v>
      </c>
      <c r="C4403" s="1"/>
      <c r="D4403" s="1"/>
      <c r="E4403" s="1"/>
      <c r="F4403" s="1"/>
      <c r="G4403" s="1"/>
      <c r="H4403" s="1" t="str">
        <f>"7800004001637"</f>
        <v>7800004001637</v>
      </c>
      <c r="I4403" s="3">
        <v>95</v>
      </c>
      <c r="J4403" s="3">
        <v>0</v>
      </c>
      <c r="K4403" s="3">
        <v>1500</v>
      </c>
    </row>
    <row r="4404" spans="1:11" x14ac:dyDescent="0.2">
      <c r="A4404" s="1" t="s">
        <v>9</v>
      </c>
      <c r="B4404" s="1" t="s">
        <v>4454</v>
      </c>
      <c r="C4404" s="1"/>
      <c r="D4404" s="1"/>
      <c r="E4404" s="1"/>
      <c r="F4404" s="1"/>
      <c r="G4404" s="1"/>
      <c r="H4404" s="1" t="str">
        <f>"7800004507825"</f>
        <v>7800004507825</v>
      </c>
      <c r="I4404" s="3">
        <v>174</v>
      </c>
      <c r="J4404" s="3">
        <v>0</v>
      </c>
      <c r="K4404" s="3">
        <v>1500</v>
      </c>
    </row>
    <row r="4405" spans="1:11" x14ac:dyDescent="0.2">
      <c r="A4405" s="1" t="s">
        <v>9</v>
      </c>
      <c r="B4405" s="1" t="s">
        <v>4479</v>
      </c>
      <c r="C4405" s="1"/>
      <c r="D4405" s="1"/>
      <c r="E4405" s="1"/>
      <c r="F4405" s="1"/>
      <c r="G4405" s="1"/>
      <c r="H4405" s="1" t="str">
        <f>"8903726249109"</f>
        <v>8903726249109</v>
      </c>
      <c r="I4405" s="3">
        <v>11</v>
      </c>
      <c r="J4405" s="3">
        <v>0</v>
      </c>
      <c r="K4405" s="3">
        <v>11000</v>
      </c>
    </row>
    <row r="4406" spans="1:11" x14ac:dyDescent="0.2">
      <c r="A4406" s="1" t="s">
        <v>9</v>
      </c>
      <c r="B4406" s="1" t="s">
        <v>4480</v>
      </c>
      <c r="C4406" s="1"/>
      <c r="D4406" s="1"/>
      <c r="E4406" s="1"/>
      <c r="F4406" s="1"/>
      <c r="G4406" s="1"/>
      <c r="H4406" s="1" t="str">
        <f>"7800060145320"</f>
        <v>7800060145320</v>
      </c>
      <c r="I4406" s="3">
        <v>1</v>
      </c>
      <c r="J4406" s="3">
        <v>0</v>
      </c>
      <c r="K4406" s="3">
        <v>20000</v>
      </c>
    </row>
    <row r="4407" spans="1:11" x14ac:dyDescent="0.2">
      <c r="A4407" s="1" t="s">
        <v>9</v>
      </c>
      <c r="B4407" s="1" t="s">
        <v>4482</v>
      </c>
      <c r="C4407" s="1"/>
      <c r="D4407" s="1"/>
      <c r="E4407" s="1"/>
      <c r="F4407" s="1"/>
      <c r="G4407" s="1"/>
      <c r="H4407" s="1" t="str">
        <f>"7800060173293"</f>
        <v>7800060173293</v>
      </c>
      <c r="I4407" s="3">
        <v>1</v>
      </c>
      <c r="J4407" s="3">
        <v>0</v>
      </c>
      <c r="K4407" s="3">
        <v>30000</v>
      </c>
    </row>
    <row r="4408" spans="1:11" x14ac:dyDescent="0.2">
      <c r="A4408" s="1" t="s">
        <v>9</v>
      </c>
      <c r="B4408" s="1" t="s">
        <v>4483</v>
      </c>
      <c r="C4408" s="1"/>
      <c r="D4408" s="1"/>
      <c r="E4408" s="1"/>
      <c r="F4408" s="1"/>
      <c r="G4408" s="1"/>
      <c r="H4408" s="1" t="str">
        <f>"7800060145597"</f>
        <v>7800060145597</v>
      </c>
      <c r="I4408" s="3">
        <v>0</v>
      </c>
      <c r="J4408" s="3">
        <v>0</v>
      </c>
      <c r="K4408" s="3">
        <v>21000</v>
      </c>
    </row>
    <row r="4409" spans="1:11" x14ac:dyDescent="0.2">
      <c r="A4409" s="1" t="s">
        <v>9</v>
      </c>
      <c r="B4409" s="1" t="s">
        <v>4484</v>
      </c>
      <c r="C4409" s="1"/>
      <c r="D4409" s="1"/>
      <c r="E4409" s="1"/>
      <c r="F4409" s="1"/>
      <c r="G4409" s="1"/>
      <c r="H4409" s="1" t="str">
        <f>"7800060145245"</f>
        <v>7800060145245</v>
      </c>
      <c r="I4409" s="3">
        <v>0</v>
      </c>
      <c r="J4409" s="3">
        <v>0</v>
      </c>
      <c r="K4409" s="3">
        <v>23000</v>
      </c>
    </row>
    <row r="4410" spans="1:11" x14ac:dyDescent="0.2">
      <c r="A4410" s="1" t="s">
        <v>9</v>
      </c>
      <c r="B4410" s="1" t="s">
        <v>4492</v>
      </c>
      <c r="C4410" s="1"/>
      <c r="D4410" s="1"/>
      <c r="E4410" s="1"/>
      <c r="F4410" s="1"/>
      <c r="G4410" s="1"/>
      <c r="H4410" s="1" t="str">
        <f>"7800007809285"</f>
        <v>7800007809285</v>
      </c>
      <c r="I4410" s="3">
        <v>0</v>
      </c>
      <c r="J4410" s="3">
        <v>0</v>
      </c>
      <c r="K4410" s="3">
        <v>26000</v>
      </c>
    </row>
    <row r="4411" spans="1:11" x14ac:dyDescent="0.2">
      <c r="A4411" s="1" t="s">
        <v>9</v>
      </c>
      <c r="B4411" s="1" t="s">
        <v>4493</v>
      </c>
      <c r="C4411" s="1"/>
      <c r="D4411" s="1"/>
      <c r="E4411" s="1"/>
      <c r="F4411" s="1"/>
      <c r="G4411" s="1"/>
      <c r="H4411" s="1" t="str">
        <f>"7800007809278"</f>
        <v>7800007809278</v>
      </c>
      <c r="I4411" s="3">
        <v>0</v>
      </c>
      <c r="J4411" s="3">
        <v>0</v>
      </c>
      <c r="K4411" s="3">
        <v>26000</v>
      </c>
    </row>
    <row r="4412" spans="1:11" x14ac:dyDescent="0.2">
      <c r="A4412" s="1" t="s">
        <v>9</v>
      </c>
      <c r="B4412" s="1" t="s">
        <v>4494</v>
      </c>
      <c r="C4412" s="1"/>
      <c r="D4412" s="1"/>
      <c r="E4412" s="1"/>
      <c r="F4412" s="1"/>
      <c r="G4412" s="1"/>
      <c r="H4412" s="1" t="str">
        <f>"7800007805713"</f>
        <v>7800007805713</v>
      </c>
      <c r="I4412" s="3">
        <v>0</v>
      </c>
      <c r="J4412" s="3">
        <v>0</v>
      </c>
      <c r="K4412" s="3">
        <v>22000</v>
      </c>
    </row>
    <row r="4413" spans="1:11" x14ac:dyDescent="0.2">
      <c r="A4413" s="1" t="s">
        <v>9</v>
      </c>
      <c r="B4413" s="1" t="s">
        <v>4495</v>
      </c>
      <c r="C4413" s="1"/>
      <c r="D4413" s="1"/>
      <c r="E4413" s="1"/>
      <c r="F4413" s="1"/>
      <c r="G4413" s="1"/>
      <c r="H4413" s="1" t="str">
        <f>"7800007805720"</f>
        <v>7800007805720</v>
      </c>
      <c r="I4413" s="3">
        <v>9</v>
      </c>
      <c r="J4413" s="3">
        <v>0</v>
      </c>
      <c r="K4413" s="3">
        <v>22000</v>
      </c>
    </row>
    <row r="4414" spans="1:11" x14ac:dyDescent="0.2">
      <c r="A4414" s="1" t="s">
        <v>9</v>
      </c>
      <c r="B4414" s="1" t="s">
        <v>4496</v>
      </c>
      <c r="C4414" s="1"/>
      <c r="D4414" s="1"/>
      <c r="E4414" s="1"/>
      <c r="F4414" s="1"/>
      <c r="G4414" s="1"/>
      <c r="H4414" s="1" t="str">
        <f>"7800007805676"</f>
        <v>7800007805676</v>
      </c>
      <c r="I4414" s="3">
        <v>6</v>
      </c>
      <c r="J4414" s="3">
        <v>0</v>
      </c>
      <c r="K4414" s="3">
        <v>21000</v>
      </c>
    </row>
    <row r="4415" spans="1:11" x14ac:dyDescent="0.2">
      <c r="A4415" s="1" t="s">
        <v>9</v>
      </c>
      <c r="B4415" s="1" t="s">
        <v>4500</v>
      </c>
      <c r="C4415" s="1"/>
      <c r="D4415" s="1"/>
      <c r="E4415" s="1"/>
      <c r="F4415" s="1"/>
      <c r="G4415" s="1"/>
      <c r="H4415" s="1" t="str">
        <f>"7800007806796"</f>
        <v>7800007806796</v>
      </c>
      <c r="I4415" s="3">
        <v>78</v>
      </c>
      <c r="J4415" s="3">
        <v>0</v>
      </c>
      <c r="K4415" s="3">
        <v>3000</v>
      </c>
    </row>
    <row r="4416" spans="1:11" x14ac:dyDescent="0.2">
      <c r="A4416" s="1" t="s">
        <v>9</v>
      </c>
      <c r="B4416" s="1" t="s">
        <v>4523</v>
      </c>
      <c r="C4416" s="1"/>
      <c r="D4416" s="1"/>
      <c r="E4416" s="1"/>
      <c r="F4416" s="1"/>
      <c r="G4416" s="1"/>
      <c r="H4416" s="1" t="str">
        <f>"3499320003865"</f>
        <v>3499320003865</v>
      </c>
      <c r="I4416" s="3">
        <v>5</v>
      </c>
      <c r="J4416" s="3">
        <v>0</v>
      </c>
      <c r="K4416" s="3">
        <v>40000</v>
      </c>
    </row>
    <row r="4417" spans="1:11" x14ac:dyDescent="0.2">
      <c r="A4417" s="1" t="s">
        <v>9</v>
      </c>
      <c r="B4417" s="1" t="s">
        <v>4524</v>
      </c>
      <c r="C4417" s="1"/>
      <c r="D4417" s="1"/>
      <c r="E4417" s="1"/>
      <c r="F4417" s="1"/>
      <c r="G4417" s="1"/>
      <c r="H4417" s="1" t="str">
        <f>"7804650881933"</f>
        <v>7804650881933</v>
      </c>
      <c r="I4417" s="3">
        <v>6</v>
      </c>
      <c r="J4417" s="3">
        <v>0</v>
      </c>
      <c r="K4417" s="3">
        <v>11000</v>
      </c>
    </row>
    <row r="4418" spans="1:11" x14ac:dyDescent="0.2">
      <c r="A4418" s="1" t="s">
        <v>9</v>
      </c>
      <c r="B4418" s="1" t="s">
        <v>4525</v>
      </c>
      <c r="C4418" s="1"/>
      <c r="D4418" s="1"/>
      <c r="E4418" s="1"/>
      <c r="F4418" s="1"/>
      <c r="G4418" s="1"/>
      <c r="H4418" s="1" t="str">
        <f>"7804650882374"</f>
        <v>7804650882374</v>
      </c>
      <c r="I4418" s="3">
        <v>2</v>
      </c>
      <c r="J4418" s="3">
        <v>0</v>
      </c>
      <c r="K4418" s="3">
        <v>10000</v>
      </c>
    </row>
    <row r="4419" spans="1:11" x14ac:dyDescent="0.2">
      <c r="A4419" s="1" t="s">
        <v>9</v>
      </c>
      <c r="B4419" s="1" t="s">
        <v>4535</v>
      </c>
      <c r="C4419" s="1"/>
      <c r="D4419" s="1"/>
      <c r="E4419" s="1"/>
      <c r="F4419" s="1"/>
      <c r="G4419" s="1"/>
      <c r="H4419" s="1" t="str">
        <f>"7804633500653"</f>
        <v>7804633500653</v>
      </c>
      <c r="I4419" s="3">
        <v>8</v>
      </c>
      <c r="J4419" s="3">
        <v>0</v>
      </c>
      <c r="K4419" s="3">
        <v>3500</v>
      </c>
    </row>
    <row r="4420" spans="1:11" x14ac:dyDescent="0.2">
      <c r="A4420" s="1" t="s">
        <v>9</v>
      </c>
      <c r="B4420" s="1" t="s">
        <v>4536</v>
      </c>
      <c r="C4420" s="1"/>
      <c r="D4420" s="1"/>
      <c r="E4420" s="1"/>
      <c r="F4420" s="1"/>
      <c r="G4420" s="1"/>
      <c r="H4420" s="1" t="str">
        <f>"7804633500639"</f>
        <v>7804633500639</v>
      </c>
      <c r="I4420" s="3">
        <v>33</v>
      </c>
      <c r="J4420" s="3">
        <v>0</v>
      </c>
      <c r="K4420" s="3">
        <v>2500</v>
      </c>
    </row>
    <row r="4421" spans="1:11" x14ac:dyDescent="0.2">
      <c r="A4421" s="1" t="s">
        <v>9</v>
      </c>
      <c r="B4421" s="1" t="s">
        <v>4537</v>
      </c>
      <c r="C4421" s="1"/>
      <c r="D4421" s="1"/>
      <c r="E4421" s="1"/>
      <c r="F4421" s="1"/>
      <c r="G4421" s="1"/>
      <c r="H4421" s="1" t="str">
        <f>"7800017074437"</f>
        <v>7800017074437</v>
      </c>
      <c r="I4421" s="3">
        <v>8</v>
      </c>
      <c r="J4421" s="3">
        <v>0</v>
      </c>
      <c r="K4421" s="3">
        <v>29000</v>
      </c>
    </row>
    <row r="4422" spans="1:11" x14ac:dyDescent="0.2">
      <c r="A4422" s="1" t="s">
        <v>9</v>
      </c>
      <c r="B4422" s="1" t="s">
        <v>4546</v>
      </c>
      <c r="C4422" s="1"/>
      <c r="D4422" s="1"/>
      <c r="E4422" s="1"/>
      <c r="F4422" s="1"/>
      <c r="G4422" s="1"/>
      <c r="H4422" s="1" t="str">
        <f>"7800041040767"</f>
        <v>7800041040767</v>
      </c>
      <c r="I4422" s="3">
        <v>4</v>
      </c>
      <c r="J4422" s="3">
        <v>0</v>
      </c>
      <c r="K4422" s="3">
        <v>9500</v>
      </c>
    </row>
    <row r="4423" spans="1:11" x14ac:dyDescent="0.2">
      <c r="A4423" s="1" t="s">
        <v>9</v>
      </c>
      <c r="B4423" s="1" t="s">
        <v>4599</v>
      </c>
      <c r="C4423" s="1"/>
      <c r="D4423" s="1"/>
      <c r="E4423" s="1"/>
      <c r="F4423" s="1"/>
      <c r="G4423" s="1"/>
      <c r="H4423" s="1" t="str">
        <f>"7800060144941"</f>
        <v>7800060144941</v>
      </c>
      <c r="I4423" s="3">
        <v>0</v>
      </c>
      <c r="J4423" s="3">
        <v>0</v>
      </c>
      <c r="K4423" s="3">
        <v>6500</v>
      </c>
    </row>
    <row r="4424" spans="1:11" x14ac:dyDescent="0.2">
      <c r="A4424" s="1" t="s">
        <v>9</v>
      </c>
      <c r="B4424" s="1" t="s">
        <v>4629</v>
      </c>
      <c r="C4424" s="1"/>
      <c r="D4424" s="1"/>
      <c r="E4424" s="1"/>
      <c r="F4424" s="1"/>
      <c r="G4424" s="1"/>
      <c r="H4424" s="1" t="str">
        <f>"4048846019943"</f>
        <v>4048846019943</v>
      </c>
      <c r="I4424" s="3">
        <v>0</v>
      </c>
      <c r="J4424" s="3">
        <v>0</v>
      </c>
      <c r="K4424" s="3">
        <v>53000</v>
      </c>
    </row>
    <row r="4425" spans="1:11" x14ac:dyDescent="0.2">
      <c r="A4425" s="1" t="s">
        <v>9</v>
      </c>
      <c r="B4425" s="1" t="s">
        <v>4630</v>
      </c>
      <c r="C4425" s="1"/>
      <c r="D4425" s="1"/>
      <c r="E4425" s="1"/>
      <c r="F4425" s="1"/>
      <c r="G4425" s="1"/>
      <c r="H4425" s="1" t="str">
        <f>"4048846019950"</f>
        <v>4048846019950</v>
      </c>
      <c r="I4425" s="3">
        <v>4</v>
      </c>
      <c r="J4425" s="3">
        <v>0</v>
      </c>
      <c r="K4425" s="3">
        <v>51000</v>
      </c>
    </row>
    <row r="4426" spans="1:11" x14ac:dyDescent="0.2">
      <c r="A4426" s="1" t="s">
        <v>9</v>
      </c>
      <c r="B4426" s="1" t="s">
        <v>4643</v>
      </c>
      <c r="C4426" s="1"/>
      <c r="D4426" s="1"/>
      <c r="E4426" s="1"/>
      <c r="F4426" s="1"/>
      <c r="G4426" s="1"/>
      <c r="H4426" s="1" t="str">
        <f>"7800008000827"</f>
        <v>7800008000827</v>
      </c>
      <c r="I4426" s="3">
        <v>72</v>
      </c>
      <c r="J4426" s="3">
        <v>0</v>
      </c>
      <c r="K4426" s="3">
        <v>5000</v>
      </c>
    </row>
    <row r="4427" spans="1:11" x14ac:dyDescent="0.2">
      <c r="A4427" s="1" t="s">
        <v>9</v>
      </c>
      <c r="B4427" s="1" t="s">
        <v>4661</v>
      </c>
      <c r="C4427" s="1"/>
      <c r="D4427" s="1"/>
      <c r="E4427" s="1"/>
      <c r="F4427" s="1"/>
      <c r="G4427" s="1"/>
      <c r="H4427" s="1" t="str">
        <f>"7800063111513"</f>
        <v>7800063111513</v>
      </c>
      <c r="I4427" s="3">
        <v>160</v>
      </c>
      <c r="J4427" s="3">
        <v>0</v>
      </c>
      <c r="K4427" s="3">
        <v>1000</v>
      </c>
    </row>
    <row r="4428" spans="1:11" x14ac:dyDescent="0.2">
      <c r="A4428" s="1" t="s">
        <v>9</v>
      </c>
      <c r="B4428" s="1" t="s">
        <v>4662</v>
      </c>
      <c r="C4428" s="1"/>
      <c r="D4428" s="1"/>
      <c r="E4428" s="1"/>
      <c r="F4428" s="1"/>
      <c r="G4428" s="1"/>
      <c r="H4428" s="1" t="str">
        <f>"7800060110496"</f>
        <v>7800060110496</v>
      </c>
      <c r="I4428" s="3">
        <v>107</v>
      </c>
      <c r="J4428" s="3">
        <v>0</v>
      </c>
      <c r="K4428" s="3">
        <v>5000</v>
      </c>
    </row>
    <row r="4429" spans="1:11" x14ac:dyDescent="0.2">
      <c r="A4429" s="1" t="s">
        <v>9</v>
      </c>
      <c r="B4429" s="1" t="s">
        <v>4683</v>
      </c>
      <c r="C4429" s="1"/>
      <c r="D4429" s="1"/>
      <c r="E4429" s="1"/>
      <c r="F4429" s="1"/>
      <c r="G4429" s="1"/>
      <c r="H4429" s="1" t="str">
        <f>"7800063310152"</f>
        <v>7800063310152</v>
      </c>
      <c r="I4429" s="3">
        <v>28</v>
      </c>
      <c r="J4429" s="3">
        <v>0</v>
      </c>
      <c r="K4429" s="3">
        <v>1000</v>
      </c>
    </row>
    <row r="4430" spans="1:11" x14ac:dyDescent="0.2">
      <c r="A4430" s="1" t="s">
        <v>9</v>
      </c>
      <c r="B4430" s="1" t="s">
        <v>4684</v>
      </c>
      <c r="C4430" s="1"/>
      <c r="D4430" s="1"/>
      <c r="E4430" s="1"/>
      <c r="F4430" s="1"/>
      <c r="G4430" s="1"/>
      <c r="H4430" s="1" t="str">
        <f>"7800063003696"</f>
        <v>7800063003696</v>
      </c>
      <c r="I4430" s="3">
        <v>47</v>
      </c>
      <c r="J4430" s="3">
        <v>0</v>
      </c>
      <c r="K4430" s="3">
        <v>6500</v>
      </c>
    </row>
    <row r="4431" spans="1:11" x14ac:dyDescent="0.2">
      <c r="A4431" s="1" t="s">
        <v>9</v>
      </c>
      <c r="B4431" s="1" t="s">
        <v>4710</v>
      </c>
      <c r="C4431" s="1"/>
      <c r="D4431" s="1"/>
      <c r="E4431" s="1"/>
      <c r="F4431" s="1"/>
      <c r="G4431" s="1"/>
      <c r="H4431" s="1" t="str">
        <f>"7800007667458"</f>
        <v>7800007667458</v>
      </c>
      <c r="I4431" s="3">
        <v>0</v>
      </c>
      <c r="J4431" s="3">
        <v>0</v>
      </c>
      <c r="K4431" s="3">
        <v>19200</v>
      </c>
    </row>
    <row r="4432" spans="1:11" x14ac:dyDescent="0.2">
      <c r="A4432" s="1" t="s">
        <v>9</v>
      </c>
      <c r="B4432" s="1" t="s">
        <v>4714</v>
      </c>
      <c r="C4432" s="1"/>
      <c r="D4432" s="1"/>
      <c r="E4432" s="1"/>
      <c r="F4432" s="1"/>
      <c r="G4432" s="1"/>
      <c r="H4432" s="1" t="str">
        <f>"7800060147539"</f>
        <v>7800060147539</v>
      </c>
      <c r="I4432" s="3">
        <v>0</v>
      </c>
      <c r="J4432" s="3">
        <v>0</v>
      </c>
      <c r="K4432" s="3">
        <v>0</v>
      </c>
    </row>
    <row r="4433" spans="1:11" x14ac:dyDescent="0.2">
      <c r="A4433" s="1" t="s">
        <v>9</v>
      </c>
      <c r="B4433" s="1" t="s">
        <v>4715</v>
      </c>
      <c r="C4433" s="1"/>
      <c r="D4433" s="1"/>
      <c r="E4433" s="1"/>
      <c r="F4433" s="1"/>
      <c r="G4433" s="1"/>
      <c r="H4433" s="1" t="str">
        <f>"7800060147614"</f>
        <v>7800060147614</v>
      </c>
      <c r="I4433" s="3">
        <v>0</v>
      </c>
      <c r="J4433" s="3">
        <v>0</v>
      </c>
      <c r="K4433" s="3">
        <v>16000</v>
      </c>
    </row>
    <row r="4434" spans="1:11" x14ac:dyDescent="0.2">
      <c r="A4434" s="1" t="s">
        <v>9</v>
      </c>
      <c r="B4434" s="1" t="s">
        <v>4716</v>
      </c>
      <c r="C4434" s="1"/>
      <c r="D4434" s="1"/>
      <c r="E4434" s="1"/>
      <c r="F4434" s="1"/>
      <c r="G4434" s="1"/>
      <c r="H4434" s="1" t="str">
        <f>"7800060147102"</f>
        <v>7800060147102</v>
      </c>
      <c r="I4434" s="3">
        <v>0</v>
      </c>
      <c r="J4434" s="3">
        <v>0</v>
      </c>
      <c r="K4434" s="3">
        <v>9000</v>
      </c>
    </row>
    <row r="4435" spans="1:11" x14ac:dyDescent="0.2">
      <c r="A4435" s="1" t="s">
        <v>9</v>
      </c>
      <c r="B4435" s="1" t="s">
        <v>4717</v>
      </c>
      <c r="C4435" s="1"/>
      <c r="D4435" s="1"/>
      <c r="E4435" s="1"/>
      <c r="F4435" s="1"/>
      <c r="G4435" s="1"/>
      <c r="H4435" s="1" t="str">
        <f>"7800060146990"</f>
        <v>7800060146990</v>
      </c>
      <c r="I4435" s="3">
        <v>0</v>
      </c>
      <c r="J4435" s="3">
        <v>0</v>
      </c>
      <c r="K4435" s="3">
        <v>7000</v>
      </c>
    </row>
    <row r="4436" spans="1:11" x14ac:dyDescent="0.2">
      <c r="A4436" s="1" t="s">
        <v>9</v>
      </c>
      <c r="B4436" s="1" t="s">
        <v>4718</v>
      </c>
      <c r="C4436" s="1"/>
      <c r="D4436" s="1"/>
      <c r="E4436" s="1"/>
      <c r="F4436" s="1"/>
      <c r="G4436" s="1"/>
      <c r="H4436" s="1" t="str">
        <f>"7800060148260"</f>
        <v>7800060148260</v>
      </c>
      <c r="I4436" s="3">
        <v>7</v>
      </c>
      <c r="J4436" s="3">
        <v>0</v>
      </c>
      <c r="K4436" s="3">
        <v>30000</v>
      </c>
    </row>
    <row r="4437" spans="1:11" x14ac:dyDescent="0.2">
      <c r="A4437" s="1" t="s">
        <v>9</v>
      </c>
      <c r="B4437" s="1" t="s">
        <v>4719</v>
      </c>
      <c r="C4437" s="1"/>
      <c r="D4437" s="1"/>
      <c r="E4437" s="1"/>
      <c r="F4437" s="1"/>
      <c r="G4437" s="1"/>
      <c r="H4437" s="1" t="str">
        <f>"7800060148697"</f>
        <v>7800060148697</v>
      </c>
      <c r="I4437" s="3">
        <v>8</v>
      </c>
      <c r="J4437" s="3">
        <v>0</v>
      </c>
      <c r="K4437" s="3">
        <v>30000</v>
      </c>
    </row>
    <row r="4438" spans="1:11" x14ac:dyDescent="0.2">
      <c r="A4438" s="1" t="s">
        <v>9</v>
      </c>
      <c r="B4438" s="1" t="s">
        <v>4720</v>
      </c>
      <c r="C4438" s="1"/>
      <c r="D4438" s="1"/>
      <c r="E4438" s="1"/>
      <c r="F4438" s="1"/>
      <c r="G4438" s="1"/>
      <c r="H4438" s="1" t="str">
        <f>"7800060148420"</f>
        <v>7800060148420</v>
      </c>
      <c r="I4438" s="3">
        <v>0</v>
      </c>
      <c r="J4438" s="3">
        <v>0</v>
      </c>
      <c r="K4438" s="3">
        <v>29000</v>
      </c>
    </row>
    <row r="4439" spans="1:11" x14ac:dyDescent="0.2">
      <c r="A4439" s="1" t="s">
        <v>9</v>
      </c>
      <c r="B4439" s="1" t="s">
        <v>4721</v>
      </c>
      <c r="C4439" s="1"/>
      <c r="D4439" s="1"/>
      <c r="E4439" s="1"/>
      <c r="F4439" s="1"/>
      <c r="G4439" s="1"/>
      <c r="H4439" s="1" t="str">
        <f>"7800060148185"</f>
        <v>7800060148185</v>
      </c>
      <c r="I4439" s="3">
        <v>0</v>
      </c>
      <c r="J4439" s="3">
        <v>0</v>
      </c>
      <c r="K4439" s="3">
        <v>32000</v>
      </c>
    </row>
    <row r="4440" spans="1:11" x14ac:dyDescent="0.2">
      <c r="A4440" s="1" t="s">
        <v>9</v>
      </c>
      <c r="B4440" s="1" t="s">
        <v>4723</v>
      </c>
      <c r="C4440" s="1"/>
      <c r="D4440" s="1"/>
      <c r="E4440" s="1"/>
      <c r="F4440" s="1"/>
      <c r="G4440" s="1"/>
      <c r="H4440" s="1" t="str">
        <f>"7804650884545"</f>
        <v>7804650884545</v>
      </c>
      <c r="I4440" s="3">
        <v>0</v>
      </c>
      <c r="J4440" s="3">
        <v>0</v>
      </c>
      <c r="K4440" s="3">
        <v>8500</v>
      </c>
    </row>
    <row r="4441" spans="1:11" x14ac:dyDescent="0.2">
      <c r="A4441" s="1" t="s">
        <v>9</v>
      </c>
      <c r="B4441" s="1" t="s">
        <v>4724</v>
      </c>
      <c r="C4441" s="1"/>
      <c r="D4441" s="1"/>
      <c r="E4441" s="1"/>
      <c r="F4441" s="1"/>
      <c r="G4441" s="1"/>
      <c r="H4441" s="1" t="str">
        <f>"7804650884569"</f>
        <v>7804650884569</v>
      </c>
      <c r="I4441" s="3">
        <v>2</v>
      </c>
      <c r="J4441" s="3">
        <v>0</v>
      </c>
      <c r="K4441" s="3">
        <v>10000</v>
      </c>
    </row>
    <row r="4442" spans="1:11" x14ac:dyDescent="0.2">
      <c r="A4442" s="1" t="s">
        <v>9</v>
      </c>
      <c r="B4442" s="1" t="s">
        <v>4729</v>
      </c>
      <c r="C4442" s="1"/>
      <c r="D4442" s="1"/>
      <c r="E4442" s="1"/>
      <c r="F4442" s="1"/>
      <c r="G4442" s="1"/>
      <c r="H4442" s="1" t="str">
        <f>"7800026000991"</f>
        <v>7800026000991</v>
      </c>
      <c r="I4442" s="3">
        <v>6</v>
      </c>
      <c r="J4442" s="3">
        <v>0</v>
      </c>
      <c r="K4442" s="3">
        <v>12000</v>
      </c>
    </row>
    <row r="4443" spans="1:11" x14ac:dyDescent="0.2">
      <c r="A4443" s="1" t="s">
        <v>9</v>
      </c>
      <c r="B4443" s="1" t="s">
        <v>4732</v>
      </c>
      <c r="C4443" s="1"/>
      <c r="D4443" s="1"/>
      <c r="E4443" s="1"/>
      <c r="F4443" s="1"/>
      <c r="G4443" s="1"/>
      <c r="H4443" s="1" t="str">
        <f>"8903726312247"</f>
        <v>8903726312247</v>
      </c>
      <c r="I4443" s="3">
        <v>85</v>
      </c>
      <c r="J4443" s="3">
        <v>0</v>
      </c>
      <c r="K4443" s="3">
        <v>6000</v>
      </c>
    </row>
    <row r="4444" spans="1:11" x14ac:dyDescent="0.2">
      <c r="A4444" s="1" t="s">
        <v>9</v>
      </c>
      <c r="B4444" s="1" t="s">
        <v>4740</v>
      </c>
      <c r="C4444" s="1"/>
      <c r="D4444" s="1"/>
      <c r="E4444" s="1"/>
      <c r="F4444" s="1"/>
      <c r="G4444" s="1"/>
      <c r="H4444" s="1" t="str">
        <f>"7800059002412"</f>
        <v>7800059002412</v>
      </c>
      <c r="I4444" s="3">
        <v>21</v>
      </c>
      <c r="J4444" s="3">
        <v>0</v>
      </c>
      <c r="K4444" s="3">
        <v>12500</v>
      </c>
    </row>
    <row r="4445" spans="1:11" x14ac:dyDescent="0.2">
      <c r="A4445" s="1" t="s">
        <v>9</v>
      </c>
      <c r="B4445" s="1" t="s">
        <v>4744</v>
      </c>
      <c r="C4445" s="1"/>
      <c r="D4445" s="1"/>
      <c r="E4445" s="1"/>
      <c r="F4445" s="1"/>
      <c r="G4445" s="1"/>
      <c r="H4445" s="1" t="str">
        <f>"8903726312407"</f>
        <v>8903726312407</v>
      </c>
      <c r="I4445" s="3">
        <v>57</v>
      </c>
      <c r="J4445" s="3">
        <v>0</v>
      </c>
      <c r="K4445" s="3">
        <v>6000</v>
      </c>
    </row>
    <row r="4446" spans="1:11" x14ac:dyDescent="0.2">
      <c r="A4446" s="1" t="s">
        <v>9</v>
      </c>
      <c r="B4446" s="1" t="s">
        <v>4799</v>
      </c>
      <c r="C4446" s="1"/>
      <c r="D4446" s="1"/>
      <c r="E4446" s="1"/>
      <c r="F4446" s="1"/>
      <c r="G4446" s="1"/>
      <c r="H4446" s="1" t="str">
        <f>"8470009653767"</f>
        <v>8470009653767</v>
      </c>
      <c r="I4446" s="3">
        <v>0</v>
      </c>
      <c r="J4446" s="3">
        <v>0</v>
      </c>
      <c r="K4446" s="3">
        <v>36000</v>
      </c>
    </row>
    <row r="4447" spans="1:11" x14ac:dyDescent="0.2">
      <c r="A4447" s="1" t="s">
        <v>9</v>
      </c>
      <c r="B4447" s="1" t="s">
        <v>4803</v>
      </c>
      <c r="C4447" s="1"/>
      <c r="D4447" s="1"/>
      <c r="E4447" s="1"/>
      <c r="F4447" s="1"/>
      <c r="G4447" s="1"/>
      <c r="H4447" s="1" t="str">
        <f>"7891317205744"</f>
        <v>7891317205744</v>
      </c>
      <c r="I4447" s="3">
        <v>0</v>
      </c>
      <c r="J4447" s="3">
        <v>0</v>
      </c>
      <c r="K4447" s="3">
        <v>10000</v>
      </c>
    </row>
    <row r="4448" spans="1:11" x14ac:dyDescent="0.2">
      <c r="A4448" s="1" t="s">
        <v>9</v>
      </c>
      <c r="B4448" s="1" t="s">
        <v>4813</v>
      </c>
      <c r="C4448" s="1"/>
      <c r="D4448" s="1"/>
      <c r="E4448" s="1"/>
      <c r="F4448" s="1"/>
      <c r="G4448" s="1"/>
      <c r="H4448" s="1" t="str">
        <f>"7809591401820"</f>
        <v>7809591401820</v>
      </c>
      <c r="I4448" s="3">
        <v>0</v>
      </c>
      <c r="J4448" s="3">
        <v>0</v>
      </c>
      <c r="K4448" s="3">
        <v>14000</v>
      </c>
    </row>
    <row r="4449" spans="1:11" x14ac:dyDescent="0.2">
      <c r="A4449" s="1" t="s">
        <v>9</v>
      </c>
      <c r="B4449" s="1" t="s">
        <v>4832</v>
      </c>
      <c r="C4449" s="1"/>
      <c r="D4449" s="1"/>
      <c r="E4449" s="1"/>
      <c r="F4449" s="1"/>
      <c r="G4449" s="1"/>
      <c r="H4449" s="1" t="str">
        <f>"8437020503600"</f>
        <v>8437020503600</v>
      </c>
      <c r="I4449" s="3">
        <v>1</v>
      </c>
      <c r="J4449" s="3">
        <v>0</v>
      </c>
      <c r="K4449" s="3">
        <v>18000</v>
      </c>
    </row>
    <row r="4450" spans="1:11" x14ac:dyDescent="0.2">
      <c r="A4450" s="1" t="s">
        <v>9</v>
      </c>
      <c r="B4450" s="1" t="s">
        <v>4833</v>
      </c>
      <c r="C4450" s="1"/>
      <c r="D4450" s="1"/>
      <c r="E4450" s="1"/>
      <c r="F4450" s="1"/>
      <c r="G4450" s="1"/>
      <c r="H4450" s="1" t="str">
        <f>"7730979099912"</f>
        <v>7730979099912</v>
      </c>
      <c r="I4450" s="3">
        <v>0</v>
      </c>
      <c r="J4450" s="3">
        <v>0</v>
      </c>
      <c r="K4450" s="3">
        <v>40000</v>
      </c>
    </row>
    <row r="4451" spans="1:11" x14ac:dyDescent="0.2">
      <c r="A4451" s="1" t="s">
        <v>9</v>
      </c>
      <c r="B4451" s="1" t="s">
        <v>4834</v>
      </c>
      <c r="C4451" s="1"/>
      <c r="D4451" s="1"/>
      <c r="E4451" s="1"/>
      <c r="F4451" s="1"/>
      <c r="G4451" s="1"/>
      <c r="H4451" s="1" t="str">
        <f>"7730979099929"</f>
        <v>7730979099929</v>
      </c>
      <c r="I4451" s="3">
        <v>1</v>
      </c>
      <c r="J4451" s="3">
        <v>0</v>
      </c>
      <c r="K4451" s="3">
        <v>35000</v>
      </c>
    </row>
    <row r="4452" spans="1:11" x14ac:dyDescent="0.2">
      <c r="A4452" s="1" t="s">
        <v>9</v>
      </c>
      <c r="B4452" s="1" t="s">
        <v>4953</v>
      </c>
      <c r="C4452" s="1"/>
      <c r="D4452" s="1"/>
      <c r="E4452" s="1"/>
      <c r="F4452" s="1"/>
      <c r="G4452" s="1"/>
      <c r="H4452" s="1" t="str">
        <f>"5000456013802"</f>
        <v>5000456013802</v>
      </c>
      <c r="I4452" s="3">
        <v>1</v>
      </c>
      <c r="J4452" s="3">
        <v>0</v>
      </c>
      <c r="K4452" s="3">
        <v>50000</v>
      </c>
    </row>
    <row r="4453" spans="1:11" x14ac:dyDescent="0.2">
      <c r="A4453" s="1" t="s">
        <v>9</v>
      </c>
      <c r="B4453" s="1" t="s">
        <v>4954</v>
      </c>
      <c r="C4453" s="1"/>
      <c r="D4453" s="1"/>
      <c r="E4453" s="1"/>
      <c r="F4453" s="1"/>
      <c r="G4453" s="1"/>
      <c r="H4453" s="1" t="str">
        <f>"5000456013796"</f>
        <v>5000456013796</v>
      </c>
      <c r="I4453" s="3">
        <v>0</v>
      </c>
      <c r="J4453" s="3">
        <v>0</v>
      </c>
      <c r="K4453" s="3">
        <v>49000</v>
      </c>
    </row>
    <row r="4454" spans="1:11" x14ac:dyDescent="0.2">
      <c r="A4454" s="1" t="s">
        <v>9</v>
      </c>
      <c r="B4454" s="1" t="s">
        <v>4965</v>
      </c>
      <c r="C4454" s="1"/>
      <c r="D4454" s="1"/>
      <c r="E4454" s="1"/>
      <c r="F4454" s="1"/>
      <c r="G4454" s="1"/>
      <c r="H4454" s="1" t="str">
        <f>"7809591401806"</f>
        <v>7809591401806</v>
      </c>
      <c r="I4454" s="3">
        <v>71</v>
      </c>
      <c r="J4454" s="3">
        <v>0</v>
      </c>
      <c r="K4454" s="3">
        <v>6000</v>
      </c>
    </row>
    <row r="4455" spans="1:11" x14ac:dyDescent="0.2">
      <c r="A4455" s="1" t="s">
        <v>9</v>
      </c>
      <c r="B4455" s="1" t="s">
        <v>4967</v>
      </c>
      <c r="C4455" s="1"/>
      <c r="D4455" s="1"/>
      <c r="E4455" s="1"/>
      <c r="F4455" s="1"/>
      <c r="G4455" s="1"/>
      <c r="H4455" s="1" t="str">
        <f>"7809591400113"</f>
        <v>7809591400113</v>
      </c>
      <c r="I4455" s="3">
        <v>52</v>
      </c>
      <c r="J4455" s="3">
        <v>0</v>
      </c>
      <c r="K4455" s="3">
        <v>8500</v>
      </c>
    </row>
    <row r="4456" spans="1:11" x14ac:dyDescent="0.2">
      <c r="A4456" s="1" t="s">
        <v>9</v>
      </c>
      <c r="B4456" s="1" t="s">
        <v>4988</v>
      </c>
      <c r="C4456" s="1"/>
      <c r="D4456" s="1"/>
      <c r="E4456" s="1"/>
      <c r="F4456" s="1"/>
      <c r="G4456" s="1"/>
      <c r="H4456" s="1" t="str">
        <f>"7800060132184"</f>
        <v>7800060132184</v>
      </c>
      <c r="I4456" s="3">
        <v>2</v>
      </c>
      <c r="J4456" s="3">
        <v>0</v>
      </c>
      <c r="K4456" s="3">
        <v>40000</v>
      </c>
    </row>
    <row r="4457" spans="1:11" x14ac:dyDescent="0.2">
      <c r="A4457" s="1" t="s">
        <v>9</v>
      </c>
      <c r="B4457" s="1" t="s">
        <v>4989</v>
      </c>
      <c r="C4457" s="1"/>
      <c r="D4457" s="1"/>
      <c r="E4457" s="1"/>
      <c r="F4457" s="1"/>
      <c r="G4457" s="1"/>
      <c r="H4457" s="1" t="str">
        <f>"7800041047414"</f>
        <v>7800041047414</v>
      </c>
      <c r="I4457" s="3">
        <v>22</v>
      </c>
      <c r="J4457" s="3">
        <v>0</v>
      </c>
      <c r="K4457" s="3">
        <v>5500</v>
      </c>
    </row>
    <row r="4458" spans="1:11" x14ac:dyDescent="0.2">
      <c r="A4458" s="1" t="s">
        <v>9</v>
      </c>
      <c r="B4458" s="1" t="s">
        <v>4991</v>
      </c>
      <c r="C4458" s="1"/>
      <c r="D4458" s="1"/>
      <c r="E4458" s="1"/>
      <c r="F4458" s="1"/>
      <c r="G4458" s="1"/>
      <c r="H4458" s="1" t="str">
        <f>"7800063001708"</f>
        <v>7800063001708</v>
      </c>
      <c r="I4458" s="3">
        <v>32</v>
      </c>
      <c r="J4458" s="3">
        <v>0</v>
      </c>
      <c r="K4458" s="3">
        <v>2000</v>
      </c>
    </row>
    <row r="4459" spans="1:11" x14ac:dyDescent="0.2">
      <c r="A4459" s="1" t="s">
        <v>9</v>
      </c>
      <c r="B4459" s="1" t="s">
        <v>4992</v>
      </c>
      <c r="C4459" s="1"/>
      <c r="D4459" s="1"/>
      <c r="E4459" s="1"/>
      <c r="F4459" s="1"/>
      <c r="G4459" s="1"/>
      <c r="H4459" s="1" t="str">
        <f>"8901079150752"</f>
        <v>8901079150752</v>
      </c>
      <c r="I4459" s="3">
        <v>79</v>
      </c>
      <c r="J4459" s="3">
        <v>0</v>
      </c>
      <c r="K4459" s="3">
        <v>2000</v>
      </c>
    </row>
    <row r="4460" spans="1:11" x14ac:dyDescent="0.2">
      <c r="A4460" s="1" t="s">
        <v>95</v>
      </c>
      <c r="B4460" s="1" t="s">
        <v>96</v>
      </c>
      <c r="C4460" s="1"/>
      <c r="D4460" s="1"/>
      <c r="E4460" s="1"/>
      <c r="F4460" s="1"/>
      <c r="G4460" s="1"/>
      <c r="H4460" s="1" t="str">
        <f>"8411061090978"</f>
        <v>8411061090978</v>
      </c>
      <c r="I4460" s="3">
        <v>4</v>
      </c>
      <c r="J4460" s="3">
        <v>0</v>
      </c>
      <c r="K4460" s="3">
        <v>14000</v>
      </c>
    </row>
    <row r="4461" spans="1:11" x14ac:dyDescent="0.2">
      <c r="A4461" s="1" t="s">
        <v>95</v>
      </c>
      <c r="B4461" s="1" t="s">
        <v>1182</v>
      </c>
      <c r="C4461" s="1"/>
      <c r="D4461" s="1"/>
      <c r="E4461" s="1"/>
      <c r="F4461" s="1"/>
      <c r="G4461" s="1"/>
      <c r="H4461" s="1" t="str">
        <f>"7804945004139"</f>
        <v>7804945004139</v>
      </c>
      <c r="I4461" s="3">
        <v>7</v>
      </c>
      <c r="J4461" s="3">
        <v>0</v>
      </c>
      <c r="K4461" s="3">
        <v>4500</v>
      </c>
    </row>
    <row r="4462" spans="1:11" x14ac:dyDescent="0.2">
      <c r="A4462" s="1" t="s">
        <v>95</v>
      </c>
      <c r="B4462" s="1" t="s">
        <v>1509</v>
      </c>
      <c r="C4462" s="1"/>
      <c r="D4462" s="1"/>
      <c r="E4462" s="1"/>
      <c r="F4462" s="1"/>
      <c r="G4462" s="1"/>
      <c r="H4462" s="1" t="str">
        <f>"8411061091647"</f>
        <v>8411061091647</v>
      </c>
      <c r="I4462" s="3">
        <v>4</v>
      </c>
      <c r="J4462" s="3">
        <v>0</v>
      </c>
      <c r="K4462" s="3">
        <v>14000</v>
      </c>
    </row>
    <row r="4463" spans="1:11" x14ac:dyDescent="0.2">
      <c r="A4463" s="1" t="s">
        <v>95</v>
      </c>
      <c r="B4463" s="1" t="s">
        <v>1727</v>
      </c>
      <c r="C4463" s="1"/>
      <c r="D4463" s="1"/>
      <c r="E4463" s="1"/>
      <c r="F4463" s="1"/>
      <c r="G4463" s="1"/>
      <c r="H4463" s="1" t="str">
        <f>"7804902042037"</f>
        <v>7804902042037</v>
      </c>
      <c r="I4463" s="3">
        <v>4</v>
      </c>
      <c r="J4463" s="3">
        <v>0</v>
      </c>
      <c r="K4463" s="3">
        <v>10000</v>
      </c>
    </row>
    <row r="4464" spans="1:11" x14ac:dyDescent="0.2">
      <c r="A4464" s="1" t="s">
        <v>95</v>
      </c>
      <c r="B4464" s="1" t="s">
        <v>1728</v>
      </c>
      <c r="C4464" s="1"/>
      <c r="D4464" s="1"/>
      <c r="E4464" s="1"/>
      <c r="F4464" s="1"/>
      <c r="G4464" s="1"/>
      <c r="H4464" s="1" t="str">
        <f>"7804902042020BLUE"</f>
        <v>7804902042020BLUE</v>
      </c>
      <c r="I4464" s="3">
        <v>4</v>
      </c>
      <c r="J4464" s="3">
        <v>0</v>
      </c>
      <c r="K4464" s="3">
        <v>10000</v>
      </c>
    </row>
    <row r="4465" spans="1:11" x14ac:dyDescent="0.2">
      <c r="A4465" s="1" t="s">
        <v>95</v>
      </c>
      <c r="B4465" s="1" t="s">
        <v>2271</v>
      </c>
      <c r="C4465" s="1"/>
      <c r="D4465" s="1"/>
      <c r="E4465" s="1"/>
      <c r="F4465" s="1"/>
      <c r="G4465" s="1"/>
      <c r="H4465" s="1" t="str">
        <f>"7804902034773"</f>
        <v>7804902034773</v>
      </c>
      <c r="I4465" s="3">
        <v>4</v>
      </c>
      <c r="J4465" s="3">
        <v>0</v>
      </c>
      <c r="K4465" s="3">
        <v>9000</v>
      </c>
    </row>
    <row r="4466" spans="1:11" x14ac:dyDescent="0.2">
      <c r="A4466" s="1" t="s">
        <v>95</v>
      </c>
      <c r="B4466" s="1" t="s">
        <v>2997</v>
      </c>
      <c r="C4466" s="1"/>
      <c r="D4466" s="1"/>
      <c r="E4466" s="1"/>
      <c r="F4466" s="1"/>
      <c r="G4466" s="1"/>
      <c r="H4466" s="1" t="str">
        <f>"8411061106679"</f>
        <v>8411061106679</v>
      </c>
      <c r="I4466" s="3">
        <v>4</v>
      </c>
      <c r="J4466" s="3">
        <v>0</v>
      </c>
      <c r="K4466" s="3">
        <v>19000</v>
      </c>
    </row>
    <row r="4467" spans="1:11" x14ac:dyDescent="0.2">
      <c r="A4467" s="1" t="s">
        <v>95</v>
      </c>
      <c r="B4467" s="1" t="s">
        <v>3209</v>
      </c>
      <c r="C4467" s="1"/>
      <c r="D4467" s="1"/>
      <c r="E4467" s="1"/>
      <c r="F4467" s="1"/>
      <c r="G4467" s="1"/>
      <c r="H4467" s="1" t="str">
        <f>"7804902043669"</f>
        <v>7804902043669</v>
      </c>
      <c r="I4467" s="3">
        <v>0</v>
      </c>
      <c r="J4467" s="3">
        <v>0</v>
      </c>
      <c r="K4467" s="3">
        <v>4000</v>
      </c>
    </row>
    <row r="4468" spans="1:11" x14ac:dyDescent="0.2">
      <c r="A4468" s="1" t="s">
        <v>95</v>
      </c>
      <c r="B4468" s="1" t="s">
        <v>3705</v>
      </c>
      <c r="C4468" s="1"/>
      <c r="D4468" s="1"/>
      <c r="E4468" s="1"/>
      <c r="F4468" s="1"/>
      <c r="G4468" s="1"/>
      <c r="H4468" s="1" t="str">
        <f>"7804902034568"</f>
        <v>7804902034568</v>
      </c>
      <c r="I4468" s="3">
        <v>4</v>
      </c>
      <c r="J4468" s="3">
        <v>0</v>
      </c>
      <c r="K4468" s="3">
        <v>10000</v>
      </c>
    </row>
    <row r="4469" spans="1:11" x14ac:dyDescent="0.2">
      <c r="A4469" s="1" t="s">
        <v>95</v>
      </c>
      <c r="B4469" s="1" t="s">
        <v>4199</v>
      </c>
      <c r="C4469" s="1"/>
      <c r="D4469" s="1"/>
      <c r="E4469" s="1"/>
      <c r="F4469" s="1"/>
      <c r="G4469" s="1"/>
      <c r="H4469" s="1" t="str">
        <f>"8411061091418"</f>
        <v>8411061091418</v>
      </c>
      <c r="I4469" s="3">
        <v>7</v>
      </c>
      <c r="J4469" s="3">
        <v>0</v>
      </c>
      <c r="K4469" s="3">
        <v>20000</v>
      </c>
    </row>
    <row r="4470" spans="1:11" x14ac:dyDescent="0.2">
      <c r="A4470" s="1" t="s">
        <v>2128</v>
      </c>
      <c r="B4470" s="1" t="s">
        <v>2129</v>
      </c>
      <c r="C4470" s="1"/>
      <c r="D4470" s="1"/>
      <c r="E4470" s="1"/>
      <c r="F4470" s="1"/>
      <c r="G4470" s="1"/>
      <c r="H4470" s="1" t="str">
        <f>"7800004004966"</f>
        <v>7800004004966</v>
      </c>
      <c r="I4470" s="3">
        <v>4</v>
      </c>
      <c r="J4470" s="3">
        <v>0</v>
      </c>
      <c r="K4470" s="3">
        <v>8000</v>
      </c>
    </row>
    <row r="4471" spans="1:11" x14ac:dyDescent="0.2">
      <c r="A4471" s="1" t="s">
        <v>689</v>
      </c>
      <c r="B4471" s="1" t="s">
        <v>690</v>
      </c>
      <c r="C4471" s="1"/>
      <c r="D4471" s="1"/>
      <c r="E4471" s="1"/>
      <c r="F4471" s="1"/>
      <c r="G4471" s="1"/>
      <c r="H4471" s="1" t="str">
        <f>"75874714158262"</f>
        <v>75874714158262</v>
      </c>
      <c r="I4471" s="3">
        <v>10</v>
      </c>
      <c r="J4471" s="3">
        <v>0</v>
      </c>
      <c r="K4471" s="3">
        <v>12000</v>
      </c>
    </row>
    <row r="4472" spans="1:11" x14ac:dyDescent="0.2">
      <c r="A4472" s="1" t="s">
        <v>689</v>
      </c>
      <c r="B4472" s="1" t="s">
        <v>3094</v>
      </c>
      <c r="C4472" s="1"/>
      <c r="D4472" s="1"/>
      <c r="E4472" s="1"/>
      <c r="F4472" s="1"/>
      <c r="G4472" s="1"/>
      <c r="H4472" s="1" t="str">
        <f>"8437024105299"</f>
        <v>8437024105299</v>
      </c>
      <c r="I4472" s="3">
        <v>0</v>
      </c>
      <c r="J4472" s="3">
        <v>0</v>
      </c>
      <c r="K4472" s="3">
        <v>14000</v>
      </c>
    </row>
    <row r="4473" spans="1:11" x14ac:dyDescent="0.2">
      <c r="A4473" s="1" t="s">
        <v>689</v>
      </c>
      <c r="B4473" s="1" t="s">
        <v>3785</v>
      </c>
      <c r="C4473" s="1"/>
      <c r="D4473" s="1"/>
      <c r="E4473" s="1"/>
      <c r="F4473" s="1"/>
      <c r="G4473" s="1"/>
      <c r="H4473" s="1" t="str">
        <f>"7804918403495"</f>
        <v>7804918403495</v>
      </c>
      <c r="I4473" s="3">
        <v>1</v>
      </c>
      <c r="J4473" s="3">
        <v>0</v>
      </c>
      <c r="K4473" s="3">
        <v>3000</v>
      </c>
    </row>
    <row r="4474" spans="1:11" x14ac:dyDescent="0.2">
      <c r="A4474" s="1" t="s">
        <v>689</v>
      </c>
      <c r="B4474" s="1" t="s">
        <v>4476</v>
      </c>
      <c r="C4474" s="1"/>
      <c r="D4474" s="1"/>
      <c r="E4474" s="1"/>
      <c r="F4474" s="1"/>
      <c r="G4474" s="1"/>
      <c r="H4474" s="1" t="str">
        <f>"75874894925311"</f>
        <v>75874894925311</v>
      </c>
      <c r="I4474" s="3">
        <v>0</v>
      </c>
      <c r="J4474" s="3">
        <v>0</v>
      </c>
      <c r="K4474" s="3">
        <v>5000</v>
      </c>
    </row>
    <row r="4475" spans="1:11" x14ac:dyDescent="0.2">
      <c r="A4475" s="1" t="s">
        <v>16</v>
      </c>
      <c r="B4475" s="1" t="s">
        <v>17</v>
      </c>
      <c r="C4475" s="1"/>
      <c r="D4475" s="1"/>
      <c r="E4475" s="1"/>
      <c r="F4475" s="1"/>
      <c r="G4475" s="1"/>
      <c r="H4475" s="1" t="str">
        <f>"4104480705199"</f>
        <v>4104480705199</v>
      </c>
      <c r="I4475" s="3">
        <v>50</v>
      </c>
      <c r="J4475" s="3">
        <v>0</v>
      </c>
      <c r="K4475" s="3">
        <v>5500</v>
      </c>
    </row>
    <row r="4476" spans="1:11" x14ac:dyDescent="0.2">
      <c r="A4476" s="1" t="s">
        <v>16</v>
      </c>
      <c r="B4476" s="1" t="s">
        <v>36</v>
      </c>
      <c r="C4476" s="1"/>
      <c r="D4476" s="1"/>
      <c r="E4476" s="1"/>
      <c r="F4476" s="1"/>
      <c r="G4476" s="1"/>
      <c r="H4476" s="1" t="str">
        <f>"7795380000872"</f>
        <v>7795380000872</v>
      </c>
      <c r="I4476" s="3">
        <v>14</v>
      </c>
      <c r="J4476" s="3">
        <v>0</v>
      </c>
      <c r="K4476" s="3">
        <v>10000</v>
      </c>
    </row>
    <row r="4477" spans="1:11" x14ac:dyDescent="0.2">
      <c r="A4477" s="1" t="s">
        <v>16</v>
      </c>
      <c r="B4477" s="1" t="s">
        <v>158</v>
      </c>
      <c r="C4477" s="1"/>
      <c r="D4477" s="1"/>
      <c r="E4477" s="1"/>
      <c r="F4477" s="1"/>
      <c r="G4477" s="1"/>
      <c r="H4477" s="1" t="str">
        <f>"7804614931230"</f>
        <v>7804614931230</v>
      </c>
      <c r="I4477" s="3">
        <v>38</v>
      </c>
      <c r="J4477" s="3">
        <v>0</v>
      </c>
      <c r="K4477" s="3">
        <v>3000</v>
      </c>
    </row>
    <row r="4478" spans="1:11" x14ac:dyDescent="0.2">
      <c r="A4478" s="1" t="s">
        <v>16</v>
      </c>
      <c r="B4478" s="1" t="s">
        <v>172</v>
      </c>
      <c r="C4478" s="1"/>
      <c r="D4478" s="1"/>
      <c r="E4478" s="1"/>
      <c r="F4478" s="1"/>
      <c r="G4478" s="1"/>
      <c r="H4478" s="1" t="str">
        <f>"7804918410325"</f>
        <v>7804918410325</v>
      </c>
      <c r="I4478" s="3">
        <v>2</v>
      </c>
      <c r="J4478" s="3">
        <v>0</v>
      </c>
      <c r="K4478" s="3">
        <v>5000</v>
      </c>
    </row>
    <row r="4479" spans="1:11" x14ac:dyDescent="0.2">
      <c r="A4479" s="1" t="s">
        <v>16</v>
      </c>
      <c r="B4479" s="1" t="s">
        <v>203</v>
      </c>
      <c r="C4479" s="1"/>
      <c r="D4479" s="1"/>
      <c r="E4479" s="1"/>
      <c r="F4479" s="1"/>
      <c r="G4479" s="1"/>
      <c r="H4479" s="1" t="str">
        <f>"7800007136336"</f>
        <v>7800007136336</v>
      </c>
      <c r="I4479" s="3">
        <v>18</v>
      </c>
      <c r="J4479" s="3">
        <v>0</v>
      </c>
      <c r="K4479" s="3">
        <v>4000</v>
      </c>
    </row>
    <row r="4480" spans="1:11" x14ac:dyDescent="0.2">
      <c r="A4480" s="1" t="s">
        <v>16</v>
      </c>
      <c r="B4480" s="1" t="s">
        <v>210</v>
      </c>
      <c r="C4480" s="1"/>
      <c r="D4480" s="1"/>
      <c r="E4480" s="1"/>
      <c r="F4480" s="1"/>
      <c r="G4480" s="1"/>
      <c r="H4480" s="1" t="str">
        <f>"7804620833580"</f>
        <v>7804620833580</v>
      </c>
      <c r="I4480" s="3">
        <v>63</v>
      </c>
      <c r="J4480" s="3">
        <v>0</v>
      </c>
      <c r="K4480" s="3">
        <v>2000</v>
      </c>
    </row>
    <row r="4481" spans="1:11" x14ac:dyDescent="0.2">
      <c r="A4481" s="1" t="s">
        <v>16</v>
      </c>
      <c r="B4481" s="1" t="s">
        <v>211</v>
      </c>
      <c r="C4481" s="1"/>
      <c r="D4481" s="1"/>
      <c r="E4481" s="1"/>
      <c r="F4481" s="1"/>
      <c r="G4481" s="1"/>
      <c r="H4481" s="1" t="str">
        <f>"7804650886259"</f>
        <v>7804650886259</v>
      </c>
      <c r="I4481" s="3">
        <v>0</v>
      </c>
      <c r="J4481" s="3">
        <v>0</v>
      </c>
      <c r="K4481" s="3">
        <v>2000</v>
      </c>
    </row>
    <row r="4482" spans="1:11" x14ac:dyDescent="0.2">
      <c r="A4482" s="1" t="s">
        <v>16</v>
      </c>
      <c r="B4482" s="1" t="s">
        <v>212</v>
      </c>
      <c r="C4482" s="1"/>
      <c r="D4482" s="1"/>
      <c r="E4482" s="1"/>
      <c r="F4482" s="1"/>
      <c r="G4482" s="1"/>
      <c r="H4482" s="1" t="str">
        <f>"7804640561357"</f>
        <v>7804640561357</v>
      </c>
      <c r="I4482" s="3">
        <v>135</v>
      </c>
      <c r="J4482" s="3">
        <v>0</v>
      </c>
      <c r="K4482" s="3">
        <v>2000</v>
      </c>
    </row>
    <row r="4483" spans="1:11" x14ac:dyDescent="0.2">
      <c r="A4483" s="1" t="s">
        <v>16</v>
      </c>
      <c r="B4483" s="1" t="s">
        <v>214</v>
      </c>
      <c r="C4483" s="1"/>
      <c r="D4483" s="1"/>
      <c r="E4483" s="1"/>
      <c r="F4483" s="1"/>
      <c r="G4483" s="1"/>
      <c r="H4483" s="1" t="str">
        <f>"7804640561340"</f>
        <v>7804640561340</v>
      </c>
      <c r="I4483" s="3">
        <v>91</v>
      </c>
      <c r="J4483" s="3">
        <v>0</v>
      </c>
      <c r="K4483" s="3">
        <v>2000</v>
      </c>
    </row>
    <row r="4484" spans="1:11" x14ac:dyDescent="0.2">
      <c r="A4484" s="1" t="s">
        <v>16</v>
      </c>
      <c r="B4484" s="1" t="s">
        <v>244</v>
      </c>
      <c r="C4484" s="1"/>
      <c r="D4484" s="1"/>
      <c r="E4484" s="1"/>
      <c r="F4484" s="1"/>
      <c r="G4484" s="1"/>
      <c r="H4484" s="1" t="str">
        <f>"7804640560893"</f>
        <v>7804640560893</v>
      </c>
      <c r="I4484" s="3">
        <v>48</v>
      </c>
      <c r="J4484" s="3">
        <v>0</v>
      </c>
      <c r="K4484" s="3">
        <v>6500</v>
      </c>
    </row>
    <row r="4485" spans="1:11" x14ac:dyDescent="0.2">
      <c r="A4485" s="1" t="s">
        <v>16</v>
      </c>
      <c r="B4485" s="1" t="s">
        <v>247</v>
      </c>
      <c r="C4485" s="1"/>
      <c r="D4485" s="1"/>
      <c r="E4485" s="1"/>
      <c r="F4485" s="1"/>
      <c r="G4485" s="1"/>
      <c r="H4485" s="1" t="str">
        <f>"7801000001836"</f>
        <v>7801000001836</v>
      </c>
      <c r="I4485" s="3">
        <v>0</v>
      </c>
      <c r="J4485" s="3">
        <v>0</v>
      </c>
      <c r="K4485" s="3">
        <v>2000</v>
      </c>
    </row>
    <row r="4486" spans="1:11" x14ac:dyDescent="0.2">
      <c r="A4486" s="1" t="s">
        <v>16</v>
      </c>
      <c r="B4486" s="1" t="s">
        <v>254</v>
      </c>
      <c r="C4486" s="1"/>
      <c r="D4486" s="1"/>
      <c r="E4486" s="1"/>
      <c r="F4486" s="1"/>
      <c r="G4486" s="1"/>
      <c r="H4486" s="1" t="str">
        <f>"7804673040065"</f>
        <v>7804673040065</v>
      </c>
      <c r="I4486" s="3">
        <v>11</v>
      </c>
      <c r="J4486" s="3">
        <v>0</v>
      </c>
      <c r="K4486" s="3">
        <v>1500</v>
      </c>
    </row>
    <row r="4487" spans="1:11" x14ac:dyDescent="0.2">
      <c r="A4487" s="1" t="s">
        <v>16</v>
      </c>
      <c r="B4487" s="1" t="s">
        <v>256</v>
      </c>
      <c r="C4487" s="1"/>
      <c r="D4487" s="1"/>
      <c r="E4487" s="1"/>
      <c r="F4487" s="1"/>
      <c r="G4487" s="1"/>
      <c r="H4487" s="1" t="str">
        <f>"7804620833412"</f>
        <v>7804620833412</v>
      </c>
      <c r="I4487" s="3">
        <v>70</v>
      </c>
      <c r="J4487" s="3">
        <v>0</v>
      </c>
      <c r="K4487" s="3">
        <v>2000</v>
      </c>
    </row>
    <row r="4488" spans="1:11" x14ac:dyDescent="0.2">
      <c r="A4488" s="1" t="s">
        <v>16</v>
      </c>
      <c r="B4488" s="1" t="s">
        <v>257</v>
      </c>
      <c r="C4488" s="1"/>
      <c r="D4488" s="1"/>
      <c r="E4488" s="1"/>
      <c r="F4488" s="1"/>
      <c r="G4488" s="1"/>
      <c r="H4488" s="1" t="str">
        <f>"7804620833610"</f>
        <v>7804620833610</v>
      </c>
      <c r="I4488" s="3">
        <v>69</v>
      </c>
      <c r="J4488" s="3">
        <v>0</v>
      </c>
      <c r="K4488" s="3">
        <v>2000</v>
      </c>
    </row>
    <row r="4489" spans="1:11" x14ac:dyDescent="0.2">
      <c r="A4489" s="1" t="s">
        <v>16</v>
      </c>
      <c r="B4489" s="1" t="s">
        <v>296</v>
      </c>
      <c r="C4489" s="1"/>
      <c r="D4489" s="1"/>
      <c r="E4489" s="1"/>
      <c r="F4489" s="1"/>
      <c r="G4489" s="1"/>
      <c r="H4489" s="1" t="str">
        <f>"7800060014497"</f>
        <v>7800060014497</v>
      </c>
      <c r="I4489" s="3">
        <v>14</v>
      </c>
      <c r="J4489" s="3">
        <v>0</v>
      </c>
      <c r="K4489" s="3">
        <v>12000</v>
      </c>
    </row>
    <row r="4490" spans="1:11" x14ac:dyDescent="0.2">
      <c r="A4490" s="1" t="s">
        <v>16</v>
      </c>
      <c r="B4490" s="1" t="s">
        <v>447</v>
      </c>
      <c r="C4490" s="1"/>
      <c r="D4490" s="1"/>
      <c r="E4490" s="1"/>
      <c r="F4490" s="1"/>
      <c r="G4490" s="1"/>
      <c r="H4490" s="1" t="str">
        <f>"7804918500910"</f>
        <v>7804918500910</v>
      </c>
      <c r="I4490" s="3">
        <v>16</v>
      </c>
      <c r="J4490" s="3">
        <v>0</v>
      </c>
      <c r="K4490" s="3">
        <v>4000</v>
      </c>
    </row>
    <row r="4491" spans="1:11" x14ac:dyDescent="0.2">
      <c r="A4491" s="1" t="s">
        <v>16</v>
      </c>
      <c r="B4491" s="1" t="s">
        <v>460</v>
      </c>
      <c r="C4491" s="1"/>
      <c r="D4491" s="1"/>
      <c r="E4491" s="1"/>
      <c r="F4491" s="1"/>
      <c r="G4491" s="1"/>
      <c r="H4491" s="1" t="str">
        <f>"7804640561364"</f>
        <v>7804640561364</v>
      </c>
      <c r="I4491" s="3">
        <v>1</v>
      </c>
      <c r="J4491" s="3">
        <v>0</v>
      </c>
      <c r="K4491" s="3">
        <v>4500</v>
      </c>
    </row>
    <row r="4492" spans="1:11" x14ac:dyDescent="0.2">
      <c r="A4492" s="1" t="s">
        <v>16</v>
      </c>
      <c r="B4492" s="1" t="s">
        <v>558</v>
      </c>
      <c r="C4492" s="1"/>
      <c r="D4492" s="1"/>
      <c r="E4492" s="1"/>
      <c r="F4492" s="1"/>
      <c r="G4492" s="1"/>
      <c r="H4492" s="1" t="str">
        <f>"7800068010606"</f>
        <v>7800068010606</v>
      </c>
      <c r="I4492" s="3">
        <v>26</v>
      </c>
      <c r="J4492" s="3">
        <v>0</v>
      </c>
      <c r="K4492" s="3">
        <v>10000</v>
      </c>
    </row>
    <row r="4493" spans="1:11" x14ac:dyDescent="0.2">
      <c r="A4493" s="1" t="s">
        <v>16</v>
      </c>
      <c r="B4493" s="1" t="s">
        <v>594</v>
      </c>
      <c r="C4493" s="1"/>
      <c r="D4493" s="1"/>
      <c r="E4493" s="1"/>
      <c r="F4493" s="1"/>
      <c r="G4493" s="1"/>
      <c r="H4493" s="1" t="str">
        <f>"8436024613414"</f>
        <v>8436024613414</v>
      </c>
      <c r="I4493" s="3">
        <v>8</v>
      </c>
      <c r="J4493" s="3">
        <v>0</v>
      </c>
      <c r="K4493" s="3">
        <v>18000</v>
      </c>
    </row>
    <row r="4494" spans="1:11" x14ac:dyDescent="0.2">
      <c r="A4494" s="1" t="s">
        <v>16</v>
      </c>
      <c r="B4494" s="1" t="s">
        <v>645</v>
      </c>
      <c r="C4494" s="1"/>
      <c r="D4494" s="1"/>
      <c r="E4494" s="1"/>
      <c r="F4494" s="1"/>
      <c r="G4494" s="1"/>
      <c r="H4494" s="1" t="str">
        <f>"3664798040579"</f>
        <v>3664798040579</v>
      </c>
      <c r="I4494" s="3">
        <v>88</v>
      </c>
      <c r="J4494" s="3">
        <v>0</v>
      </c>
      <c r="K4494" s="3">
        <v>4500</v>
      </c>
    </row>
    <row r="4495" spans="1:11" x14ac:dyDescent="0.2">
      <c r="A4495" s="1" t="s">
        <v>16</v>
      </c>
      <c r="B4495" s="1" t="s">
        <v>646</v>
      </c>
      <c r="C4495" s="1"/>
      <c r="D4495" s="1"/>
      <c r="E4495" s="1"/>
      <c r="F4495" s="1"/>
      <c r="G4495" s="1"/>
      <c r="H4495" s="1" t="str">
        <f>"3664798040623"</f>
        <v>3664798040623</v>
      </c>
      <c r="I4495" s="3">
        <v>69</v>
      </c>
      <c r="J4495" s="3">
        <v>0</v>
      </c>
      <c r="K4495" s="3">
        <v>4500</v>
      </c>
    </row>
    <row r="4496" spans="1:11" x14ac:dyDescent="0.2">
      <c r="A4496" s="1" t="s">
        <v>16</v>
      </c>
      <c r="B4496" s="1" t="s">
        <v>707</v>
      </c>
      <c r="C4496" s="1"/>
      <c r="D4496" s="1"/>
      <c r="E4496" s="1"/>
      <c r="F4496" s="1"/>
      <c r="G4496" s="1"/>
      <c r="H4496" s="1" t="str">
        <f>"7800063001524"</f>
        <v>7800063001524</v>
      </c>
      <c r="I4496" s="3">
        <v>71</v>
      </c>
      <c r="J4496" s="3">
        <v>0</v>
      </c>
      <c r="K4496" s="3">
        <v>2000</v>
      </c>
    </row>
    <row r="4497" spans="1:11" x14ac:dyDescent="0.2">
      <c r="A4497" s="1" t="s">
        <v>16</v>
      </c>
      <c r="B4497" s="1" t="s">
        <v>708</v>
      </c>
      <c r="C4497" s="1"/>
      <c r="D4497" s="1"/>
      <c r="E4497" s="1"/>
      <c r="F4497" s="1"/>
      <c r="G4497" s="1"/>
      <c r="H4497" s="1" t="str">
        <f>"8903831007588"</f>
        <v>8903831007588</v>
      </c>
      <c r="I4497" s="3">
        <v>4</v>
      </c>
      <c r="J4497" s="3">
        <v>0</v>
      </c>
      <c r="K4497" s="3">
        <v>2000</v>
      </c>
    </row>
    <row r="4498" spans="1:11" x14ac:dyDescent="0.2">
      <c r="A4498" s="1" t="s">
        <v>16</v>
      </c>
      <c r="B4498" s="1" t="s">
        <v>713</v>
      </c>
      <c r="C4498" s="1"/>
      <c r="D4498" s="1"/>
      <c r="E4498" s="1"/>
      <c r="F4498" s="1"/>
      <c r="G4498" s="1"/>
      <c r="H4498" s="1" t="str">
        <f>"7800060124240"</f>
        <v>7800060124240</v>
      </c>
      <c r="I4498" s="3">
        <v>20</v>
      </c>
      <c r="J4498" s="3">
        <v>0</v>
      </c>
      <c r="K4498" s="3">
        <v>5500</v>
      </c>
    </row>
    <row r="4499" spans="1:11" x14ac:dyDescent="0.2">
      <c r="A4499" s="1" t="s">
        <v>16</v>
      </c>
      <c r="B4499" s="1" t="s">
        <v>715</v>
      </c>
      <c r="C4499" s="1"/>
      <c r="D4499" s="1"/>
      <c r="E4499" s="1"/>
      <c r="F4499" s="1"/>
      <c r="G4499" s="1"/>
      <c r="H4499" s="1" t="str">
        <f>"7800026003275"</f>
        <v>7800026003275</v>
      </c>
      <c r="I4499" s="3">
        <v>4</v>
      </c>
      <c r="J4499" s="3">
        <v>0</v>
      </c>
      <c r="K4499" s="3">
        <v>6500</v>
      </c>
    </row>
    <row r="4500" spans="1:11" x14ac:dyDescent="0.2">
      <c r="A4500" s="1" t="s">
        <v>16</v>
      </c>
      <c r="B4500" s="1" t="s">
        <v>718</v>
      </c>
      <c r="C4500" s="1"/>
      <c r="D4500" s="1"/>
      <c r="E4500" s="1"/>
      <c r="F4500" s="1"/>
      <c r="G4500" s="1"/>
      <c r="H4500" s="1" t="str">
        <f>"7800068010057"</f>
        <v>7800068010057</v>
      </c>
      <c r="I4500" s="3">
        <v>137</v>
      </c>
      <c r="J4500" s="3">
        <v>0</v>
      </c>
      <c r="K4500" s="3">
        <v>5500</v>
      </c>
    </row>
    <row r="4501" spans="1:11" x14ac:dyDescent="0.2">
      <c r="A4501" s="1" t="s">
        <v>16</v>
      </c>
      <c r="B4501" s="1" t="s">
        <v>719</v>
      </c>
      <c r="C4501" s="1"/>
      <c r="D4501" s="1"/>
      <c r="E4501" s="1"/>
      <c r="F4501" s="1"/>
      <c r="G4501" s="1"/>
      <c r="H4501" s="1" t="str">
        <f>"7800068010040"</f>
        <v>7800068010040</v>
      </c>
      <c r="I4501" s="3">
        <v>177</v>
      </c>
      <c r="J4501" s="3">
        <v>0</v>
      </c>
      <c r="K4501" s="3">
        <v>5000</v>
      </c>
    </row>
    <row r="4502" spans="1:11" x14ac:dyDescent="0.2">
      <c r="A4502" s="1" t="s">
        <v>16</v>
      </c>
      <c r="B4502" s="1" t="s">
        <v>721</v>
      </c>
      <c r="C4502" s="1"/>
      <c r="D4502" s="1"/>
      <c r="E4502" s="1"/>
      <c r="F4502" s="1"/>
      <c r="G4502" s="1"/>
      <c r="H4502" s="1" t="str">
        <f>"7800038041364"</f>
        <v>7800038041364</v>
      </c>
      <c r="I4502" s="3">
        <v>2</v>
      </c>
      <c r="J4502" s="3">
        <v>0</v>
      </c>
      <c r="K4502" s="3">
        <v>5500</v>
      </c>
    </row>
    <row r="4503" spans="1:11" x14ac:dyDescent="0.2">
      <c r="A4503" s="1" t="s">
        <v>16</v>
      </c>
      <c r="B4503" s="1" t="s">
        <v>722</v>
      </c>
      <c r="C4503" s="1"/>
      <c r="D4503" s="1"/>
      <c r="E4503" s="1"/>
      <c r="F4503" s="1"/>
      <c r="G4503" s="1"/>
      <c r="H4503" s="1" t="str">
        <f>"7800038041371"</f>
        <v>7800038041371</v>
      </c>
      <c r="I4503" s="3">
        <v>107</v>
      </c>
      <c r="J4503" s="3">
        <v>0</v>
      </c>
      <c r="K4503" s="3">
        <v>5500</v>
      </c>
    </row>
    <row r="4504" spans="1:11" x14ac:dyDescent="0.2">
      <c r="A4504" s="1" t="s">
        <v>16</v>
      </c>
      <c r="B4504" s="1" t="s">
        <v>723</v>
      </c>
      <c r="C4504" s="1"/>
      <c r="D4504" s="1"/>
      <c r="E4504" s="1"/>
      <c r="F4504" s="1"/>
      <c r="G4504" s="1"/>
      <c r="H4504" s="1" t="str">
        <f>"7800063330648"</f>
        <v>7800063330648</v>
      </c>
      <c r="I4504" s="3">
        <v>23</v>
      </c>
      <c r="J4504" s="3">
        <v>0</v>
      </c>
      <c r="K4504" s="3">
        <v>2000</v>
      </c>
    </row>
    <row r="4505" spans="1:11" x14ac:dyDescent="0.2">
      <c r="A4505" s="1" t="s">
        <v>16</v>
      </c>
      <c r="B4505" s="1" t="s">
        <v>728</v>
      </c>
      <c r="C4505" s="1"/>
      <c r="D4505" s="1"/>
      <c r="E4505" s="1"/>
      <c r="F4505" s="1"/>
      <c r="G4505" s="1"/>
      <c r="H4505" s="1" t="str">
        <f>"7800046004887"</f>
        <v>7800046004887</v>
      </c>
      <c r="I4505" s="3">
        <v>128</v>
      </c>
      <c r="J4505" s="3">
        <v>0</v>
      </c>
      <c r="K4505" s="3">
        <v>2500</v>
      </c>
    </row>
    <row r="4506" spans="1:11" x14ac:dyDescent="0.2">
      <c r="A4506" s="1" t="s">
        <v>16</v>
      </c>
      <c r="B4506" s="1" t="s">
        <v>729</v>
      </c>
      <c r="C4506" s="1"/>
      <c r="D4506" s="1"/>
      <c r="E4506" s="1"/>
      <c r="F4506" s="1"/>
      <c r="G4506" s="1"/>
      <c r="H4506" s="1" t="str">
        <f>"7803501050337"</f>
        <v>7803501050337</v>
      </c>
      <c r="I4506" s="3">
        <v>5</v>
      </c>
      <c r="J4506" s="3">
        <v>0</v>
      </c>
      <c r="K4506" s="3">
        <v>2000</v>
      </c>
    </row>
    <row r="4507" spans="1:11" x14ac:dyDescent="0.2">
      <c r="A4507" s="1" t="s">
        <v>16</v>
      </c>
      <c r="B4507" s="1" t="s">
        <v>730</v>
      </c>
      <c r="C4507" s="1"/>
      <c r="D4507" s="1"/>
      <c r="E4507" s="1"/>
      <c r="F4507" s="1"/>
      <c r="G4507" s="1"/>
      <c r="H4507" s="1" t="str">
        <f>"7803501004323"</f>
        <v>7803501004323</v>
      </c>
      <c r="I4507" s="3">
        <v>0</v>
      </c>
      <c r="J4507" s="3">
        <v>0</v>
      </c>
      <c r="K4507" s="3">
        <v>2000</v>
      </c>
    </row>
    <row r="4508" spans="1:11" x14ac:dyDescent="0.2">
      <c r="A4508" s="1" t="s">
        <v>16</v>
      </c>
      <c r="B4508" s="1" t="s">
        <v>746</v>
      </c>
      <c r="C4508" s="1"/>
      <c r="D4508" s="1"/>
      <c r="E4508" s="1"/>
      <c r="F4508" s="1"/>
      <c r="G4508" s="1"/>
      <c r="H4508" s="1" t="str">
        <f>"7805633027744"</f>
        <v>7805633027744</v>
      </c>
      <c r="I4508" s="3">
        <v>0</v>
      </c>
      <c r="J4508" s="3">
        <v>0</v>
      </c>
      <c r="K4508" s="3">
        <v>3000</v>
      </c>
    </row>
    <row r="4509" spans="1:11" x14ac:dyDescent="0.2">
      <c r="A4509" s="1" t="s">
        <v>16</v>
      </c>
      <c r="B4509" s="1" t="s">
        <v>802</v>
      </c>
      <c r="C4509" s="1"/>
      <c r="D4509" s="1"/>
      <c r="E4509" s="1"/>
      <c r="F4509" s="1"/>
      <c r="G4509" s="1"/>
      <c r="H4509" s="1" t="str">
        <f>"7800007188212"</f>
        <v>7800007188212</v>
      </c>
      <c r="I4509" s="3">
        <v>28</v>
      </c>
      <c r="J4509" s="3">
        <v>0</v>
      </c>
      <c r="K4509" s="3">
        <v>13000</v>
      </c>
    </row>
    <row r="4510" spans="1:11" x14ac:dyDescent="0.2">
      <c r="A4510" s="1" t="s">
        <v>16</v>
      </c>
      <c r="B4510" s="1" t="s">
        <v>859</v>
      </c>
      <c r="C4510" s="1"/>
      <c r="D4510" s="1"/>
      <c r="E4510" s="1"/>
      <c r="F4510" s="1"/>
      <c r="G4510" s="1"/>
      <c r="H4510" s="1" t="str">
        <f>"7800008001008"</f>
        <v>7800008001008</v>
      </c>
      <c r="I4510" s="3">
        <v>13</v>
      </c>
      <c r="J4510" s="3">
        <v>0</v>
      </c>
      <c r="K4510" s="3">
        <v>3000</v>
      </c>
    </row>
    <row r="4511" spans="1:11" x14ac:dyDescent="0.2">
      <c r="A4511" s="1" t="s">
        <v>16</v>
      </c>
      <c r="B4511" s="1" t="s">
        <v>860</v>
      </c>
      <c r="C4511" s="1"/>
      <c r="D4511" s="1"/>
      <c r="E4511" s="1"/>
      <c r="F4511" s="1"/>
      <c r="G4511" s="1"/>
      <c r="H4511" s="1" t="str">
        <f>"7800008001015"</f>
        <v>7800008001015</v>
      </c>
      <c r="I4511" s="3">
        <v>32</v>
      </c>
      <c r="J4511" s="3">
        <v>0</v>
      </c>
      <c r="K4511" s="3">
        <v>4800</v>
      </c>
    </row>
    <row r="4512" spans="1:11" x14ac:dyDescent="0.2">
      <c r="A4512" s="1" t="s">
        <v>16</v>
      </c>
      <c r="B4512" s="1" t="s">
        <v>882</v>
      </c>
      <c r="C4512" s="1"/>
      <c r="D4512" s="1"/>
      <c r="E4512" s="1"/>
      <c r="F4512" s="1"/>
      <c r="G4512" s="1"/>
      <c r="H4512" s="1" t="str">
        <f>"7800018129235"</f>
        <v>7800018129235</v>
      </c>
      <c r="I4512" s="3">
        <v>0</v>
      </c>
      <c r="J4512" s="3">
        <v>0</v>
      </c>
      <c r="K4512" s="3">
        <v>4000</v>
      </c>
    </row>
    <row r="4513" spans="1:11" x14ac:dyDescent="0.2">
      <c r="A4513" s="1" t="s">
        <v>16</v>
      </c>
      <c r="B4513" s="1" t="s">
        <v>957</v>
      </c>
      <c r="C4513" s="1"/>
      <c r="D4513" s="1"/>
      <c r="E4513" s="1"/>
      <c r="F4513" s="1"/>
      <c r="G4513" s="1"/>
      <c r="H4513" s="1" t="str">
        <f>"7804640561418"</f>
        <v>7804640561418</v>
      </c>
      <c r="I4513" s="3">
        <v>100</v>
      </c>
      <c r="J4513" s="3">
        <v>0</v>
      </c>
      <c r="K4513" s="3">
        <v>2500</v>
      </c>
    </row>
    <row r="4514" spans="1:11" x14ac:dyDescent="0.2">
      <c r="A4514" s="1" t="s">
        <v>16</v>
      </c>
      <c r="B4514" s="1" t="s">
        <v>958</v>
      </c>
      <c r="C4514" s="1"/>
      <c r="D4514" s="1"/>
      <c r="E4514" s="1"/>
      <c r="F4514" s="1"/>
      <c r="G4514" s="1"/>
      <c r="H4514" s="1" t="str">
        <f>"8901790720197"</f>
        <v>8901790720197</v>
      </c>
      <c r="I4514" s="3">
        <v>42</v>
      </c>
      <c r="J4514" s="3">
        <v>0</v>
      </c>
      <c r="K4514" s="3">
        <v>3000</v>
      </c>
    </row>
    <row r="4515" spans="1:11" x14ac:dyDescent="0.2">
      <c r="A4515" s="1" t="s">
        <v>16</v>
      </c>
      <c r="B4515" s="1" t="s">
        <v>1108</v>
      </c>
      <c r="C4515" s="1"/>
      <c r="D4515" s="1"/>
      <c r="E4515" s="1"/>
      <c r="F4515" s="1"/>
      <c r="G4515" s="1"/>
      <c r="H4515" s="1" t="str">
        <f>"7800063000817"</f>
        <v>7800063000817</v>
      </c>
      <c r="I4515" s="3">
        <v>56</v>
      </c>
      <c r="J4515" s="3">
        <v>0</v>
      </c>
      <c r="K4515" s="3">
        <v>3000</v>
      </c>
    </row>
    <row r="4516" spans="1:11" x14ac:dyDescent="0.2">
      <c r="A4516" s="1" t="s">
        <v>16</v>
      </c>
      <c r="B4516" s="1" t="s">
        <v>1110</v>
      </c>
      <c r="C4516" s="1"/>
      <c r="D4516" s="1"/>
      <c r="E4516" s="1"/>
      <c r="F4516" s="1"/>
      <c r="G4516" s="1"/>
      <c r="H4516" s="1" t="str">
        <f>"7804640560763"</f>
        <v>7804640560763</v>
      </c>
      <c r="I4516" s="3">
        <v>0</v>
      </c>
      <c r="J4516" s="3">
        <v>0</v>
      </c>
      <c r="K4516" s="3">
        <v>2500</v>
      </c>
    </row>
    <row r="4517" spans="1:11" x14ac:dyDescent="0.2">
      <c r="A4517" s="1" t="s">
        <v>16</v>
      </c>
      <c r="B4517" s="1" t="s">
        <v>1138</v>
      </c>
      <c r="C4517" s="1"/>
      <c r="D4517" s="1"/>
      <c r="E4517" s="1"/>
      <c r="F4517" s="1"/>
      <c r="G4517" s="1"/>
      <c r="H4517" s="1" t="str">
        <f>"7800038042200"</f>
        <v>7800038042200</v>
      </c>
      <c r="I4517" s="3">
        <v>110</v>
      </c>
      <c r="J4517" s="3">
        <v>0</v>
      </c>
      <c r="K4517" s="3">
        <v>7500</v>
      </c>
    </row>
    <row r="4518" spans="1:11" x14ac:dyDescent="0.2">
      <c r="A4518" s="1" t="s">
        <v>16</v>
      </c>
      <c r="B4518" s="1" t="s">
        <v>1245</v>
      </c>
      <c r="C4518" s="1"/>
      <c r="D4518" s="1"/>
      <c r="E4518" s="1"/>
      <c r="F4518" s="1"/>
      <c r="G4518" s="1"/>
      <c r="H4518" s="1" t="str">
        <f>"7800007479297"</f>
        <v>7800007479297</v>
      </c>
      <c r="I4518" s="3">
        <v>28</v>
      </c>
      <c r="J4518" s="3">
        <v>0</v>
      </c>
      <c r="K4518" s="3">
        <v>12000</v>
      </c>
    </row>
    <row r="4519" spans="1:11" x14ac:dyDescent="0.2">
      <c r="A4519" s="1" t="s">
        <v>16</v>
      </c>
      <c r="B4519" s="1" t="s">
        <v>1255</v>
      </c>
      <c r="C4519" s="1"/>
      <c r="D4519" s="1"/>
      <c r="E4519" s="1"/>
      <c r="F4519" s="1"/>
      <c r="G4519" s="1"/>
      <c r="H4519" s="1" t="str">
        <f>"7800063130125"</f>
        <v>7800063130125</v>
      </c>
      <c r="I4519" s="3">
        <v>35</v>
      </c>
      <c r="J4519" s="3">
        <v>0</v>
      </c>
      <c r="K4519" s="3">
        <v>2000</v>
      </c>
    </row>
    <row r="4520" spans="1:11" x14ac:dyDescent="0.2">
      <c r="A4520" s="1" t="s">
        <v>16</v>
      </c>
      <c r="B4520" s="1" t="s">
        <v>1292</v>
      </c>
      <c r="C4520" s="1"/>
      <c r="D4520" s="1"/>
      <c r="E4520" s="1"/>
      <c r="F4520" s="1"/>
      <c r="G4520" s="1"/>
      <c r="H4520" s="1" t="str">
        <f>"1469852316131"</f>
        <v>1469852316131</v>
      </c>
      <c r="I4520" s="3">
        <v>19</v>
      </c>
      <c r="J4520" s="3">
        <v>0</v>
      </c>
      <c r="K4520" s="3">
        <v>4500</v>
      </c>
    </row>
    <row r="4521" spans="1:11" x14ac:dyDescent="0.2">
      <c r="A4521" s="1" t="s">
        <v>16</v>
      </c>
      <c r="B4521" s="1" t="s">
        <v>1440</v>
      </c>
      <c r="C4521" s="1"/>
      <c r="D4521" s="1"/>
      <c r="E4521" s="1"/>
      <c r="F4521" s="1"/>
      <c r="G4521" s="1"/>
      <c r="H4521" s="1" t="str">
        <f>"1469852316148"</f>
        <v>1469852316148</v>
      </c>
      <c r="I4521" s="3">
        <v>7</v>
      </c>
      <c r="J4521" s="3">
        <v>0</v>
      </c>
      <c r="K4521" s="3">
        <v>5000</v>
      </c>
    </row>
    <row r="4522" spans="1:11" x14ac:dyDescent="0.2">
      <c r="A4522" s="1" t="s">
        <v>16</v>
      </c>
      <c r="B4522" s="1" t="s">
        <v>1467</v>
      </c>
      <c r="C4522" s="1"/>
      <c r="D4522" s="1"/>
      <c r="E4522" s="1"/>
      <c r="F4522" s="1"/>
      <c r="G4522" s="1"/>
      <c r="H4522" s="1" t="str">
        <f>"7804620834884"</f>
        <v>7804620834884</v>
      </c>
      <c r="I4522" s="3">
        <v>29</v>
      </c>
      <c r="J4522" s="3">
        <v>0</v>
      </c>
      <c r="K4522" s="3">
        <v>2500</v>
      </c>
    </row>
    <row r="4523" spans="1:11" x14ac:dyDescent="0.2">
      <c r="A4523" s="1" t="s">
        <v>16</v>
      </c>
      <c r="B4523" s="1" t="s">
        <v>1468</v>
      </c>
      <c r="C4523" s="1"/>
      <c r="D4523" s="1"/>
      <c r="E4523" s="1"/>
      <c r="F4523" s="1"/>
      <c r="G4523" s="1"/>
      <c r="H4523" s="1" t="str">
        <f>"7804614931216"</f>
        <v>7804614931216</v>
      </c>
      <c r="I4523" s="3">
        <v>0</v>
      </c>
      <c r="J4523" s="3">
        <v>0</v>
      </c>
      <c r="K4523" s="3">
        <v>2500</v>
      </c>
    </row>
    <row r="4524" spans="1:11" x14ac:dyDescent="0.2">
      <c r="A4524" s="1" t="s">
        <v>16</v>
      </c>
      <c r="B4524" s="1" t="s">
        <v>1505</v>
      </c>
      <c r="C4524" s="1"/>
      <c r="D4524" s="1"/>
      <c r="E4524" s="1"/>
      <c r="F4524" s="1"/>
      <c r="G4524" s="1"/>
      <c r="H4524" s="1" t="str">
        <f>"7800060007642"</f>
        <v>7800060007642</v>
      </c>
      <c r="I4524" s="3">
        <v>23</v>
      </c>
      <c r="J4524" s="3">
        <v>0</v>
      </c>
      <c r="K4524" s="3">
        <v>11000</v>
      </c>
    </row>
    <row r="4525" spans="1:11" x14ac:dyDescent="0.2">
      <c r="A4525" s="1" t="s">
        <v>16</v>
      </c>
      <c r="B4525" s="1" t="s">
        <v>1880</v>
      </c>
      <c r="C4525" s="1"/>
      <c r="D4525" s="1"/>
      <c r="E4525" s="1"/>
      <c r="F4525" s="1"/>
      <c r="G4525" s="1"/>
      <c r="H4525" s="1" t="str">
        <f>"7800063330341"</f>
        <v>7800063330341</v>
      </c>
      <c r="I4525" s="3">
        <v>22</v>
      </c>
      <c r="J4525" s="3">
        <v>0</v>
      </c>
      <c r="K4525" s="3">
        <v>5000</v>
      </c>
    </row>
    <row r="4526" spans="1:11" x14ac:dyDescent="0.2">
      <c r="A4526" s="1" t="s">
        <v>16</v>
      </c>
      <c r="B4526" s="1" t="s">
        <v>1936</v>
      </c>
      <c r="C4526" s="1"/>
      <c r="D4526" s="1"/>
      <c r="E4526" s="1"/>
      <c r="F4526" s="1"/>
      <c r="G4526" s="1"/>
      <c r="H4526" s="1" t="str">
        <f>"7804918400357"</f>
        <v>7804918400357</v>
      </c>
      <c r="I4526" s="3">
        <v>15</v>
      </c>
      <c r="J4526" s="3">
        <v>0</v>
      </c>
      <c r="K4526" s="3">
        <v>2500</v>
      </c>
    </row>
    <row r="4527" spans="1:11" x14ac:dyDescent="0.2">
      <c r="A4527" s="1" t="s">
        <v>16</v>
      </c>
      <c r="B4527" s="1" t="s">
        <v>1937</v>
      </c>
      <c r="C4527" s="1"/>
      <c r="D4527" s="1"/>
      <c r="E4527" s="1"/>
      <c r="F4527" s="1"/>
      <c r="G4527" s="1"/>
      <c r="H4527" s="1" t="str">
        <f>"1469852312225"</f>
        <v>1469852312225</v>
      </c>
      <c r="I4527" s="3">
        <v>18</v>
      </c>
      <c r="J4527" s="3">
        <v>0</v>
      </c>
      <c r="K4527" s="3">
        <v>4500</v>
      </c>
    </row>
    <row r="4528" spans="1:11" x14ac:dyDescent="0.2">
      <c r="A4528" s="1" t="s">
        <v>16</v>
      </c>
      <c r="B4528" s="1" t="s">
        <v>1951</v>
      </c>
      <c r="C4528" s="1"/>
      <c r="D4528" s="1"/>
      <c r="E4528" s="1"/>
      <c r="F4528" s="1"/>
      <c r="G4528" s="1"/>
      <c r="H4528" s="1" t="str">
        <f>"7800050002930"</f>
        <v>7800050002930</v>
      </c>
      <c r="I4528" s="3">
        <v>0</v>
      </c>
      <c r="J4528" s="3">
        <v>0</v>
      </c>
      <c r="K4528" s="3">
        <v>3000</v>
      </c>
    </row>
    <row r="4529" spans="1:11" x14ac:dyDescent="0.2">
      <c r="A4529" s="1" t="s">
        <v>16</v>
      </c>
      <c r="B4529" s="1" t="s">
        <v>1953</v>
      </c>
      <c r="C4529" s="1"/>
      <c r="D4529" s="1"/>
      <c r="E4529" s="1"/>
      <c r="F4529" s="1"/>
      <c r="G4529" s="1"/>
      <c r="H4529" s="1" t="str">
        <f>"7804640561951"</f>
        <v>7804640561951</v>
      </c>
      <c r="I4529" s="3">
        <v>2</v>
      </c>
      <c r="J4529" s="3">
        <v>0</v>
      </c>
      <c r="K4529" s="3">
        <v>4000</v>
      </c>
    </row>
    <row r="4530" spans="1:11" x14ac:dyDescent="0.2">
      <c r="A4530" s="1" t="s">
        <v>16</v>
      </c>
      <c r="B4530" s="1" t="s">
        <v>1965</v>
      </c>
      <c r="C4530" s="1"/>
      <c r="D4530" s="1"/>
      <c r="E4530" s="1"/>
      <c r="F4530" s="1"/>
      <c r="G4530" s="1"/>
      <c r="H4530" s="1" t="str">
        <f>"7804614931247"</f>
        <v>7804614931247</v>
      </c>
      <c r="I4530" s="3">
        <v>47</v>
      </c>
      <c r="J4530" s="3">
        <v>0</v>
      </c>
      <c r="K4530" s="3">
        <v>3000</v>
      </c>
    </row>
    <row r="4531" spans="1:11" x14ac:dyDescent="0.2">
      <c r="A4531" s="1" t="s">
        <v>16</v>
      </c>
      <c r="B4531" s="1" t="s">
        <v>1969</v>
      </c>
      <c r="C4531" s="1"/>
      <c r="D4531" s="1"/>
      <c r="E4531" s="1"/>
      <c r="F4531" s="1"/>
      <c r="G4531" s="1"/>
      <c r="H4531" s="1" t="str">
        <f>"7800046004658"</f>
        <v>7800046004658</v>
      </c>
      <c r="I4531" s="3">
        <v>21</v>
      </c>
      <c r="J4531" s="3">
        <v>0</v>
      </c>
      <c r="K4531" s="3">
        <v>5500</v>
      </c>
    </row>
    <row r="4532" spans="1:11" x14ac:dyDescent="0.2">
      <c r="A4532" s="1" t="s">
        <v>16</v>
      </c>
      <c r="B4532" s="1" t="s">
        <v>1978</v>
      </c>
      <c r="C4532" s="1"/>
      <c r="D4532" s="1"/>
      <c r="E4532" s="1"/>
      <c r="F4532" s="1"/>
      <c r="G4532" s="1"/>
      <c r="H4532" s="1" t="str">
        <f>"7800068014703"</f>
        <v>7800068014703</v>
      </c>
      <c r="I4532" s="3">
        <v>21</v>
      </c>
      <c r="J4532" s="3">
        <v>0</v>
      </c>
      <c r="K4532" s="3">
        <v>4000</v>
      </c>
    </row>
    <row r="4533" spans="1:11" x14ac:dyDescent="0.2">
      <c r="A4533" s="1" t="s">
        <v>16</v>
      </c>
      <c r="B4533" s="1" t="s">
        <v>2045</v>
      </c>
      <c r="C4533" s="1"/>
      <c r="D4533" s="1"/>
      <c r="E4533" s="1"/>
      <c r="F4533" s="1"/>
      <c r="G4533" s="1"/>
      <c r="H4533" s="1" t="str">
        <f>"7804629440338"</f>
        <v>7804629440338</v>
      </c>
      <c r="I4533" s="3">
        <v>273</v>
      </c>
      <c r="J4533" s="3">
        <v>0</v>
      </c>
      <c r="K4533" s="3">
        <v>4000</v>
      </c>
    </row>
    <row r="4534" spans="1:11" x14ac:dyDescent="0.2">
      <c r="A4534" s="1" t="s">
        <v>16</v>
      </c>
      <c r="B4534" s="1" t="s">
        <v>2130</v>
      </c>
      <c r="C4534" s="1"/>
      <c r="D4534" s="1"/>
      <c r="E4534" s="1"/>
      <c r="F4534" s="1"/>
      <c r="G4534" s="1"/>
      <c r="H4534" s="1" t="str">
        <f>"7800004003884"</f>
        <v>7800004003884</v>
      </c>
      <c r="I4534" s="3">
        <v>8</v>
      </c>
      <c r="J4534" s="3">
        <v>0</v>
      </c>
      <c r="K4534" s="3">
        <v>5500</v>
      </c>
    </row>
    <row r="4535" spans="1:11" x14ac:dyDescent="0.2">
      <c r="A4535" s="1" t="s">
        <v>16</v>
      </c>
      <c r="B4535" s="1" t="s">
        <v>2138</v>
      </c>
      <c r="C4535" s="1"/>
      <c r="D4535" s="1"/>
      <c r="E4535" s="1"/>
      <c r="F4535" s="1"/>
      <c r="G4535" s="1"/>
      <c r="H4535" s="1" t="str">
        <f>"7805010005082"</f>
        <v>7805010005082</v>
      </c>
      <c r="I4535" s="3">
        <v>31</v>
      </c>
      <c r="J4535" s="3">
        <v>0</v>
      </c>
      <c r="K4535" s="3">
        <v>13000</v>
      </c>
    </row>
    <row r="4536" spans="1:11" x14ac:dyDescent="0.2">
      <c r="A4536" s="1" t="s">
        <v>16</v>
      </c>
      <c r="B4536" s="1" t="s">
        <v>2172</v>
      </c>
      <c r="C4536" s="1"/>
      <c r="D4536" s="1"/>
      <c r="E4536" s="1"/>
      <c r="F4536" s="1"/>
      <c r="G4536" s="1"/>
      <c r="H4536" s="1" t="str">
        <f>"7800063000770"</f>
        <v>7800063000770</v>
      </c>
      <c r="I4536" s="3">
        <v>13</v>
      </c>
      <c r="J4536" s="3">
        <v>0</v>
      </c>
      <c r="K4536" s="3">
        <v>4000</v>
      </c>
    </row>
    <row r="4537" spans="1:11" x14ac:dyDescent="0.2">
      <c r="A4537" s="1" t="s">
        <v>16</v>
      </c>
      <c r="B4537" s="1" t="s">
        <v>2183</v>
      </c>
      <c r="C4537" s="1"/>
      <c r="D4537" s="1"/>
      <c r="E4537" s="1"/>
      <c r="F4537" s="1"/>
      <c r="G4537" s="1"/>
      <c r="H4537" s="1" t="str">
        <f>"7800050002794"</f>
        <v>7800050002794</v>
      </c>
      <c r="I4537" s="3">
        <v>20</v>
      </c>
      <c r="J4537" s="3">
        <v>0</v>
      </c>
      <c r="K4537" s="3">
        <v>4000</v>
      </c>
    </row>
    <row r="4538" spans="1:11" x14ac:dyDescent="0.2">
      <c r="A4538" s="1" t="s">
        <v>16</v>
      </c>
      <c r="B4538" s="1" t="s">
        <v>2425</v>
      </c>
      <c r="C4538" s="1"/>
      <c r="D4538" s="1"/>
      <c r="E4538" s="1"/>
      <c r="F4538" s="1"/>
      <c r="G4538" s="1"/>
      <c r="H4538" s="1" t="str">
        <f>"7804640560367"</f>
        <v>7804640560367</v>
      </c>
      <c r="I4538" s="3">
        <v>0</v>
      </c>
      <c r="J4538" s="3">
        <v>0</v>
      </c>
      <c r="K4538" s="3">
        <v>2000</v>
      </c>
    </row>
    <row r="4539" spans="1:11" x14ac:dyDescent="0.2">
      <c r="A4539" s="1" t="s">
        <v>16</v>
      </c>
      <c r="B4539" s="1" t="s">
        <v>2428</v>
      </c>
      <c r="C4539" s="1"/>
      <c r="D4539" s="1"/>
      <c r="E4539" s="1"/>
      <c r="F4539" s="1"/>
      <c r="G4539" s="1"/>
      <c r="H4539" s="1" t="str">
        <f>"7804633500677"</f>
        <v>7804633500677</v>
      </c>
      <c r="I4539" s="3">
        <v>2</v>
      </c>
      <c r="J4539" s="3">
        <v>0</v>
      </c>
      <c r="K4539" s="3">
        <v>1500</v>
      </c>
    </row>
    <row r="4540" spans="1:11" x14ac:dyDescent="0.2">
      <c r="A4540" s="1" t="s">
        <v>16</v>
      </c>
      <c r="B4540" s="1" t="s">
        <v>2431</v>
      </c>
      <c r="C4540" s="1"/>
      <c r="D4540" s="1"/>
      <c r="E4540" s="1"/>
      <c r="F4540" s="1"/>
      <c r="G4540" s="1"/>
      <c r="H4540" s="1" t="str">
        <f>"7804620833498"</f>
        <v>7804620833498</v>
      </c>
      <c r="I4540" s="3">
        <v>30</v>
      </c>
      <c r="J4540" s="3">
        <v>0</v>
      </c>
      <c r="K4540" s="3">
        <v>2000</v>
      </c>
    </row>
    <row r="4541" spans="1:11" x14ac:dyDescent="0.2">
      <c r="A4541" s="1" t="s">
        <v>16</v>
      </c>
      <c r="B4541" s="1" t="s">
        <v>2441</v>
      </c>
      <c r="C4541" s="1"/>
      <c r="D4541" s="1"/>
      <c r="E4541" s="1"/>
      <c r="F4541" s="1"/>
      <c r="G4541" s="1"/>
      <c r="H4541" s="1" t="str">
        <f>"7800060009318"</f>
        <v>7800060009318</v>
      </c>
      <c r="I4541" s="3">
        <v>15</v>
      </c>
      <c r="J4541" s="3">
        <v>0</v>
      </c>
      <c r="K4541" s="3">
        <v>12000</v>
      </c>
    </row>
    <row r="4542" spans="1:11" x14ac:dyDescent="0.2">
      <c r="A4542" s="1" t="s">
        <v>16</v>
      </c>
      <c r="B4542" s="1" t="s">
        <v>2474</v>
      </c>
      <c r="C4542" s="1"/>
      <c r="D4542" s="1"/>
      <c r="E4542" s="1"/>
      <c r="F4542" s="1"/>
      <c r="G4542" s="1"/>
      <c r="H4542" s="1" t="str">
        <f>"7804918403570"</f>
        <v>7804918403570</v>
      </c>
      <c r="I4542" s="3">
        <v>5</v>
      </c>
      <c r="J4542" s="3">
        <v>0</v>
      </c>
      <c r="K4542" s="3">
        <v>7140</v>
      </c>
    </row>
    <row r="4543" spans="1:11" x14ac:dyDescent="0.2">
      <c r="A4543" s="1" t="s">
        <v>16</v>
      </c>
      <c r="B4543" s="1" t="s">
        <v>2477</v>
      </c>
      <c r="C4543" s="1"/>
      <c r="D4543" s="1"/>
      <c r="E4543" s="1"/>
      <c r="F4543" s="1"/>
      <c r="G4543" s="1"/>
      <c r="H4543" s="1" t="str">
        <f>"7804918500835"</f>
        <v>7804918500835</v>
      </c>
      <c r="I4543" s="3">
        <v>0</v>
      </c>
      <c r="J4543" s="3">
        <v>0</v>
      </c>
      <c r="K4543" s="3">
        <v>5500</v>
      </c>
    </row>
    <row r="4544" spans="1:11" x14ac:dyDescent="0.2">
      <c r="A4544" s="1" t="s">
        <v>16</v>
      </c>
      <c r="B4544" s="1" t="s">
        <v>2499</v>
      </c>
      <c r="C4544" s="1"/>
      <c r="D4544" s="1"/>
      <c r="E4544" s="1"/>
      <c r="F4544" s="1"/>
      <c r="G4544" s="1"/>
      <c r="H4544" s="1" t="str">
        <f>"7800060119086"</f>
        <v>7800060119086</v>
      </c>
      <c r="I4544" s="3">
        <v>14</v>
      </c>
      <c r="J4544" s="3">
        <v>0</v>
      </c>
      <c r="K4544" s="3">
        <v>13000</v>
      </c>
    </row>
    <row r="4545" spans="1:11" x14ac:dyDescent="0.2">
      <c r="A4545" s="1" t="s">
        <v>16</v>
      </c>
      <c r="B4545" s="1" t="s">
        <v>2605</v>
      </c>
      <c r="C4545" s="1"/>
      <c r="D4545" s="1"/>
      <c r="E4545" s="1"/>
      <c r="F4545" s="1"/>
      <c r="G4545" s="1"/>
      <c r="H4545" s="1" t="str">
        <f>"1469852316216"</f>
        <v>1469852316216</v>
      </c>
      <c r="I4545" s="3">
        <v>13</v>
      </c>
      <c r="J4545" s="3">
        <v>0</v>
      </c>
      <c r="K4545" s="3">
        <v>5000</v>
      </c>
    </row>
    <row r="4546" spans="1:11" x14ac:dyDescent="0.2">
      <c r="A4546" s="1" t="s">
        <v>16</v>
      </c>
      <c r="B4546" s="1" t="s">
        <v>2690</v>
      </c>
      <c r="C4546" s="1"/>
      <c r="D4546" s="1"/>
      <c r="E4546" s="1"/>
      <c r="F4546" s="1"/>
      <c r="G4546" s="1"/>
      <c r="H4546" s="1" t="str">
        <f>"7804620834754"</f>
        <v>7804620834754</v>
      </c>
      <c r="I4546" s="3">
        <v>9</v>
      </c>
      <c r="J4546" s="3">
        <v>0</v>
      </c>
      <c r="K4546" s="3">
        <v>3500</v>
      </c>
    </row>
    <row r="4547" spans="1:11" x14ac:dyDescent="0.2">
      <c r="A4547" s="1" t="s">
        <v>16</v>
      </c>
      <c r="B4547" s="1" t="s">
        <v>2692</v>
      </c>
      <c r="C4547" s="1"/>
      <c r="D4547" s="1"/>
      <c r="E4547" s="1"/>
      <c r="F4547" s="1"/>
      <c r="G4547" s="1"/>
      <c r="H4547" s="1" t="str">
        <f>"7798021298294"</f>
        <v>7798021298294</v>
      </c>
      <c r="I4547" s="3">
        <v>27</v>
      </c>
      <c r="J4547" s="3">
        <v>0</v>
      </c>
      <c r="K4547" s="3">
        <v>3500</v>
      </c>
    </row>
    <row r="4548" spans="1:11" x14ac:dyDescent="0.2">
      <c r="A4548" s="1" t="s">
        <v>16</v>
      </c>
      <c r="B4548" s="1" t="s">
        <v>2737</v>
      </c>
      <c r="C4548" s="1"/>
      <c r="D4548" s="1"/>
      <c r="E4548" s="1"/>
      <c r="F4548" s="1"/>
      <c r="G4548" s="1"/>
      <c r="H4548" s="1" t="str">
        <f>"7800007695314"</f>
        <v>7800007695314</v>
      </c>
      <c r="I4548" s="3">
        <v>12</v>
      </c>
      <c r="J4548" s="3">
        <v>0</v>
      </c>
      <c r="K4548" s="3">
        <v>2000</v>
      </c>
    </row>
    <row r="4549" spans="1:11" x14ac:dyDescent="0.2">
      <c r="A4549" s="1" t="s">
        <v>16</v>
      </c>
      <c r="B4549" s="1" t="s">
        <v>2738</v>
      </c>
      <c r="C4549" s="1"/>
      <c r="D4549" s="1"/>
      <c r="E4549" s="1"/>
      <c r="F4549" s="1"/>
      <c r="G4549" s="1"/>
      <c r="H4549" s="1" t="str">
        <f>"7800007138545"</f>
        <v>7800007138545</v>
      </c>
      <c r="I4549" s="3">
        <v>7</v>
      </c>
      <c r="J4549" s="3">
        <v>0</v>
      </c>
      <c r="K4549" s="3">
        <v>7000</v>
      </c>
    </row>
    <row r="4550" spans="1:11" x14ac:dyDescent="0.2">
      <c r="A4550" s="1" t="s">
        <v>16</v>
      </c>
      <c r="B4550" s="1" t="s">
        <v>2784</v>
      </c>
      <c r="C4550" s="1"/>
      <c r="D4550" s="1"/>
      <c r="E4550" s="1"/>
      <c r="F4550" s="1"/>
      <c r="G4550" s="1"/>
      <c r="H4550" s="1" t="str">
        <f>"8901790720180"</f>
        <v>8901790720180</v>
      </c>
      <c r="I4550" s="3">
        <v>0</v>
      </c>
      <c r="J4550" s="3">
        <v>0</v>
      </c>
      <c r="K4550" s="3">
        <v>3000</v>
      </c>
    </row>
    <row r="4551" spans="1:11" x14ac:dyDescent="0.2">
      <c r="A4551" s="1" t="s">
        <v>16</v>
      </c>
      <c r="B4551" s="1" t="s">
        <v>2791</v>
      </c>
      <c r="C4551" s="1"/>
      <c r="D4551" s="1"/>
      <c r="E4551" s="1"/>
      <c r="F4551" s="1"/>
      <c r="G4551" s="1"/>
      <c r="H4551" s="1" t="str">
        <f>"7804918500842"</f>
        <v>7804918500842</v>
      </c>
      <c r="I4551" s="3">
        <v>5</v>
      </c>
      <c r="J4551" s="3">
        <v>0</v>
      </c>
      <c r="K4551" s="3">
        <v>10000</v>
      </c>
    </row>
    <row r="4552" spans="1:11" x14ac:dyDescent="0.2">
      <c r="A4552" s="1" t="s">
        <v>16</v>
      </c>
      <c r="B4552" s="1" t="s">
        <v>2869</v>
      </c>
      <c r="C4552" s="1"/>
      <c r="D4552" s="1"/>
      <c r="E4552" s="1"/>
      <c r="F4552" s="1"/>
      <c r="G4552" s="1"/>
      <c r="H4552" s="1" t="str">
        <f>"7800063130699"</f>
        <v>7800063130699</v>
      </c>
      <c r="I4552" s="3">
        <v>10</v>
      </c>
      <c r="J4552" s="3">
        <v>0</v>
      </c>
      <c r="K4552" s="3">
        <v>1500</v>
      </c>
    </row>
    <row r="4553" spans="1:11" x14ac:dyDescent="0.2">
      <c r="A4553" s="1" t="s">
        <v>16</v>
      </c>
      <c r="B4553" s="1" t="s">
        <v>2913</v>
      </c>
      <c r="C4553" s="1"/>
      <c r="D4553" s="1"/>
      <c r="E4553" s="1"/>
      <c r="F4553" s="1"/>
      <c r="G4553" s="1"/>
      <c r="H4553" s="1" t="str">
        <f>"7861073971085"</f>
        <v>7861073971085</v>
      </c>
      <c r="I4553" s="3">
        <v>5</v>
      </c>
      <c r="J4553" s="3">
        <v>0</v>
      </c>
      <c r="K4553" s="3">
        <v>21000</v>
      </c>
    </row>
    <row r="4554" spans="1:11" x14ac:dyDescent="0.2">
      <c r="A4554" s="1" t="s">
        <v>16</v>
      </c>
      <c r="B4554" s="1" t="s">
        <v>2990</v>
      </c>
      <c r="C4554" s="1"/>
      <c r="D4554" s="1"/>
      <c r="E4554" s="1"/>
      <c r="F4554" s="1"/>
      <c r="G4554" s="1"/>
      <c r="H4554" s="1" t="str">
        <f>"7800086795202"</f>
        <v>7800086795202</v>
      </c>
      <c r="I4554" s="3">
        <v>0</v>
      </c>
      <c r="J4554" s="3">
        <v>0</v>
      </c>
      <c r="K4554" s="3">
        <v>5000</v>
      </c>
    </row>
    <row r="4555" spans="1:11" x14ac:dyDescent="0.2">
      <c r="A4555" s="1" t="s">
        <v>16</v>
      </c>
      <c r="B4555" s="1" t="s">
        <v>3083</v>
      </c>
      <c r="C4555" s="1"/>
      <c r="D4555" s="1"/>
      <c r="E4555" s="1"/>
      <c r="F4555" s="1"/>
      <c r="G4555" s="1"/>
      <c r="H4555" s="1" t="str">
        <f>"7800063130163"</f>
        <v>7800063130163</v>
      </c>
      <c r="I4555" s="3">
        <v>5</v>
      </c>
      <c r="J4555" s="3">
        <v>0</v>
      </c>
      <c r="K4555" s="3">
        <v>3000</v>
      </c>
    </row>
    <row r="4556" spans="1:11" x14ac:dyDescent="0.2">
      <c r="A4556" s="1" t="s">
        <v>16</v>
      </c>
      <c r="B4556" s="1" t="s">
        <v>3104</v>
      </c>
      <c r="C4556" s="1"/>
      <c r="D4556" s="1"/>
      <c r="E4556" s="1"/>
      <c r="F4556" s="1"/>
      <c r="G4556" s="1"/>
      <c r="H4556" s="1" t="str">
        <f>"7804918452615"</f>
        <v>7804918452615</v>
      </c>
      <c r="I4556" s="3">
        <v>17</v>
      </c>
      <c r="J4556" s="3">
        <v>0</v>
      </c>
      <c r="K4556" s="3">
        <v>3500</v>
      </c>
    </row>
    <row r="4557" spans="1:11" x14ac:dyDescent="0.2">
      <c r="A4557" s="1" t="s">
        <v>16</v>
      </c>
      <c r="B4557" s="1" t="s">
        <v>3150</v>
      </c>
      <c r="C4557" s="1"/>
      <c r="D4557" s="1"/>
      <c r="E4557" s="1"/>
      <c r="F4557" s="1"/>
      <c r="G4557" s="1"/>
      <c r="H4557" s="1" t="str">
        <f>"7800004303434"</f>
        <v>7800004303434</v>
      </c>
      <c r="I4557" s="3">
        <v>166</v>
      </c>
      <c r="J4557" s="3">
        <v>0</v>
      </c>
      <c r="K4557" s="3">
        <v>10000</v>
      </c>
    </row>
    <row r="4558" spans="1:11" x14ac:dyDescent="0.2">
      <c r="A4558" s="1" t="s">
        <v>16</v>
      </c>
      <c r="B4558" s="1" t="s">
        <v>3175</v>
      </c>
      <c r="C4558" s="1"/>
      <c r="D4558" s="1"/>
      <c r="E4558" s="1"/>
      <c r="F4558" s="1"/>
      <c r="G4558" s="1"/>
      <c r="H4558" s="1" t="str">
        <f>"7800060009684"</f>
        <v>7800060009684</v>
      </c>
      <c r="I4558" s="3">
        <v>7</v>
      </c>
      <c r="J4558" s="3">
        <v>0</v>
      </c>
      <c r="K4558" s="3">
        <v>4000</v>
      </c>
    </row>
    <row r="4559" spans="1:11" x14ac:dyDescent="0.2">
      <c r="A4559" s="1" t="s">
        <v>16</v>
      </c>
      <c r="B4559" s="1" t="s">
        <v>3204</v>
      </c>
      <c r="C4559" s="1"/>
      <c r="D4559" s="1"/>
      <c r="E4559" s="1"/>
      <c r="F4559" s="1"/>
      <c r="G4559" s="1"/>
      <c r="H4559" s="1" t="str">
        <f>"7800028310661"</f>
        <v>7800028310661</v>
      </c>
      <c r="I4559" s="3">
        <v>6</v>
      </c>
      <c r="J4559" s="3">
        <v>0</v>
      </c>
      <c r="K4559" s="3">
        <v>10000</v>
      </c>
    </row>
    <row r="4560" spans="1:11" x14ac:dyDescent="0.2">
      <c r="A4560" s="1" t="s">
        <v>16</v>
      </c>
      <c r="B4560" s="1" t="s">
        <v>3225</v>
      </c>
      <c r="C4560" s="1"/>
      <c r="D4560" s="1"/>
      <c r="E4560" s="1"/>
      <c r="F4560" s="1"/>
      <c r="G4560" s="1"/>
      <c r="H4560" s="1" t="str">
        <f>"7800063000800"</f>
        <v>7800063000800</v>
      </c>
      <c r="I4560" s="3">
        <v>21</v>
      </c>
      <c r="J4560" s="3">
        <v>0</v>
      </c>
      <c r="K4560" s="3">
        <v>4000</v>
      </c>
    </row>
    <row r="4561" spans="1:11" x14ac:dyDescent="0.2">
      <c r="A4561" s="1" t="s">
        <v>16</v>
      </c>
      <c r="B4561" s="1" t="s">
        <v>3229</v>
      </c>
      <c r="C4561" s="1"/>
      <c r="D4561" s="1"/>
      <c r="E4561" s="1"/>
      <c r="F4561" s="1"/>
      <c r="G4561" s="1"/>
      <c r="H4561" s="1" t="str">
        <f>"7800023226707"</f>
        <v>7800023226707</v>
      </c>
      <c r="I4561" s="3">
        <v>3</v>
      </c>
      <c r="J4561" s="3">
        <v>0</v>
      </c>
      <c r="K4561" s="3">
        <v>8000</v>
      </c>
    </row>
    <row r="4562" spans="1:11" x14ac:dyDescent="0.2">
      <c r="A4562" s="1" t="s">
        <v>16</v>
      </c>
      <c r="B4562" s="1" t="s">
        <v>3370</v>
      </c>
      <c r="C4562" s="1"/>
      <c r="D4562" s="1"/>
      <c r="E4562" s="1"/>
      <c r="F4562" s="1"/>
      <c r="G4562" s="1"/>
      <c r="H4562" s="1" t="str">
        <f>"7800063130033"</f>
        <v>7800063130033</v>
      </c>
      <c r="I4562" s="3">
        <v>0</v>
      </c>
      <c r="J4562" s="3">
        <v>0</v>
      </c>
      <c r="K4562" s="3">
        <v>1500</v>
      </c>
    </row>
    <row r="4563" spans="1:11" x14ac:dyDescent="0.2">
      <c r="A4563" s="1" t="s">
        <v>16</v>
      </c>
      <c r="B4563" s="1" t="s">
        <v>3496</v>
      </c>
      <c r="C4563" s="1"/>
      <c r="D4563" s="1"/>
      <c r="E4563" s="1"/>
      <c r="F4563" s="1"/>
      <c r="G4563" s="1"/>
      <c r="H4563" s="1" t="str">
        <f>"7800007695239"</f>
        <v>7800007695239</v>
      </c>
      <c r="I4563" s="3">
        <v>26</v>
      </c>
      <c r="J4563" s="3">
        <v>0</v>
      </c>
      <c r="K4563" s="3">
        <v>2000</v>
      </c>
    </row>
    <row r="4564" spans="1:11" x14ac:dyDescent="0.2">
      <c r="A4564" s="1" t="s">
        <v>16</v>
      </c>
      <c r="B4564" s="1" t="s">
        <v>3526</v>
      </c>
      <c r="C4564" s="1"/>
      <c r="D4564" s="1"/>
      <c r="E4564" s="1"/>
      <c r="F4564" s="1"/>
      <c r="G4564" s="1"/>
      <c r="H4564" s="1" t="str">
        <f>"7803504404106"</f>
        <v>7803504404106</v>
      </c>
      <c r="I4564" s="3">
        <v>45</v>
      </c>
      <c r="J4564" s="3">
        <v>0</v>
      </c>
      <c r="K4564" s="3">
        <v>2000</v>
      </c>
    </row>
    <row r="4565" spans="1:11" x14ac:dyDescent="0.2">
      <c r="A4565" s="1" t="s">
        <v>16</v>
      </c>
      <c r="B4565" s="1" t="s">
        <v>3527</v>
      </c>
      <c r="C4565" s="1"/>
      <c r="D4565" s="1"/>
      <c r="E4565" s="1"/>
      <c r="F4565" s="1"/>
      <c r="G4565" s="1"/>
      <c r="H4565" s="1" t="str">
        <f>"7803504404113"</f>
        <v>7803504404113</v>
      </c>
      <c r="I4565" s="3">
        <v>60</v>
      </c>
      <c r="J4565" s="3">
        <v>0</v>
      </c>
      <c r="K4565" s="3">
        <v>1500</v>
      </c>
    </row>
    <row r="4566" spans="1:11" x14ac:dyDescent="0.2">
      <c r="A4566" s="1" t="s">
        <v>16</v>
      </c>
      <c r="B4566" s="1" t="s">
        <v>3533</v>
      </c>
      <c r="C4566" s="1"/>
      <c r="D4566" s="1"/>
      <c r="E4566" s="1"/>
      <c r="F4566" s="1"/>
      <c r="G4566" s="1"/>
      <c r="H4566" s="1" t="str">
        <f>"7804900000367"</f>
        <v>7804900000367</v>
      </c>
      <c r="I4566" s="3">
        <v>15</v>
      </c>
      <c r="J4566" s="3">
        <v>0</v>
      </c>
      <c r="K4566" s="3">
        <v>5500</v>
      </c>
    </row>
    <row r="4567" spans="1:11" x14ac:dyDescent="0.2">
      <c r="A4567" s="1" t="s">
        <v>16</v>
      </c>
      <c r="B4567" s="1" t="s">
        <v>3607</v>
      </c>
      <c r="C4567" s="1"/>
      <c r="D4567" s="1"/>
      <c r="E4567" s="1"/>
      <c r="F4567" s="1"/>
      <c r="G4567" s="1"/>
      <c r="H4567" s="1" t="str">
        <f>"7803504001237"</f>
        <v>7803504001237</v>
      </c>
      <c r="I4567" s="3">
        <v>14</v>
      </c>
      <c r="J4567" s="3">
        <v>0</v>
      </c>
      <c r="K4567" s="3">
        <v>2000</v>
      </c>
    </row>
    <row r="4568" spans="1:11" x14ac:dyDescent="0.2">
      <c r="A4568" s="1" t="s">
        <v>16</v>
      </c>
      <c r="B4568" s="1" t="s">
        <v>3697</v>
      </c>
      <c r="C4568" s="1"/>
      <c r="D4568" s="1"/>
      <c r="E4568" s="1"/>
      <c r="F4568" s="1"/>
      <c r="G4568" s="1"/>
      <c r="H4568" s="1" t="str">
        <f>"7804614931407"</f>
        <v>7804614931407</v>
      </c>
      <c r="I4568" s="3">
        <v>6</v>
      </c>
      <c r="J4568" s="3">
        <v>0</v>
      </c>
      <c r="K4568" s="3">
        <v>3500</v>
      </c>
    </row>
    <row r="4569" spans="1:11" x14ac:dyDescent="0.2">
      <c r="A4569" s="1" t="s">
        <v>16</v>
      </c>
      <c r="B4569" s="1" t="s">
        <v>3750</v>
      </c>
      <c r="C4569" s="1"/>
      <c r="D4569" s="1"/>
      <c r="E4569" s="1"/>
      <c r="F4569" s="1"/>
      <c r="G4569" s="1"/>
      <c r="H4569" s="1" t="str">
        <f>"7804640561562"</f>
        <v>7804640561562</v>
      </c>
      <c r="I4569" s="3">
        <v>103</v>
      </c>
      <c r="J4569" s="3">
        <v>0</v>
      </c>
      <c r="K4569" s="3">
        <v>4000</v>
      </c>
    </row>
    <row r="4570" spans="1:11" x14ac:dyDescent="0.2">
      <c r="A4570" s="1" t="s">
        <v>16</v>
      </c>
      <c r="B4570" s="1" t="s">
        <v>3812</v>
      </c>
      <c r="C4570" s="1"/>
      <c r="D4570" s="1"/>
      <c r="E4570" s="1"/>
      <c r="F4570" s="1"/>
      <c r="G4570" s="1"/>
      <c r="H4570" s="1" t="str">
        <f>"7800068014192"</f>
        <v>7800068014192</v>
      </c>
      <c r="I4570" s="3">
        <v>0</v>
      </c>
      <c r="J4570" s="3">
        <v>0</v>
      </c>
      <c r="K4570" s="3">
        <v>9000</v>
      </c>
    </row>
    <row r="4571" spans="1:11" x14ac:dyDescent="0.2">
      <c r="A4571" s="1" t="s">
        <v>16</v>
      </c>
      <c r="B4571" s="1" t="s">
        <v>3817</v>
      </c>
      <c r="C4571" s="1"/>
      <c r="D4571" s="1"/>
      <c r="E4571" s="1"/>
      <c r="F4571" s="1"/>
      <c r="G4571" s="1"/>
      <c r="H4571" s="1" t="str">
        <f>"7800046005495"</f>
        <v>7800046005495</v>
      </c>
      <c r="I4571" s="3">
        <v>0</v>
      </c>
      <c r="J4571" s="3">
        <v>0</v>
      </c>
      <c r="K4571" s="3">
        <v>8500</v>
      </c>
    </row>
    <row r="4572" spans="1:11" x14ac:dyDescent="0.2">
      <c r="A4572" s="1" t="s">
        <v>16</v>
      </c>
      <c r="B4572" s="1" t="s">
        <v>3819</v>
      </c>
      <c r="C4572" s="1"/>
      <c r="D4572" s="1"/>
      <c r="E4572" s="1"/>
      <c r="F4572" s="1"/>
      <c r="G4572" s="1"/>
      <c r="H4572" s="1" t="str">
        <f>"7800068014130"</f>
        <v>7800068014130</v>
      </c>
      <c r="I4572" s="3">
        <v>23</v>
      </c>
      <c r="J4572" s="3">
        <v>0</v>
      </c>
      <c r="K4572" s="3">
        <v>6500</v>
      </c>
    </row>
    <row r="4573" spans="1:11" x14ac:dyDescent="0.2">
      <c r="A4573" s="1" t="s">
        <v>16</v>
      </c>
      <c r="B4573" s="1" t="s">
        <v>3838</v>
      </c>
      <c r="C4573" s="1"/>
      <c r="D4573" s="1"/>
      <c r="E4573" s="1"/>
      <c r="F4573" s="1"/>
      <c r="G4573" s="1"/>
      <c r="H4573" s="1" t="str">
        <f>"7803319004430"</f>
        <v>7803319004430</v>
      </c>
      <c r="I4573" s="3">
        <v>78</v>
      </c>
      <c r="J4573" s="3">
        <v>0</v>
      </c>
      <c r="K4573" s="3">
        <v>2000</v>
      </c>
    </row>
    <row r="4574" spans="1:11" x14ac:dyDescent="0.2">
      <c r="A4574" s="1" t="s">
        <v>16</v>
      </c>
      <c r="B4574" s="1" t="s">
        <v>3841</v>
      </c>
      <c r="C4574" s="1"/>
      <c r="D4574" s="1"/>
      <c r="E4574" s="1"/>
      <c r="F4574" s="1"/>
      <c r="G4574" s="1"/>
      <c r="H4574" s="1" t="str">
        <f>"7805633013679"</f>
        <v>7805633013679</v>
      </c>
      <c r="I4574" s="3">
        <v>244</v>
      </c>
      <c r="J4574" s="3">
        <v>0</v>
      </c>
      <c r="K4574" s="3">
        <v>2000</v>
      </c>
    </row>
    <row r="4575" spans="1:11" x14ac:dyDescent="0.2">
      <c r="A4575" s="1" t="s">
        <v>16</v>
      </c>
      <c r="B4575" s="1" t="s">
        <v>3842</v>
      </c>
      <c r="C4575" s="1"/>
      <c r="D4575" s="1"/>
      <c r="E4575" s="1"/>
      <c r="F4575" s="1"/>
      <c r="G4575" s="1"/>
      <c r="H4575" s="1" t="str">
        <f>"7803501004491"</f>
        <v>7803501004491</v>
      </c>
      <c r="I4575" s="3">
        <v>700</v>
      </c>
      <c r="J4575" s="3">
        <v>0</v>
      </c>
      <c r="K4575" s="3">
        <v>2000</v>
      </c>
    </row>
    <row r="4576" spans="1:11" x14ac:dyDescent="0.2">
      <c r="A4576" s="1" t="s">
        <v>16</v>
      </c>
      <c r="B4576" s="1" t="s">
        <v>3847</v>
      </c>
      <c r="C4576" s="1"/>
      <c r="D4576" s="1"/>
      <c r="E4576" s="1"/>
      <c r="F4576" s="1"/>
      <c r="G4576" s="1"/>
      <c r="H4576" s="1" t="str">
        <f>"7805357001365"</f>
        <v>7805357001365</v>
      </c>
      <c r="I4576" s="3">
        <v>118</v>
      </c>
      <c r="J4576" s="3">
        <v>0</v>
      </c>
      <c r="K4576" s="3">
        <v>2000</v>
      </c>
    </row>
    <row r="4577" spans="1:11" x14ac:dyDescent="0.2">
      <c r="A4577" s="1" t="s">
        <v>16</v>
      </c>
      <c r="B4577" s="1" t="s">
        <v>3848</v>
      </c>
      <c r="C4577" s="1"/>
      <c r="D4577" s="1"/>
      <c r="E4577" s="1"/>
      <c r="F4577" s="1"/>
      <c r="G4577" s="1"/>
      <c r="H4577" s="1" t="str">
        <f>"7805357003871"</f>
        <v>7805357003871</v>
      </c>
      <c r="I4577" s="3">
        <v>92</v>
      </c>
      <c r="J4577" s="3">
        <v>0</v>
      </c>
      <c r="K4577" s="3">
        <v>2000</v>
      </c>
    </row>
    <row r="4578" spans="1:11" x14ac:dyDescent="0.2">
      <c r="A4578" s="1" t="s">
        <v>16</v>
      </c>
      <c r="B4578" s="1" t="s">
        <v>3849</v>
      </c>
      <c r="C4578" s="1"/>
      <c r="D4578" s="1"/>
      <c r="E4578" s="1"/>
      <c r="F4578" s="1"/>
      <c r="G4578" s="1"/>
      <c r="H4578" s="1" t="str">
        <f>"7805357002102"</f>
        <v>7805357002102</v>
      </c>
      <c r="I4578" s="3">
        <v>118</v>
      </c>
      <c r="J4578" s="3">
        <v>0</v>
      </c>
      <c r="K4578" s="3">
        <v>2000</v>
      </c>
    </row>
    <row r="4579" spans="1:11" x14ac:dyDescent="0.2">
      <c r="A4579" s="1" t="s">
        <v>16</v>
      </c>
      <c r="B4579" s="1" t="s">
        <v>3850</v>
      </c>
      <c r="C4579" s="1"/>
      <c r="D4579" s="1"/>
      <c r="E4579" s="1"/>
      <c r="F4579" s="1"/>
      <c r="G4579" s="1"/>
      <c r="H4579" s="1" t="str">
        <f>"7805357003864"</f>
        <v>7805357003864</v>
      </c>
      <c r="I4579" s="3">
        <v>109</v>
      </c>
      <c r="J4579" s="3">
        <v>0</v>
      </c>
      <c r="K4579" s="3">
        <v>2000</v>
      </c>
    </row>
    <row r="4580" spans="1:11" x14ac:dyDescent="0.2">
      <c r="A4580" s="1" t="s">
        <v>16</v>
      </c>
      <c r="B4580" s="1" t="s">
        <v>3920</v>
      </c>
      <c r="C4580" s="1"/>
      <c r="D4580" s="1"/>
      <c r="E4580" s="1"/>
      <c r="F4580" s="1"/>
      <c r="G4580" s="1"/>
      <c r="H4580" s="1" t="str">
        <f>"7800063000824"</f>
        <v>7800063000824</v>
      </c>
      <c r="I4580" s="3">
        <v>26</v>
      </c>
      <c r="J4580" s="3">
        <v>0</v>
      </c>
      <c r="K4580" s="3">
        <v>2500</v>
      </c>
    </row>
    <row r="4581" spans="1:11" x14ac:dyDescent="0.2">
      <c r="A4581" s="1" t="s">
        <v>16</v>
      </c>
      <c r="B4581" s="1" t="s">
        <v>3941</v>
      </c>
      <c r="C4581" s="1"/>
      <c r="D4581" s="1"/>
      <c r="E4581" s="1"/>
      <c r="F4581" s="1"/>
      <c r="G4581" s="1"/>
      <c r="H4581" s="1" t="str">
        <f>"7800050003401"</f>
        <v>7800050003401</v>
      </c>
      <c r="I4581" s="3">
        <v>8</v>
      </c>
      <c r="J4581" s="3">
        <v>0</v>
      </c>
      <c r="K4581" s="3">
        <v>10000</v>
      </c>
    </row>
    <row r="4582" spans="1:11" x14ac:dyDescent="0.2">
      <c r="A4582" s="1" t="s">
        <v>16</v>
      </c>
      <c r="B4582" s="1" t="s">
        <v>3982</v>
      </c>
      <c r="C4582" s="1"/>
      <c r="D4582" s="1"/>
      <c r="E4582" s="1"/>
      <c r="F4582" s="1"/>
      <c r="G4582" s="1"/>
      <c r="H4582" s="1" t="str">
        <f>"7800028842308"</f>
        <v>7800028842308</v>
      </c>
      <c r="I4582" s="3">
        <v>27</v>
      </c>
      <c r="J4582" s="3">
        <v>0</v>
      </c>
      <c r="K4582" s="3">
        <v>12000</v>
      </c>
    </row>
    <row r="4583" spans="1:11" x14ac:dyDescent="0.2">
      <c r="A4583" s="1" t="s">
        <v>16</v>
      </c>
      <c r="B4583" s="1" t="s">
        <v>4038</v>
      </c>
      <c r="C4583" s="1"/>
      <c r="D4583" s="1"/>
      <c r="E4583" s="1"/>
      <c r="F4583" s="1"/>
      <c r="G4583" s="1"/>
      <c r="H4583" s="1" t="str">
        <f>"7804918402931"</f>
        <v>7804918402931</v>
      </c>
      <c r="I4583" s="3">
        <v>15</v>
      </c>
      <c r="J4583" s="3">
        <v>0</v>
      </c>
      <c r="K4583" s="3">
        <v>7000</v>
      </c>
    </row>
    <row r="4584" spans="1:11" x14ac:dyDescent="0.2">
      <c r="A4584" s="1" t="s">
        <v>16</v>
      </c>
      <c r="B4584" s="1" t="s">
        <v>4356</v>
      </c>
      <c r="C4584" s="1"/>
      <c r="D4584" s="1"/>
      <c r="E4584" s="1"/>
      <c r="F4584" s="1"/>
      <c r="G4584" s="1"/>
      <c r="H4584" s="1" t="str">
        <f>"7805357001679"</f>
        <v>7805357001679</v>
      </c>
      <c r="I4584" s="3">
        <v>47</v>
      </c>
      <c r="J4584" s="3">
        <v>0</v>
      </c>
      <c r="K4584" s="3">
        <v>2000</v>
      </c>
    </row>
    <row r="4585" spans="1:11" x14ac:dyDescent="0.2">
      <c r="A4585" s="1" t="s">
        <v>16</v>
      </c>
      <c r="B4585" s="1" t="s">
        <v>4357</v>
      </c>
      <c r="C4585" s="1"/>
      <c r="D4585" s="1"/>
      <c r="E4585" s="1"/>
      <c r="F4585" s="1"/>
      <c r="G4585" s="1"/>
      <c r="H4585" s="1" t="str">
        <f>"7805357001297"</f>
        <v>7805357001297</v>
      </c>
      <c r="I4585" s="3">
        <v>13</v>
      </c>
      <c r="J4585" s="3">
        <v>0</v>
      </c>
      <c r="K4585" s="3">
        <v>2000</v>
      </c>
    </row>
    <row r="4586" spans="1:11" x14ac:dyDescent="0.2">
      <c r="A4586" s="1" t="s">
        <v>16</v>
      </c>
      <c r="B4586" s="1" t="s">
        <v>4508</v>
      </c>
      <c r="C4586" s="1"/>
      <c r="D4586" s="1"/>
      <c r="E4586" s="1"/>
      <c r="F4586" s="1"/>
      <c r="G4586" s="1"/>
      <c r="H4586" s="1" t="str">
        <f>"7800041046400"</f>
        <v>7800041046400</v>
      </c>
      <c r="I4586" s="3">
        <v>3</v>
      </c>
      <c r="J4586" s="3">
        <v>0</v>
      </c>
      <c r="K4586" s="3">
        <v>3500</v>
      </c>
    </row>
    <row r="4587" spans="1:11" x14ac:dyDescent="0.2">
      <c r="A4587" s="1" t="s">
        <v>16</v>
      </c>
      <c r="B4587" s="1" t="s">
        <v>4614</v>
      </c>
      <c r="C4587" s="1"/>
      <c r="D4587" s="1"/>
      <c r="E4587" s="1"/>
      <c r="F4587" s="1"/>
      <c r="G4587" s="1"/>
      <c r="H4587" s="1" t="str">
        <f>"7800007794994"</f>
        <v>7800007794994</v>
      </c>
      <c r="I4587" s="3">
        <v>132</v>
      </c>
      <c r="J4587" s="3">
        <v>0</v>
      </c>
      <c r="K4587" s="3">
        <v>2500</v>
      </c>
    </row>
    <row r="4588" spans="1:11" x14ac:dyDescent="0.2">
      <c r="A4588" s="1" t="s">
        <v>16</v>
      </c>
      <c r="B4588" s="1" t="s">
        <v>4663</v>
      </c>
      <c r="C4588" s="1"/>
      <c r="D4588" s="1"/>
      <c r="E4588" s="1"/>
      <c r="F4588" s="1"/>
      <c r="G4588" s="1"/>
      <c r="H4588" s="1" t="str">
        <f>"7800060015685"</f>
        <v>7800060015685</v>
      </c>
      <c r="I4588" s="3">
        <v>73</v>
      </c>
      <c r="J4588" s="3">
        <v>0</v>
      </c>
      <c r="K4588" s="3">
        <v>6500</v>
      </c>
    </row>
    <row r="4589" spans="1:11" x14ac:dyDescent="0.2">
      <c r="A4589" s="1" t="s">
        <v>16</v>
      </c>
      <c r="B4589" s="1" t="s">
        <v>4671</v>
      </c>
      <c r="C4589" s="1"/>
      <c r="D4589" s="1"/>
      <c r="E4589" s="1"/>
      <c r="F4589" s="1"/>
      <c r="G4589" s="1"/>
      <c r="H4589" s="1" t="str">
        <f>"7800063330068"</f>
        <v>7800063330068</v>
      </c>
      <c r="I4589" s="3">
        <v>102</v>
      </c>
      <c r="J4589" s="3">
        <v>0</v>
      </c>
      <c r="K4589" s="3">
        <v>3000</v>
      </c>
    </row>
    <row r="4590" spans="1:11" x14ac:dyDescent="0.2">
      <c r="A4590" s="1" t="s">
        <v>16</v>
      </c>
      <c r="B4590" s="1" t="s">
        <v>4672</v>
      </c>
      <c r="C4590" s="1"/>
      <c r="D4590" s="1"/>
      <c r="E4590" s="1"/>
      <c r="F4590" s="1"/>
      <c r="G4590" s="1"/>
      <c r="H4590" s="1" t="str">
        <f>"7800063330075"</f>
        <v>7800063330075</v>
      </c>
      <c r="I4590" s="3">
        <v>183</v>
      </c>
      <c r="J4590" s="3">
        <v>0</v>
      </c>
      <c r="K4590" s="3">
        <v>2500</v>
      </c>
    </row>
    <row r="4591" spans="1:11" x14ac:dyDescent="0.2">
      <c r="A4591" s="1" t="s">
        <v>16</v>
      </c>
      <c r="B4591" s="1" t="s">
        <v>4826</v>
      </c>
      <c r="C4591" s="1"/>
      <c r="D4591" s="1"/>
      <c r="E4591" s="1"/>
      <c r="F4591" s="1"/>
      <c r="G4591" s="1"/>
      <c r="H4591" s="1" t="str">
        <f>"7506309862095"</f>
        <v>7506309862095</v>
      </c>
      <c r="I4591" s="3">
        <v>24</v>
      </c>
      <c r="J4591" s="3">
        <v>0</v>
      </c>
      <c r="K4591" s="3">
        <v>4000</v>
      </c>
    </row>
    <row r="4592" spans="1:11" x14ac:dyDescent="0.2">
      <c r="A4592" s="1" t="s">
        <v>1662</v>
      </c>
      <c r="B4592" s="1" t="s">
        <v>1663</v>
      </c>
      <c r="C4592" s="1"/>
      <c r="D4592" s="1"/>
      <c r="E4592" s="1"/>
      <c r="F4592" s="1"/>
      <c r="G4592" s="1"/>
      <c r="H4592" s="1" t="str">
        <f>"7501159033565"</f>
        <v>7501159033565</v>
      </c>
      <c r="I4592" s="3">
        <v>0</v>
      </c>
      <c r="J4592" s="3">
        <v>0</v>
      </c>
      <c r="K4592" s="3">
        <v>1500</v>
      </c>
    </row>
    <row r="4593" spans="1:11" x14ac:dyDescent="0.2">
      <c r="A4593" s="1" t="s">
        <v>1662</v>
      </c>
      <c r="B4593" s="1" t="s">
        <v>1665</v>
      </c>
      <c r="C4593" s="1"/>
      <c r="D4593" s="1"/>
      <c r="E4593" s="1"/>
      <c r="F4593" s="1"/>
      <c r="G4593" s="1"/>
      <c r="H4593" s="1" t="str">
        <f>"7702626214856"</f>
        <v>7702626214856</v>
      </c>
      <c r="I4593" s="3">
        <v>2</v>
      </c>
      <c r="J4593" s="3">
        <v>0</v>
      </c>
      <c r="K4593" s="3">
        <v>2000</v>
      </c>
    </row>
    <row r="4594" spans="1:11" x14ac:dyDescent="0.2">
      <c r="A4594" s="1" t="s">
        <v>74</v>
      </c>
      <c r="B4594" s="1" t="s">
        <v>75</v>
      </c>
      <c r="C4594" s="1"/>
      <c r="D4594" s="1"/>
      <c r="E4594" s="1"/>
      <c r="F4594" s="1"/>
      <c r="G4594" s="1"/>
      <c r="H4594" s="1" t="str">
        <f>"4007221042914"</f>
        <v>4007221042914</v>
      </c>
      <c r="I4594" s="3">
        <v>17</v>
      </c>
      <c r="J4594" s="3">
        <v>0</v>
      </c>
      <c r="K4594" s="3">
        <v>10000</v>
      </c>
    </row>
    <row r="4595" spans="1:11" x14ac:dyDescent="0.2">
      <c r="A4595" s="1" t="s">
        <v>74</v>
      </c>
      <c r="B4595" s="1" t="s">
        <v>76</v>
      </c>
      <c r="C4595" s="1"/>
      <c r="D4595" s="1"/>
      <c r="E4595" s="1"/>
      <c r="F4595" s="1"/>
      <c r="G4595" s="1"/>
      <c r="H4595" s="1" t="str">
        <f>"7702123000907"</f>
        <v>7702123000907</v>
      </c>
      <c r="I4595" s="3">
        <v>33</v>
      </c>
      <c r="J4595" s="3">
        <v>0</v>
      </c>
      <c r="K4595" s="3">
        <v>6500</v>
      </c>
    </row>
    <row r="4596" spans="1:11" x14ac:dyDescent="0.2">
      <c r="A4596" s="1" t="s">
        <v>74</v>
      </c>
      <c r="B4596" s="1" t="s">
        <v>77</v>
      </c>
      <c r="C4596" s="1"/>
      <c r="D4596" s="1"/>
      <c r="E4596" s="1"/>
      <c r="F4596" s="1"/>
      <c r="G4596" s="1"/>
      <c r="H4596" s="1" t="str">
        <f>"4007221048336"</f>
        <v>4007221048336</v>
      </c>
      <c r="I4596" s="3">
        <v>0</v>
      </c>
      <c r="J4596" s="3">
        <v>0</v>
      </c>
      <c r="K4596" s="3">
        <v>20000</v>
      </c>
    </row>
    <row r="4597" spans="1:11" x14ac:dyDescent="0.2">
      <c r="A4597" s="1" t="s">
        <v>74</v>
      </c>
      <c r="B4597" s="1" t="s">
        <v>78</v>
      </c>
      <c r="C4597" s="1"/>
      <c r="D4597" s="1"/>
      <c r="E4597" s="1"/>
      <c r="F4597" s="1"/>
      <c r="G4597" s="1"/>
      <c r="H4597" s="1" t="str">
        <f>"4007221048329"</f>
        <v>4007221048329</v>
      </c>
      <c r="I4597" s="3">
        <v>0</v>
      </c>
      <c r="J4597" s="3">
        <v>0</v>
      </c>
      <c r="K4597" s="3">
        <v>13000</v>
      </c>
    </row>
    <row r="4598" spans="1:11" x14ac:dyDescent="0.2">
      <c r="A4598" s="1" t="s">
        <v>74</v>
      </c>
      <c r="B4598" s="1" t="s">
        <v>141</v>
      </c>
      <c r="C4598" s="1"/>
      <c r="D4598" s="1"/>
      <c r="E4598" s="1"/>
      <c r="F4598" s="1"/>
      <c r="G4598" s="1"/>
      <c r="H4598" s="1" t="str">
        <f>"7800006001321"</f>
        <v>7800006001321</v>
      </c>
      <c r="I4598" s="3">
        <v>18</v>
      </c>
      <c r="J4598" s="3">
        <v>0</v>
      </c>
      <c r="K4598" s="3">
        <v>13000</v>
      </c>
    </row>
    <row r="4599" spans="1:11" x14ac:dyDescent="0.2">
      <c r="A4599" s="1" t="s">
        <v>74</v>
      </c>
      <c r="B4599" s="1" t="s">
        <v>337</v>
      </c>
      <c r="C4599" s="1"/>
      <c r="D4599" s="1"/>
      <c r="E4599" s="1"/>
      <c r="F4599" s="1"/>
      <c r="G4599" s="1"/>
      <c r="H4599" s="1" t="str">
        <f>"7800006002908"</f>
        <v>7800006002908</v>
      </c>
      <c r="I4599" s="3">
        <v>3</v>
      </c>
      <c r="J4599" s="3">
        <v>0</v>
      </c>
      <c r="K4599" s="3">
        <v>8000</v>
      </c>
    </row>
    <row r="4600" spans="1:11" x14ac:dyDescent="0.2">
      <c r="A4600" s="1" t="s">
        <v>74</v>
      </c>
      <c r="B4600" s="1" t="s">
        <v>338</v>
      </c>
      <c r="C4600" s="1"/>
      <c r="D4600" s="1"/>
      <c r="E4600" s="1"/>
      <c r="F4600" s="1"/>
      <c r="G4600" s="1"/>
      <c r="H4600" s="1" t="str">
        <f>"7800006002724"</f>
        <v>7800006002724</v>
      </c>
      <c r="I4600" s="3">
        <v>7</v>
      </c>
      <c r="J4600" s="3">
        <v>0</v>
      </c>
      <c r="K4600" s="3">
        <v>8500</v>
      </c>
    </row>
    <row r="4601" spans="1:11" x14ac:dyDescent="0.2">
      <c r="A4601" s="1" t="s">
        <v>74</v>
      </c>
      <c r="B4601" s="1" t="s">
        <v>343</v>
      </c>
      <c r="C4601" s="1"/>
      <c r="D4601" s="1"/>
      <c r="E4601" s="1"/>
      <c r="F4601" s="1"/>
      <c r="G4601" s="1"/>
      <c r="H4601" s="1" t="str">
        <f>"5414736054667"</f>
        <v>5414736054667</v>
      </c>
      <c r="I4601" s="3">
        <v>1</v>
      </c>
      <c r="J4601" s="3">
        <v>0</v>
      </c>
      <c r="K4601" s="3">
        <v>45000</v>
      </c>
    </row>
    <row r="4602" spans="1:11" x14ac:dyDescent="0.2">
      <c r="A4602" s="1" t="s">
        <v>74</v>
      </c>
      <c r="B4602" s="1" t="s">
        <v>344</v>
      </c>
      <c r="C4602" s="1"/>
      <c r="D4602" s="1"/>
      <c r="E4602" s="1"/>
      <c r="F4602" s="1"/>
      <c r="G4602" s="1"/>
      <c r="H4602" s="1" t="str">
        <f>"5414736044194"</f>
        <v>5414736044194</v>
      </c>
      <c r="I4602" s="3">
        <v>7</v>
      </c>
      <c r="J4602" s="3">
        <v>0</v>
      </c>
      <c r="K4602" s="3">
        <v>38000</v>
      </c>
    </row>
    <row r="4603" spans="1:11" x14ac:dyDescent="0.2">
      <c r="A4603" s="1" t="s">
        <v>74</v>
      </c>
      <c r="B4603" s="1" t="s">
        <v>345</v>
      </c>
      <c r="C4603" s="1"/>
      <c r="D4603" s="1"/>
      <c r="E4603" s="1"/>
      <c r="F4603" s="1"/>
      <c r="G4603" s="1"/>
      <c r="H4603" s="1" t="str">
        <f>"5414736044200"</f>
        <v>5414736044200</v>
      </c>
      <c r="I4603" s="3">
        <v>4</v>
      </c>
      <c r="J4603" s="3">
        <v>0</v>
      </c>
      <c r="K4603" s="3">
        <v>40000</v>
      </c>
    </row>
    <row r="4604" spans="1:11" x14ac:dyDescent="0.2">
      <c r="A4604" s="1" t="s">
        <v>74</v>
      </c>
      <c r="B4604" s="1" t="s">
        <v>393</v>
      </c>
      <c r="C4604" s="1"/>
      <c r="D4604" s="1"/>
      <c r="E4604" s="1"/>
      <c r="F4604" s="1"/>
      <c r="G4604" s="1"/>
      <c r="H4604" s="1" t="str">
        <f>"714193699711"</f>
        <v>714193699711</v>
      </c>
      <c r="I4604" s="3">
        <v>7</v>
      </c>
      <c r="J4604" s="3">
        <v>0</v>
      </c>
      <c r="K4604" s="3">
        <v>29000</v>
      </c>
    </row>
    <row r="4605" spans="1:11" x14ac:dyDescent="0.2">
      <c r="A4605" s="1" t="s">
        <v>74</v>
      </c>
      <c r="B4605" s="1" t="s">
        <v>395</v>
      </c>
      <c r="C4605" s="1"/>
      <c r="D4605" s="1"/>
      <c r="E4605" s="1"/>
      <c r="F4605" s="1"/>
      <c r="G4605" s="1"/>
      <c r="H4605" s="1" t="str">
        <f>"7800006004384"</f>
        <v>7800006004384</v>
      </c>
      <c r="I4605" s="3">
        <v>12</v>
      </c>
      <c r="J4605" s="3">
        <v>0</v>
      </c>
      <c r="K4605" s="3">
        <v>14000</v>
      </c>
    </row>
    <row r="4606" spans="1:11" x14ac:dyDescent="0.2">
      <c r="A4606" s="1" t="s">
        <v>74</v>
      </c>
      <c r="B4606" s="1" t="s">
        <v>527</v>
      </c>
      <c r="C4606" s="1"/>
      <c r="D4606" s="1"/>
      <c r="E4606" s="1"/>
      <c r="F4606" s="1"/>
      <c r="G4606" s="1"/>
      <c r="H4606" s="1" t="str">
        <f>"8711231104482"</f>
        <v>8711231104482</v>
      </c>
      <c r="I4606" s="3">
        <v>3</v>
      </c>
      <c r="J4606" s="3">
        <v>0</v>
      </c>
      <c r="K4606" s="3">
        <v>6500</v>
      </c>
    </row>
    <row r="4607" spans="1:11" x14ac:dyDescent="0.2">
      <c r="A4607" s="1" t="s">
        <v>74</v>
      </c>
      <c r="B4607" s="1" t="s">
        <v>528</v>
      </c>
      <c r="C4607" s="1"/>
      <c r="D4607" s="1"/>
      <c r="E4607" s="1"/>
      <c r="F4607" s="1"/>
      <c r="G4607" s="1"/>
      <c r="H4607" s="1" t="str">
        <f>"8711231106523"</f>
        <v>8711231106523</v>
      </c>
      <c r="I4607" s="3">
        <v>2</v>
      </c>
      <c r="J4607" s="3">
        <v>0</v>
      </c>
      <c r="K4607" s="3">
        <v>4500</v>
      </c>
    </row>
    <row r="4608" spans="1:11" x14ac:dyDescent="0.2">
      <c r="A4608" s="1" t="s">
        <v>74</v>
      </c>
      <c r="B4608" s="1" t="s">
        <v>608</v>
      </c>
      <c r="C4608" s="1"/>
      <c r="D4608" s="1"/>
      <c r="E4608" s="1"/>
      <c r="F4608" s="1"/>
      <c r="G4608" s="1"/>
      <c r="H4608" s="1" t="str">
        <f>"7800006005220"</f>
        <v>7800006005220</v>
      </c>
      <c r="I4608" s="3">
        <v>2</v>
      </c>
      <c r="J4608" s="3">
        <v>0</v>
      </c>
      <c r="K4608" s="3">
        <v>7500</v>
      </c>
    </row>
    <row r="4609" spans="1:11" x14ac:dyDescent="0.2">
      <c r="A4609" s="1" t="s">
        <v>74</v>
      </c>
      <c r="B4609" s="1" t="s">
        <v>694</v>
      </c>
      <c r="C4609" s="1"/>
      <c r="D4609" s="1"/>
      <c r="E4609" s="1"/>
      <c r="F4609" s="1"/>
      <c r="G4609" s="1"/>
      <c r="H4609" s="1" t="str">
        <f>"7804601180337"</f>
        <v>7804601180337</v>
      </c>
      <c r="I4609" s="3">
        <v>1</v>
      </c>
      <c r="J4609" s="3">
        <v>0</v>
      </c>
      <c r="K4609" s="3">
        <v>5000</v>
      </c>
    </row>
    <row r="4610" spans="1:11" x14ac:dyDescent="0.2">
      <c r="A4610" s="1" t="s">
        <v>74</v>
      </c>
      <c r="B4610" s="1" t="s">
        <v>769</v>
      </c>
      <c r="C4610" s="1"/>
      <c r="D4610" s="1"/>
      <c r="E4610" s="1"/>
      <c r="F4610" s="1"/>
      <c r="G4610" s="1"/>
      <c r="H4610" s="1" t="str">
        <f>"7800006008245"</f>
        <v>7800006008245</v>
      </c>
      <c r="I4610" s="3">
        <v>7</v>
      </c>
      <c r="J4610" s="3">
        <v>0</v>
      </c>
      <c r="K4610" s="3">
        <v>8000</v>
      </c>
    </row>
    <row r="4611" spans="1:11" x14ac:dyDescent="0.2">
      <c r="A4611" s="1" t="s">
        <v>74</v>
      </c>
      <c r="B4611" s="1" t="s">
        <v>796</v>
      </c>
      <c r="C4611" s="1"/>
      <c r="D4611" s="1"/>
      <c r="E4611" s="1"/>
      <c r="F4611" s="1"/>
      <c r="G4611" s="1"/>
      <c r="H4611" s="1" t="str">
        <f>"8711231175833"</f>
        <v>8711231175833</v>
      </c>
      <c r="I4611" s="3">
        <v>0</v>
      </c>
      <c r="J4611" s="3">
        <v>0</v>
      </c>
      <c r="K4611" s="3">
        <v>11000</v>
      </c>
    </row>
    <row r="4612" spans="1:11" x14ac:dyDescent="0.2">
      <c r="A4612" s="1" t="s">
        <v>74</v>
      </c>
      <c r="B4612" s="1" t="s">
        <v>800</v>
      </c>
      <c r="C4612" s="1"/>
      <c r="D4612" s="1"/>
      <c r="E4612" s="1"/>
      <c r="F4612" s="1"/>
      <c r="G4612" s="1"/>
      <c r="H4612" s="1" t="str">
        <f>"7800006002595"</f>
        <v>7800006002595</v>
      </c>
      <c r="I4612" s="3">
        <v>7</v>
      </c>
      <c r="J4612" s="3">
        <v>0</v>
      </c>
      <c r="K4612" s="3">
        <v>8000</v>
      </c>
    </row>
    <row r="4613" spans="1:11" x14ac:dyDescent="0.2">
      <c r="A4613" s="1" t="s">
        <v>74</v>
      </c>
      <c r="B4613" s="1" t="s">
        <v>806</v>
      </c>
      <c r="C4613" s="1"/>
      <c r="D4613" s="1"/>
      <c r="E4613" s="1"/>
      <c r="F4613" s="1"/>
      <c r="G4613" s="1"/>
      <c r="H4613" s="1" t="str">
        <f>"5391504342303"</f>
        <v>5391504342303</v>
      </c>
      <c r="I4613" s="3">
        <v>23</v>
      </c>
      <c r="J4613" s="3">
        <v>0</v>
      </c>
      <c r="K4613" s="3">
        <v>9000</v>
      </c>
    </row>
    <row r="4614" spans="1:11" x14ac:dyDescent="0.2">
      <c r="A4614" s="1" t="s">
        <v>74</v>
      </c>
      <c r="B4614" s="1" t="s">
        <v>883</v>
      </c>
      <c r="C4614" s="1"/>
      <c r="D4614" s="1"/>
      <c r="E4614" s="1"/>
      <c r="F4614" s="1"/>
      <c r="G4614" s="1"/>
      <c r="H4614" s="1" t="str">
        <f>"7804622980534"</f>
        <v>7804622980534</v>
      </c>
      <c r="I4614" s="3">
        <v>0</v>
      </c>
      <c r="J4614" s="3">
        <v>0</v>
      </c>
      <c r="K4614" s="3">
        <v>22000</v>
      </c>
    </row>
    <row r="4615" spans="1:11" x14ac:dyDescent="0.2">
      <c r="A4615" s="1" t="s">
        <v>74</v>
      </c>
      <c r="B4615" s="1" t="s">
        <v>884</v>
      </c>
      <c r="C4615" s="1"/>
      <c r="D4615" s="1"/>
      <c r="E4615" s="1"/>
      <c r="F4615" s="1"/>
      <c r="G4615" s="1"/>
      <c r="H4615" s="1" t="str">
        <f>"76099502041151"</f>
        <v>76099502041151</v>
      </c>
      <c r="I4615" s="3">
        <v>2</v>
      </c>
      <c r="J4615" s="3">
        <v>0</v>
      </c>
      <c r="K4615" s="3">
        <v>22000</v>
      </c>
    </row>
    <row r="4616" spans="1:11" x14ac:dyDescent="0.2">
      <c r="A4616" s="1" t="s">
        <v>74</v>
      </c>
      <c r="B4616" s="1" t="s">
        <v>920</v>
      </c>
      <c r="C4616" s="1"/>
      <c r="D4616" s="1"/>
      <c r="E4616" s="1"/>
      <c r="F4616" s="1"/>
      <c r="G4616" s="1"/>
      <c r="H4616" s="1" t="str">
        <f>"8711231153152"</f>
        <v>8711231153152</v>
      </c>
      <c r="I4616" s="3">
        <v>3</v>
      </c>
      <c r="J4616" s="3">
        <v>0</v>
      </c>
      <c r="K4616" s="3">
        <v>6000</v>
      </c>
    </row>
    <row r="4617" spans="1:11" x14ac:dyDescent="0.2">
      <c r="A4617" s="1" t="s">
        <v>74</v>
      </c>
      <c r="B4617" s="1" t="s">
        <v>1043</v>
      </c>
      <c r="C4617" s="1"/>
      <c r="D4617" s="1"/>
      <c r="E4617" s="1"/>
      <c r="F4617" s="1"/>
      <c r="G4617" s="1"/>
      <c r="H4617" s="1" t="str">
        <f>"7798176420502"</f>
        <v>7798176420502</v>
      </c>
      <c r="I4617" s="3">
        <v>13</v>
      </c>
      <c r="J4617" s="3">
        <v>0</v>
      </c>
      <c r="K4617" s="3">
        <v>19000</v>
      </c>
    </row>
    <row r="4618" spans="1:11" x14ac:dyDescent="0.2">
      <c r="A4618" s="1" t="s">
        <v>74</v>
      </c>
      <c r="B4618" s="1" t="s">
        <v>1067</v>
      </c>
      <c r="C4618" s="1"/>
      <c r="D4618" s="1"/>
      <c r="E4618" s="1"/>
      <c r="F4618" s="1"/>
      <c r="G4618" s="1"/>
      <c r="H4618" s="1" t="str">
        <f>"3605874594500"</f>
        <v>3605874594500</v>
      </c>
      <c r="I4618" s="3">
        <v>18</v>
      </c>
      <c r="J4618" s="3">
        <v>0</v>
      </c>
      <c r="K4618" s="3">
        <v>20000</v>
      </c>
    </row>
    <row r="4619" spans="1:11" x14ac:dyDescent="0.2">
      <c r="A4619" s="1" t="s">
        <v>74</v>
      </c>
      <c r="B4619" s="1" t="s">
        <v>1077</v>
      </c>
      <c r="C4619" s="1"/>
      <c r="D4619" s="1"/>
      <c r="E4619" s="1"/>
      <c r="F4619" s="1"/>
      <c r="G4619" s="1"/>
      <c r="H4619" s="1" t="str">
        <f>"3605874594494"</f>
        <v>3605874594494</v>
      </c>
      <c r="I4619" s="3">
        <v>6</v>
      </c>
      <c r="J4619" s="3">
        <v>0</v>
      </c>
      <c r="K4619" s="3">
        <v>20000</v>
      </c>
    </row>
    <row r="4620" spans="1:11" x14ac:dyDescent="0.2">
      <c r="A4620" s="1" t="s">
        <v>74</v>
      </c>
      <c r="B4620" s="1" t="s">
        <v>1078</v>
      </c>
      <c r="C4620" s="1"/>
      <c r="D4620" s="1"/>
      <c r="E4620" s="1"/>
      <c r="F4620" s="1"/>
      <c r="G4620" s="1"/>
      <c r="H4620" s="1" t="str">
        <f>"3605874598867"</f>
        <v>3605874598867</v>
      </c>
      <c r="I4620" s="3">
        <v>26</v>
      </c>
      <c r="J4620" s="3">
        <v>0</v>
      </c>
      <c r="K4620" s="3">
        <v>11500</v>
      </c>
    </row>
    <row r="4621" spans="1:11" x14ac:dyDescent="0.2">
      <c r="A4621" s="1" t="s">
        <v>74</v>
      </c>
      <c r="B4621" s="1" t="s">
        <v>1081</v>
      </c>
      <c r="C4621" s="1"/>
      <c r="D4621" s="1"/>
      <c r="E4621" s="1"/>
      <c r="F4621" s="1"/>
      <c r="G4621" s="1"/>
      <c r="H4621" s="1" t="str">
        <f>"7800006006364"</f>
        <v>7800006006364</v>
      </c>
      <c r="I4621" s="3">
        <v>21</v>
      </c>
      <c r="J4621" s="3">
        <v>0</v>
      </c>
      <c r="K4621" s="3">
        <v>18000</v>
      </c>
    </row>
    <row r="4622" spans="1:11" x14ac:dyDescent="0.2">
      <c r="A4622" s="1" t="s">
        <v>74</v>
      </c>
      <c r="B4622" s="1" t="s">
        <v>1103</v>
      </c>
      <c r="C4622" s="1"/>
      <c r="D4622" s="1"/>
      <c r="E4622" s="1"/>
      <c r="F4622" s="1"/>
      <c r="G4622" s="1"/>
      <c r="H4622" s="1" t="str">
        <f>"7804610650265"</f>
        <v>7804610650265</v>
      </c>
      <c r="I4622" s="3">
        <v>0</v>
      </c>
      <c r="J4622" s="3">
        <v>0</v>
      </c>
      <c r="K4622" s="3">
        <v>11000</v>
      </c>
    </row>
    <row r="4623" spans="1:11" x14ac:dyDescent="0.2">
      <c r="A4623" s="1" t="s">
        <v>74</v>
      </c>
      <c r="B4623" s="1" t="s">
        <v>1209</v>
      </c>
      <c r="C4623" s="1"/>
      <c r="D4623" s="1"/>
      <c r="E4623" s="1"/>
      <c r="F4623" s="1"/>
      <c r="G4623" s="1"/>
      <c r="H4623" s="1" t="str">
        <f>"7800006011481"</f>
        <v>7800006011481</v>
      </c>
      <c r="I4623" s="3">
        <v>2</v>
      </c>
      <c r="J4623" s="3">
        <v>0</v>
      </c>
      <c r="K4623" s="3">
        <v>24000</v>
      </c>
    </row>
    <row r="4624" spans="1:11" x14ac:dyDescent="0.2">
      <c r="A4624" s="1" t="s">
        <v>74</v>
      </c>
      <c r="B4624" s="1" t="s">
        <v>1210</v>
      </c>
      <c r="C4624" s="1"/>
      <c r="D4624" s="1"/>
      <c r="E4624" s="1"/>
      <c r="F4624" s="1"/>
      <c r="G4624" s="1"/>
      <c r="H4624" s="1" t="str">
        <f>"7800006005619"</f>
        <v>7800006005619</v>
      </c>
      <c r="I4624" s="3">
        <v>0</v>
      </c>
      <c r="J4624" s="3">
        <v>0</v>
      </c>
      <c r="K4624" s="3">
        <v>19000</v>
      </c>
    </row>
    <row r="4625" spans="1:11" x14ac:dyDescent="0.2">
      <c r="A4625" s="1" t="s">
        <v>74</v>
      </c>
      <c r="B4625" s="1" t="s">
        <v>1260</v>
      </c>
      <c r="C4625" s="1"/>
      <c r="D4625" s="1"/>
      <c r="E4625" s="1"/>
      <c r="F4625" s="1"/>
      <c r="G4625" s="1"/>
      <c r="H4625" s="1" t="str">
        <f>"7800006010705"</f>
        <v>7800006010705</v>
      </c>
      <c r="I4625" s="3">
        <v>3</v>
      </c>
      <c r="J4625" s="3">
        <v>0</v>
      </c>
      <c r="K4625" s="3">
        <v>9000</v>
      </c>
    </row>
    <row r="4626" spans="1:11" x14ac:dyDescent="0.2">
      <c r="A4626" s="1" t="s">
        <v>74</v>
      </c>
      <c r="B4626" s="1" t="s">
        <v>1449</v>
      </c>
      <c r="C4626" s="1"/>
      <c r="D4626" s="1"/>
      <c r="E4626" s="1"/>
      <c r="F4626" s="1"/>
      <c r="G4626" s="1"/>
      <c r="H4626" s="1" t="str">
        <f>"7800006009891"</f>
        <v>7800006009891</v>
      </c>
      <c r="I4626" s="3">
        <v>17</v>
      </c>
      <c r="J4626" s="3">
        <v>0</v>
      </c>
      <c r="K4626" s="3">
        <v>11000</v>
      </c>
    </row>
    <row r="4627" spans="1:11" x14ac:dyDescent="0.2">
      <c r="A4627" s="1" t="s">
        <v>74</v>
      </c>
      <c r="B4627" s="1" t="s">
        <v>1450</v>
      </c>
      <c r="C4627" s="1"/>
      <c r="D4627" s="1"/>
      <c r="E4627" s="1"/>
      <c r="F4627" s="1"/>
      <c r="G4627" s="1"/>
      <c r="H4627" s="1" t="str">
        <f>"7800006005268"</f>
        <v>7800006005268</v>
      </c>
      <c r="I4627" s="3">
        <v>21</v>
      </c>
      <c r="J4627" s="3">
        <v>0</v>
      </c>
      <c r="K4627" s="3">
        <v>12000</v>
      </c>
    </row>
    <row r="4628" spans="1:11" x14ac:dyDescent="0.2">
      <c r="A4628" s="1" t="s">
        <v>74</v>
      </c>
      <c r="B4628" s="1" t="s">
        <v>1451</v>
      </c>
      <c r="C4628" s="1"/>
      <c r="D4628" s="1"/>
      <c r="E4628" s="1"/>
      <c r="F4628" s="1"/>
      <c r="G4628" s="1"/>
      <c r="H4628" s="1" t="str">
        <f>"7804613901838"</f>
        <v>7804613901838</v>
      </c>
      <c r="I4628" s="3">
        <v>4</v>
      </c>
      <c r="J4628" s="3">
        <v>0</v>
      </c>
      <c r="K4628" s="3">
        <v>17000</v>
      </c>
    </row>
    <row r="4629" spans="1:11" x14ac:dyDescent="0.2">
      <c r="A4629" s="1" t="s">
        <v>74</v>
      </c>
      <c r="B4629" s="1" t="s">
        <v>1513</v>
      </c>
      <c r="C4629" s="1"/>
      <c r="D4629" s="1"/>
      <c r="E4629" s="1"/>
      <c r="F4629" s="1"/>
      <c r="G4629" s="1"/>
      <c r="H4629" s="1" t="str">
        <f>"7804610650012"</f>
        <v>7804610650012</v>
      </c>
      <c r="I4629" s="3">
        <v>32</v>
      </c>
      <c r="J4629" s="3">
        <v>0</v>
      </c>
      <c r="K4629" s="3">
        <v>5800</v>
      </c>
    </row>
    <row r="4630" spans="1:11" x14ac:dyDescent="0.2">
      <c r="A4630" s="1" t="s">
        <v>74</v>
      </c>
      <c r="B4630" s="1" t="s">
        <v>1546</v>
      </c>
      <c r="C4630" s="1"/>
      <c r="D4630" s="1"/>
      <c r="E4630" s="1"/>
      <c r="F4630" s="1"/>
      <c r="G4630" s="1"/>
      <c r="H4630" s="1" t="str">
        <f>"7804669580834"</f>
        <v>7804669580834</v>
      </c>
      <c r="I4630" s="3">
        <v>5</v>
      </c>
      <c r="J4630" s="3">
        <v>0</v>
      </c>
      <c r="K4630" s="3">
        <v>4000</v>
      </c>
    </row>
    <row r="4631" spans="1:11" x14ac:dyDescent="0.2">
      <c r="A4631" s="1" t="s">
        <v>74</v>
      </c>
      <c r="B4631" s="1" t="s">
        <v>1575</v>
      </c>
      <c r="C4631" s="1"/>
      <c r="D4631" s="1"/>
      <c r="E4631" s="1"/>
      <c r="F4631" s="1"/>
      <c r="G4631" s="1"/>
      <c r="H4631" s="1" t="str">
        <f>"7800006000119"</f>
        <v>7800006000119</v>
      </c>
      <c r="I4631" s="3">
        <v>6</v>
      </c>
      <c r="J4631" s="3">
        <v>0</v>
      </c>
      <c r="K4631" s="3">
        <v>6500</v>
      </c>
    </row>
    <row r="4632" spans="1:11" x14ac:dyDescent="0.2">
      <c r="A4632" s="1" t="s">
        <v>74</v>
      </c>
      <c r="B4632" s="1" t="s">
        <v>1576</v>
      </c>
      <c r="C4632" s="1"/>
      <c r="D4632" s="1"/>
      <c r="E4632" s="1"/>
      <c r="F4632" s="1"/>
      <c r="G4632" s="1"/>
      <c r="H4632" s="1" t="str">
        <f>"7800006003752"</f>
        <v>7800006003752</v>
      </c>
      <c r="I4632" s="3">
        <v>3</v>
      </c>
      <c r="J4632" s="3">
        <v>0</v>
      </c>
      <c r="K4632" s="3">
        <v>7500</v>
      </c>
    </row>
    <row r="4633" spans="1:11" x14ac:dyDescent="0.2">
      <c r="A4633" s="1" t="s">
        <v>74</v>
      </c>
      <c r="B4633" s="1" t="s">
        <v>1603</v>
      </c>
      <c r="C4633" s="1"/>
      <c r="D4633" s="1"/>
      <c r="E4633" s="1"/>
      <c r="F4633" s="1"/>
      <c r="G4633" s="1"/>
      <c r="H4633" s="1" t="str">
        <f>"7800006002069"</f>
        <v>7800006002069</v>
      </c>
      <c r="I4633" s="3">
        <v>15</v>
      </c>
      <c r="J4633" s="3">
        <v>0</v>
      </c>
      <c r="K4633" s="3">
        <v>4500</v>
      </c>
    </row>
    <row r="4634" spans="1:11" x14ac:dyDescent="0.2">
      <c r="A4634" s="1" t="s">
        <v>74</v>
      </c>
      <c r="B4634" s="1" t="s">
        <v>1632</v>
      </c>
      <c r="C4634" s="1"/>
      <c r="D4634" s="1"/>
      <c r="E4634" s="1"/>
      <c r="F4634" s="1"/>
      <c r="G4634" s="1"/>
      <c r="H4634" s="1" t="str">
        <f>"7800006003158"</f>
        <v>7800006003158</v>
      </c>
      <c r="I4634" s="3">
        <v>5</v>
      </c>
      <c r="J4634" s="3">
        <v>0</v>
      </c>
      <c r="K4634" s="3">
        <v>11000</v>
      </c>
    </row>
    <row r="4635" spans="1:11" x14ac:dyDescent="0.2">
      <c r="A4635" s="1" t="s">
        <v>74</v>
      </c>
      <c r="B4635" s="1" t="s">
        <v>1633</v>
      </c>
      <c r="C4635" s="1"/>
      <c r="D4635" s="1"/>
      <c r="E4635" s="1"/>
      <c r="F4635" s="1"/>
      <c r="G4635" s="1"/>
      <c r="H4635" s="1" t="str">
        <f>"7800006006692"</f>
        <v>7800006006692</v>
      </c>
      <c r="I4635" s="3">
        <v>8</v>
      </c>
      <c r="J4635" s="3">
        <v>0</v>
      </c>
      <c r="K4635" s="3">
        <v>10000</v>
      </c>
    </row>
    <row r="4636" spans="1:11" x14ac:dyDescent="0.2">
      <c r="A4636" s="1" t="s">
        <v>74</v>
      </c>
      <c r="B4636" s="1" t="s">
        <v>1638</v>
      </c>
      <c r="C4636" s="1"/>
      <c r="D4636" s="1"/>
      <c r="E4636" s="1"/>
      <c r="F4636" s="1"/>
      <c r="G4636" s="1"/>
      <c r="H4636" s="1" t="str">
        <f>"4007221053675"</f>
        <v>4007221053675</v>
      </c>
      <c r="I4636" s="3">
        <v>0</v>
      </c>
      <c r="J4636" s="3">
        <v>0</v>
      </c>
      <c r="K4636" s="3">
        <v>2000</v>
      </c>
    </row>
    <row r="4637" spans="1:11" x14ac:dyDescent="0.2">
      <c r="A4637" s="1" t="s">
        <v>74</v>
      </c>
      <c r="B4637" s="1" t="s">
        <v>1640</v>
      </c>
      <c r="C4637" s="1"/>
      <c r="D4637" s="1"/>
      <c r="E4637" s="1"/>
      <c r="F4637" s="1"/>
      <c r="G4637" s="1"/>
      <c r="H4637" s="1" t="str">
        <f>"4007221054221"</f>
        <v>4007221054221</v>
      </c>
      <c r="I4637" s="3">
        <v>8</v>
      </c>
      <c r="J4637" s="3">
        <v>0</v>
      </c>
      <c r="K4637" s="3">
        <v>10000</v>
      </c>
    </row>
    <row r="4638" spans="1:11" x14ac:dyDescent="0.2">
      <c r="A4638" s="1" t="s">
        <v>74</v>
      </c>
      <c r="B4638" s="1" t="s">
        <v>1676</v>
      </c>
      <c r="C4638" s="1"/>
      <c r="D4638" s="1"/>
      <c r="E4638" s="1"/>
      <c r="F4638" s="1"/>
      <c r="G4638" s="1"/>
      <c r="H4638" s="1" t="str">
        <f>"7805505009335"</f>
        <v>7805505009335</v>
      </c>
      <c r="I4638" s="3">
        <v>3</v>
      </c>
      <c r="J4638" s="3">
        <v>0</v>
      </c>
      <c r="K4638" s="3">
        <v>4000</v>
      </c>
    </row>
    <row r="4639" spans="1:11" x14ac:dyDescent="0.2">
      <c r="A4639" s="1" t="s">
        <v>74</v>
      </c>
      <c r="B4639" s="1" t="s">
        <v>1677</v>
      </c>
      <c r="C4639" s="1"/>
      <c r="D4639" s="1"/>
      <c r="E4639" s="1"/>
      <c r="F4639" s="1"/>
      <c r="G4639" s="1"/>
      <c r="H4639" s="1" t="str">
        <f>"7800006004438"</f>
        <v>7800006004438</v>
      </c>
      <c r="I4639" s="3">
        <v>0</v>
      </c>
      <c r="J4639" s="3">
        <v>0</v>
      </c>
      <c r="K4639" s="3">
        <v>4000</v>
      </c>
    </row>
    <row r="4640" spans="1:11" x14ac:dyDescent="0.2">
      <c r="A4640" s="1" t="s">
        <v>74</v>
      </c>
      <c r="B4640" s="1" t="s">
        <v>1678</v>
      </c>
      <c r="C4640" s="1"/>
      <c r="D4640" s="1"/>
      <c r="E4640" s="1"/>
      <c r="F4640" s="1"/>
      <c r="G4640" s="1"/>
      <c r="H4640" s="1" t="str">
        <f>"7800006004445"</f>
        <v>7800006004445</v>
      </c>
      <c r="I4640" s="3">
        <v>3</v>
      </c>
      <c r="J4640" s="3">
        <v>0</v>
      </c>
      <c r="K4640" s="3">
        <v>4000</v>
      </c>
    </row>
    <row r="4641" spans="1:11" x14ac:dyDescent="0.2">
      <c r="A4641" s="1" t="s">
        <v>74</v>
      </c>
      <c r="B4641" s="1" t="s">
        <v>1694</v>
      </c>
      <c r="C4641" s="1"/>
      <c r="D4641" s="1"/>
      <c r="E4641" s="1"/>
      <c r="F4641" s="1"/>
      <c r="G4641" s="1"/>
      <c r="H4641" s="1" t="str">
        <f>"7800006009914"</f>
        <v>7800006009914</v>
      </c>
      <c r="I4641" s="3">
        <v>0</v>
      </c>
      <c r="J4641" s="3">
        <v>0</v>
      </c>
      <c r="K4641" s="3">
        <v>8000</v>
      </c>
    </row>
    <row r="4642" spans="1:11" x14ac:dyDescent="0.2">
      <c r="A4642" s="1" t="s">
        <v>74</v>
      </c>
      <c r="B4642" s="1" t="s">
        <v>1879</v>
      </c>
      <c r="C4642" s="1"/>
      <c r="D4642" s="1"/>
      <c r="E4642" s="1"/>
      <c r="F4642" s="1"/>
      <c r="G4642" s="1"/>
      <c r="H4642" s="1" t="str">
        <f>"7800006000546"</f>
        <v>7800006000546</v>
      </c>
      <c r="I4642" s="3">
        <v>4</v>
      </c>
      <c r="J4642" s="3">
        <v>0</v>
      </c>
      <c r="K4642" s="3">
        <v>9500</v>
      </c>
    </row>
    <row r="4643" spans="1:11" x14ac:dyDescent="0.2">
      <c r="A4643" s="1" t="s">
        <v>74</v>
      </c>
      <c r="B4643" s="1" t="s">
        <v>1956</v>
      </c>
      <c r="C4643" s="1"/>
      <c r="D4643" s="1"/>
      <c r="E4643" s="1"/>
      <c r="F4643" s="1"/>
      <c r="G4643" s="1"/>
      <c r="H4643" s="1" t="str">
        <f>"761887187359"</f>
        <v>761887187359</v>
      </c>
      <c r="I4643" s="3">
        <v>6</v>
      </c>
      <c r="J4643" s="3">
        <v>0</v>
      </c>
      <c r="K4643" s="3">
        <v>6500</v>
      </c>
    </row>
    <row r="4644" spans="1:11" x14ac:dyDescent="0.2">
      <c r="A4644" s="1" t="s">
        <v>74</v>
      </c>
      <c r="B4644" s="1" t="s">
        <v>1971</v>
      </c>
      <c r="C4644" s="1"/>
      <c r="D4644" s="1"/>
      <c r="E4644" s="1"/>
      <c r="F4644" s="1"/>
      <c r="G4644" s="1"/>
      <c r="H4644" s="1" t="str">
        <f>"7800006011191"</f>
        <v>7800006011191</v>
      </c>
      <c r="I4644" s="3">
        <v>1</v>
      </c>
      <c r="J4644" s="3">
        <v>0</v>
      </c>
      <c r="K4644" s="3">
        <v>5000</v>
      </c>
    </row>
    <row r="4645" spans="1:11" x14ac:dyDescent="0.2">
      <c r="A4645" s="1" t="s">
        <v>74</v>
      </c>
      <c r="B4645" s="1" t="s">
        <v>1972</v>
      </c>
      <c r="C4645" s="1"/>
      <c r="D4645" s="1"/>
      <c r="E4645" s="1"/>
      <c r="F4645" s="1"/>
      <c r="G4645" s="1"/>
      <c r="H4645" s="1" t="str">
        <f>"7800006005794"</f>
        <v>7800006005794</v>
      </c>
      <c r="I4645" s="3">
        <v>2</v>
      </c>
      <c r="J4645" s="3">
        <v>0</v>
      </c>
      <c r="K4645" s="3">
        <v>15470</v>
      </c>
    </row>
    <row r="4646" spans="1:11" x14ac:dyDescent="0.2">
      <c r="A4646" s="1" t="s">
        <v>74</v>
      </c>
      <c r="B4646" s="1" t="s">
        <v>1973</v>
      </c>
      <c r="C4646" s="1"/>
      <c r="D4646" s="1"/>
      <c r="E4646" s="1"/>
      <c r="F4646" s="1"/>
      <c r="G4646" s="1"/>
      <c r="H4646" s="1" t="str">
        <f>"7800006008993"</f>
        <v>7800006008993</v>
      </c>
      <c r="I4646" s="3">
        <v>0</v>
      </c>
      <c r="J4646" s="3">
        <v>0</v>
      </c>
      <c r="K4646" s="3">
        <v>9000</v>
      </c>
    </row>
    <row r="4647" spans="1:11" x14ac:dyDescent="0.2">
      <c r="A4647" s="1" t="s">
        <v>74</v>
      </c>
      <c r="B4647" s="1" t="s">
        <v>1974</v>
      </c>
      <c r="C4647" s="1"/>
      <c r="D4647" s="1"/>
      <c r="E4647" s="1"/>
      <c r="F4647" s="1"/>
      <c r="G4647" s="1"/>
      <c r="H4647" s="1" t="str">
        <f>"7730997410607"</f>
        <v>7730997410607</v>
      </c>
      <c r="I4647" s="3">
        <v>0</v>
      </c>
      <c r="J4647" s="3">
        <v>0</v>
      </c>
      <c r="K4647" s="3">
        <v>6500</v>
      </c>
    </row>
    <row r="4648" spans="1:11" x14ac:dyDescent="0.2">
      <c r="A4648" s="1" t="s">
        <v>74</v>
      </c>
      <c r="B4648" s="1" t="s">
        <v>1981</v>
      </c>
      <c r="C4648" s="1"/>
      <c r="D4648" s="1"/>
      <c r="E4648" s="1"/>
      <c r="F4648" s="1"/>
      <c r="G4648" s="1"/>
      <c r="H4648" s="1" t="str">
        <f>"7800006010118"</f>
        <v>7800006010118</v>
      </c>
      <c r="I4648" s="3">
        <v>3</v>
      </c>
      <c r="J4648" s="3">
        <v>0</v>
      </c>
      <c r="K4648" s="3">
        <v>2500</v>
      </c>
    </row>
    <row r="4649" spans="1:11" x14ac:dyDescent="0.2">
      <c r="A4649" s="1" t="s">
        <v>74</v>
      </c>
      <c r="B4649" s="1" t="s">
        <v>2008</v>
      </c>
      <c r="C4649" s="1"/>
      <c r="D4649" s="1"/>
      <c r="E4649" s="1"/>
      <c r="F4649" s="1"/>
      <c r="G4649" s="1"/>
      <c r="H4649" s="1" t="str">
        <f>"7898921847063"</f>
        <v>7898921847063</v>
      </c>
      <c r="I4649" s="3">
        <v>56</v>
      </c>
      <c r="J4649" s="3">
        <v>0</v>
      </c>
      <c r="K4649" s="3">
        <v>10000</v>
      </c>
    </row>
    <row r="4650" spans="1:11" x14ac:dyDescent="0.2">
      <c r="A4650" s="1" t="s">
        <v>74</v>
      </c>
      <c r="B4650" s="1" t="s">
        <v>2014</v>
      </c>
      <c r="C4650" s="1"/>
      <c r="D4650" s="1"/>
      <c r="E4650" s="1"/>
      <c r="F4650" s="1"/>
      <c r="G4650" s="1"/>
      <c r="H4650" s="1" t="str">
        <f>"7800006010316"</f>
        <v>7800006010316</v>
      </c>
      <c r="I4650" s="3">
        <v>0</v>
      </c>
      <c r="J4650" s="3">
        <v>0</v>
      </c>
      <c r="K4650" s="3">
        <v>1200</v>
      </c>
    </row>
    <row r="4651" spans="1:11" x14ac:dyDescent="0.2">
      <c r="A4651" s="1" t="s">
        <v>74</v>
      </c>
      <c r="B4651" s="1" t="s">
        <v>2015</v>
      </c>
      <c r="C4651" s="1"/>
      <c r="D4651" s="1"/>
      <c r="E4651" s="1"/>
      <c r="F4651" s="1"/>
      <c r="G4651" s="1"/>
      <c r="H4651" s="1" t="str">
        <f>"7800006002779"</f>
        <v>7800006002779</v>
      </c>
      <c r="I4651" s="3">
        <v>2</v>
      </c>
      <c r="J4651" s="3">
        <v>0</v>
      </c>
      <c r="K4651" s="3">
        <v>72000</v>
      </c>
    </row>
    <row r="4652" spans="1:11" x14ac:dyDescent="0.2">
      <c r="A4652" s="1" t="s">
        <v>74</v>
      </c>
      <c r="B4652" s="1" t="s">
        <v>2016</v>
      </c>
      <c r="C4652" s="1"/>
      <c r="D4652" s="1"/>
      <c r="E4652" s="1"/>
      <c r="F4652" s="1"/>
      <c r="G4652" s="1"/>
      <c r="H4652" s="1" t="str">
        <f>"7800006003349"</f>
        <v>7800006003349</v>
      </c>
      <c r="I4652" s="3">
        <v>0</v>
      </c>
      <c r="J4652" s="3">
        <v>0</v>
      </c>
      <c r="K4652" s="3">
        <v>3500</v>
      </c>
    </row>
    <row r="4653" spans="1:11" x14ac:dyDescent="0.2">
      <c r="A4653" s="1" t="s">
        <v>74</v>
      </c>
      <c r="B4653" s="1" t="s">
        <v>2017</v>
      </c>
      <c r="C4653" s="1"/>
      <c r="D4653" s="1"/>
      <c r="E4653" s="1"/>
      <c r="F4653" s="1"/>
      <c r="G4653" s="1"/>
      <c r="H4653" s="1" t="str">
        <f>"XXC21"</f>
        <v>XXC21</v>
      </c>
      <c r="I4653" s="3">
        <v>0</v>
      </c>
      <c r="J4653" s="3">
        <v>0</v>
      </c>
      <c r="K4653" s="3">
        <v>3000</v>
      </c>
    </row>
    <row r="4654" spans="1:11" x14ac:dyDescent="0.2">
      <c r="A4654" s="1" t="s">
        <v>74</v>
      </c>
      <c r="B4654" s="1" t="s">
        <v>2064</v>
      </c>
      <c r="C4654" s="1"/>
      <c r="D4654" s="1"/>
      <c r="E4654" s="1"/>
      <c r="F4654" s="1"/>
      <c r="G4654" s="1"/>
      <c r="H4654" s="1" t="str">
        <f>"7809599502345"</f>
        <v>7809599502345</v>
      </c>
      <c r="I4654" s="3">
        <v>13</v>
      </c>
      <c r="J4654" s="3">
        <v>0</v>
      </c>
      <c r="K4654" s="3">
        <v>15000</v>
      </c>
    </row>
    <row r="4655" spans="1:11" x14ac:dyDescent="0.2">
      <c r="A4655" s="1" t="s">
        <v>74</v>
      </c>
      <c r="B4655" s="1" t="s">
        <v>2065</v>
      </c>
      <c r="C4655" s="1"/>
      <c r="D4655" s="1"/>
      <c r="E4655" s="1"/>
      <c r="F4655" s="1"/>
      <c r="G4655" s="1"/>
      <c r="H4655" s="1" t="str">
        <f>"7730997410591"</f>
        <v>7730997410591</v>
      </c>
      <c r="I4655" s="3">
        <v>12</v>
      </c>
      <c r="J4655" s="3">
        <v>0</v>
      </c>
      <c r="K4655" s="3">
        <v>7000</v>
      </c>
    </row>
    <row r="4656" spans="1:11" x14ac:dyDescent="0.2">
      <c r="A4656" s="1" t="s">
        <v>74</v>
      </c>
      <c r="B4656" s="1" t="s">
        <v>2066</v>
      </c>
      <c r="C4656" s="1"/>
      <c r="D4656" s="1"/>
      <c r="E4656" s="1"/>
      <c r="F4656" s="1"/>
      <c r="G4656" s="1"/>
      <c r="H4656" s="1" t="str">
        <f>"7730997410577"</f>
        <v>7730997410577</v>
      </c>
      <c r="I4656" s="3">
        <v>10</v>
      </c>
      <c r="J4656" s="3">
        <v>0</v>
      </c>
      <c r="K4656" s="3">
        <v>10000</v>
      </c>
    </row>
    <row r="4657" spans="1:11" x14ac:dyDescent="0.2">
      <c r="A4657" s="1" t="s">
        <v>74</v>
      </c>
      <c r="B4657" s="1" t="s">
        <v>2067</v>
      </c>
      <c r="C4657" s="1"/>
      <c r="D4657" s="1"/>
      <c r="E4657" s="1"/>
      <c r="F4657" s="1"/>
      <c r="G4657" s="1"/>
      <c r="H4657" s="1" t="str">
        <f>"7730997410560"</f>
        <v>7730997410560</v>
      </c>
      <c r="I4657" s="3">
        <v>18</v>
      </c>
      <c r="J4657" s="3">
        <v>0</v>
      </c>
      <c r="K4657" s="3">
        <v>13000</v>
      </c>
    </row>
    <row r="4658" spans="1:11" x14ac:dyDescent="0.2">
      <c r="A4658" s="1" t="s">
        <v>74</v>
      </c>
      <c r="B4658" s="1" t="s">
        <v>2068</v>
      </c>
      <c r="C4658" s="1"/>
      <c r="D4658" s="1"/>
      <c r="E4658" s="1"/>
      <c r="F4658" s="1"/>
      <c r="G4658" s="1"/>
      <c r="H4658" s="1" t="str">
        <f>"7730997410584"</f>
        <v>7730997410584</v>
      </c>
      <c r="I4658" s="3">
        <v>21</v>
      </c>
      <c r="J4658" s="3">
        <v>0</v>
      </c>
      <c r="K4658" s="3">
        <v>8000</v>
      </c>
    </row>
    <row r="4659" spans="1:11" x14ac:dyDescent="0.2">
      <c r="A4659" s="1" t="s">
        <v>74</v>
      </c>
      <c r="B4659" s="1" t="s">
        <v>2132</v>
      </c>
      <c r="C4659" s="1"/>
      <c r="D4659" s="1"/>
      <c r="E4659" s="1"/>
      <c r="F4659" s="1"/>
      <c r="G4659" s="1"/>
      <c r="H4659" s="1" t="str">
        <f>"7800006006975"</f>
        <v>7800006006975</v>
      </c>
      <c r="I4659" s="3">
        <v>11</v>
      </c>
      <c r="J4659" s="3">
        <v>0</v>
      </c>
      <c r="K4659" s="3">
        <v>11500</v>
      </c>
    </row>
    <row r="4660" spans="1:11" x14ac:dyDescent="0.2">
      <c r="A4660" s="1" t="s">
        <v>74</v>
      </c>
      <c r="B4660" s="1" t="s">
        <v>2214</v>
      </c>
      <c r="C4660" s="1"/>
      <c r="D4660" s="1"/>
      <c r="E4660" s="1"/>
      <c r="F4660" s="1"/>
      <c r="G4660" s="1"/>
      <c r="H4660" s="1" t="str">
        <f>"7895559320036"</f>
        <v>7895559320036</v>
      </c>
      <c r="I4660" s="3">
        <v>5</v>
      </c>
      <c r="J4660" s="3">
        <v>0</v>
      </c>
      <c r="K4660" s="3">
        <v>12000</v>
      </c>
    </row>
    <row r="4661" spans="1:11" x14ac:dyDescent="0.2">
      <c r="A4661" s="1" t="s">
        <v>74</v>
      </c>
      <c r="B4661" s="1" t="s">
        <v>2215</v>
      </c>
      <c r="C4661" s="1"/>
      <c r="D4661" s="1"/>
      <c r="E4661" s="1"/>
      <c r="F4661" s="1"/>
      <c r="G4661" s="1"/>
      <c r="H4661" s="1" t="str">
        <f>"7898053580883"</f>
        <v>7898053580883</v>
      </c>
      <c r="I4661" s="3">
        <v>3</v>
      </c>
      <c r="J4661" s="3">
        <v>0</v>
      </c>
      <c r="K4661" s="3">
        <v>16500</v>
      </c>
    </row>
    <row r="4662" spans="1:11" x14ac:dyDescent="0.2">
      <c r="A4662" s="1" t="s">
        <v>74</v>
      </c>
      <c r="B4662" s="1" t="s">
        <v>2334</v>
      </c>
      <c r="C4662" s="1"/>
      <c r="D4662" s="1"/>
      <c r="E4662" s="1"/>
      <c r="F4662" s="1"/>
      <c r="G4662" s="1"/>
      <c r="H4662" s="1" t="str">
        <f>"7800006000553"</f>
        <v>7800006000553</v>
      </c>
      <c r="I4662" s="3">
        <v>0</v>
      </c>
      <c r="J4662" s="3">
        <v>0</v>
      </c>
      <c r="K4662" s="3">
        <v>8500</v>
      </c>
    </row>
    <row r="4663" spans="1:11" x14ac:dyDescent="0.2">
      <c r="A4663" s="1" t="s">
        <v>74</v>
      </c>
      <c r="B4663" s="1" t="s">
        <v>2349</v>
      </c>
      <c r="C4663" s="1"/>
      <c r="D4663" s="1"/>
      <c r="E4663" s="1"/>
      <c r="F4663" s="1"/>
      <c r="G4663" s="1"/>
      <c r="H4663" s="1" t="str">
        <f>"7895559330035"</f>
        <v>7895559330035</v>
      </c>
      <c r="I4663" s="3">
        <v>5</v>
      </c>
      <c r="J4663" s="3">
        <v>0</v>
      </c>
      <c r="K4663" s="3">
        <v>7000</v>
      </c>
    </row>
    <row r="4664" spans="1:11" x14ac:dyDescent="0.2">
      <c r="A4664" s="1" t="s">
        <v>74</v>
      </c>
      <c r="B4664" s="1" t="s">
        <v>2354</v>
      </c>
      <c r="C4664" s="1"/>
      <c r="D4664" s="1"/>
      <c r="E4664" s="1"/>
      <c r="F4664" s="1"/>
      <c r="G4664" s="1"/>
      <c r="H4664" s="1" t="str">
        <f>"7800006000232"</f>
        <v>7800006000232</v>
      </c>
      <c r="I4664" s="3">
        <v>0</v>
      </c>
      <c r="J4664" s="3">
        <v>0</v>
      </c>
      <c r="K4664" s="3">
        <v>8500</v>
      </c>
    </row>
    <row r="4665" spans="1:11" x14ac:dyDescent="0.2">
      <c r="A4665" s="1" t="s">
        <v>74</v>
      </c>
      <c r="B4665" s="1" t="s">
        <v>2357</v>
      </c>
      <c r="C4665" s="1"/>
      <c r="D4665" s="1"/>
      <c r="E4665" s="1"/>
      <c r="F4665" s="1"/>
      <c r="G4665" s="1"/>
      <c r="H4665" s="1" t="str">
        <f>"7800006006821"</f>
        <v>7800006006821</v>
      </c>
      <c r="I4665" s="3">
        <v>14</v>
      </c>
      <c r="J4665" s="3">
        <v>0</v>
      </c>
      <c r="K4665" s="3">
        <v>10000</v>
      </c>
    </row>
    <row r="4666" spans="1:11" x14ac:dyDescent="0.2">
      <c r="A4666" s="1" t="s">
        <v>74</v>
      </c>
      <c r="B4666" s="1" t="s">
        <v>2481</v>
      </c>
      <c r="C4666" s="1"/>
      <c r="D4666" s="1"/>
      <c r="E4666" s="1"/>
      <c r="F4666" s="1"/>
      <c r="G4666" s="1"/>
      <c r="H4666" s="1" t="str">
        <f>"7800006007521"</f>
        <v>7800006007521</v>
      </c>
      <c r="I4666" s="3">
        <v>0</v>
      </c>
      <c r="J4666" s="3">
        <v>0</v>
      </c>
      <c r="K4666" s="3">
        <v>11000</v>
      </c>
    </row>
    <row r="4667" spans="1:11" x14ac:dyDescent="0.2">
      <c r="A4667" s="1" t="s">
        <v>74</v>
      </c>
      <c r="B4667" s="1" t="s">
        <v>2495</v>
      </c>
      <c r="C4667" s="1"/>
      <c r="D4667" s="1"/>
      <c r="E4667" s="1"/>
      <c r="F4667" s="1"/>
      <c r="G4667" s="1"/>
      <c r="H4667" s="1" t="str">
        <f>"7800006000683"</f>
        <v>7800006000683</v>
      </c>
      <c r="I4667" s="3">
        <v>4</v>
      </c>
      <c r="J4667" s="3">
        <v>0</v>
      </c>
      <c r="K4667" s="3">
        <v>5000</v>
      </c>
    </row>
    <row r="4668" spans="1:11" x14ac:dyDescent="0.2">
      <c r="A4668" s="1" t="s">
        <v>74</v>
      </c>
      <c r="B4668" s="1" t="s">
        <v>2496</v>
      </c>
      <c r="C4668" s="1"/>
      <c r="D4668" s="1"/>
      <c r="E4668" s="1"/>
      <c r="F4668" s="1"/>
      <c r="G4668" s="1"/>
      <c r="H4668" s="1" t="str">
        <f>"7800006000249"</f>
        <v>7800006000249</v>
      </c>
      <c r="I4668" s="3">
        <v>14</v>
      </c>
      <c r="J4668" s="3">
        <v>0</v>
      </c>
      <c r="K4668" s="3">
        <v>1500</v>
      </c>
    </row>
    <row r="4669" spans="1:11" x14ac:dyDescent="0.2">
      <c r="A4669" s="1" t="s">
        <v>74</v>
      </c>
      <c r="B4669" s="1" t="s">
        <v>2497</v>
      </c>
      <c r="C4669" s="1"/>
      <c r="D4669" s="1"/>
      <c r="E4669" s="1"/>
      <c r="F4669" s="1"/>
      <c r="G4669" s="1"/>
      <c r="H4669" s="1" t="str">
        <f>"7800006002861"</f>
        <v>7800006002861</v>
      </c>
      <c r="I4669" s="3">
        <v>92</v>
      </c>
      <c r="J4669" s="3">
        <v>0</v>
      </c>
      <c r="K4669" s="3">
        <v>1500</v>
      </c>
    </row>
    <row r="4670" spans="1:11" x14ac:dyDescent="0.2">
      <c r="A4670" s="1" t="s">
        <v>74</v>
      </c>
      <c r="B4670" s="1" t="s">
        <v>2531</v>
      </c>
      <c r="C4670" s="1"/>
      <c r="D4670" s="1"/>
      <c r="E4670" s="1"/>
      <c r="F4670" s="1"/>
      <c r="G4670" s="1"/>
      <c r="H4670" s="1" t="str">
        <f>"7809599501683"</f>
        <v>7809599501683</v>
      </c>
      <c r="I4670" s="3">
        <v>1</v>
      </c>
      <c r="J4670" s="3">
        <v>0</v>
      </c>
      <c r="K4670" s="3">
        <v>32000</v>
      </c>
    </row>
    <row r="4671" spans="1:11" x14ac:dyDescent="0.2">
      <c r="A4671" s="1" t="s">
        <v>74</v>
      </c>
      <c r="B4671" s="1" t="s">
        <v>2706</v>
      </c>
      <c r="C4671" s="1"/>
      <c r="D4671" s="1"/>
      <c r="E4671" s="1"/>
      <c r="F4671" s="1"/>
      <c r="G4671" s="1"/>
      <c r="H4671" s="1" t="str">
        <f>"7800006005350"</f>
        <v>7800006005350</v>
      </c>
      <c r="I4671" s="3">
        <v>1</v>
      </c>
      <c r="J4671" s="3">
        <v>0</v>
      </c>
      <c r="K4671" s="3">
        <v>6000</v>
      </c>
    </row>
    <row r="4672" spans="1:11" x14ac:dyDescent="0.2">
      <c r="A4672" s="1" t="s">
        <v>74</v>
      </c>
      <c r="B4672" s="1" t="s">
        <v>2735</v>
      </c>
      <c r="C4672" s="1"/>
      <c r="D4672" s="1"/>
      <c r="E4672" s="1"/>
      <c r="F4672" s="1"/>
      <c r="G4672" s="1"/>
      <c r="H4672" s="1" t="str">
        <f>"7800006002564"</f>
        <v>7800006002564</v>
      </c>
      <c r="I4672" s="3">
        <v>6</v>
      </c>
      <c r="J4672" s="3">
        <v>0</v>
      </c>
      <c r="K4672" s="3">
        <v>5500</v>
      </c>
    </row>
    <row r="4673" spans="1:11" x14ac:dyDescent="0.2">
      <c r="A4673" s="1" t="s">
        <v>74</v>
      </c>
      <c r="B4673" s="1" t="s">
        <v>2932</v>
      </c>
      <c r="C4673" s="1"/>
      <c r="D4673" s="1"/>
      <c r="E4673" s="1"/>
      <c r="F4673" s="1"/>
      <c r="G4673" s="1"/>
      <c r="H4673" s="1" t="str">
        <f>"7800006004421"</f>
        <v>7800006004421</v>
      </c>
      <c r="I4673" s="3">
        <v>32</v>
      </c>
      <c r="J4673" s="3">
        <v>0</v>
      </c>
      <c r="K4673" s="3">
        <v>5500</v>
      </c>
    </row>
    <row r="4674" spans="1:11" x14ac:dyDescent="0.2">
      <c r="A4674" s="1" t="s">
        <v>74</v>
      </c>
      <c r="B4674" s="1" t="s">
        <v>2933</v>
      </c>
      <c r="C4674" s="1"/>
      <c r="D4674" s="1"/>
      <c r="E4674" s="1"/>
      <c r="F4674" s="1"/>
      <c r="G4674" s="1"/>
      <c r="H4674" s="1" t="str">
        <f>"7800006003622"</f>
        <v>7800006003622</v>
      </c>
      <c r="I4674" s="3">
        <v>38</v>
      </c>
      <c r="J4674" s="3">
        <v>0</v>
      </c>
      <c r="K4674" s="3">
        <v>10000</v>
      </c>
    </row>
    <row r="4675" spans="1:11" x14ac:dyDescent="0.2">
      <c r="A4675" s="1" t="s">
        <v>74</v>
      </c>
      <c r="B4675" s="1" t="s">
        <v>2934</v>
      </c>
      <c r="C4675" s="1"/>
      <c r="D4675" s="1"/>
      <c r="E4675" s="1"/>
      <c r="F4675" s="1"/>
      <c r="G4675" s="1"/>
      <c r="H4675" s="1" t="str">
        <f>"7800006003561"</f>
        <v>7800006003561</v>
      </c>
      <c r="I4675" s="3">
        <v>28</v>
      </c>
      <c r="J4675" s="3">
        <v>0</v>
      </c>
      <c r="K4675" s="3">
        <v>8000</v>
      </c>
    </row>
    <row r="4676" spans="1:11" x14ac:dyDescent="0.2">
      <c r="A4676" s="1" t="s">
        <v>74</v>
      </c>
      <c r="B4676" s="1" t="s">
        <v>3018</v>
      </c>
      <c r="C4676" s="1"/>
      <c r="D4676" s="1"/>
      <c r="E4676" s="1"/>
      <c r="F4676" s="1"/>
      <c r="G4676" s="1"/>
      <c r="H4676" s="1" t="str">
        <f>"7800006011542"</f>
        <v>7800006011542</v>
      </c>
      <c r="I4676" s="3">
        <v>3</v>
      </c>
      <c r="J4676" s="3">
        <v>0</v>
      </c>
      <c r="K4676" s="3">
        <v>17000</v>
      </c>
    </row>
    <row r="4677" spans="1:11" x14ac:dyDescent="0.2">
      <c r="A4677" s="1" t="s">
        <v>74</v>
      </c>
      <c r="B4677" s="1" t="s">
        <v>3019</v>
      </c>
      <c r="C4677" s="1"/>
      <c r="D4677" s="1"/>
      <c r="E4677" s="1"/>
      <c r="F4677" s="1"/>
      <c r="G4677" s="1"/>
      <c r="H4677" s="1" t="str">
        <f>"7800006010330"</f>
        <v>7800006010330</v>
      </c>
      <c r="I4677" s="3">
        <v>18</v>
      </c>
      <c r="J4677" s="3">
        <v>0</v>
      </c>
      <c r="K4677" s="3">
        <v>17000</v>
      </c>
    </row>
    <row r="4678" spans="1:11" x14ac:dyDescent="0.2">
      <c r="A4678" s="1" t="s">
        <v>74</v>
      </c>
      <c r="B4678" s="1" t="s">
        <v>3097</v>
      </c>
      <c r="C4678" s="1"/>
      <c r="D4678" s="1"/>
      <c r="E4678" s="1"/>
      <c r="F4678" s="1"/>
      <c r="G4678" s="1"/>
      <c r="H4678" s="1" t="str">
        <f>"7800006003455"</f>
        <v>7800006003455</v>
      </c>
      <c r="I4678" s="3">
        <v>40</v>
      </c>
      <c r="J4678" s="3">
        <v>0</v>
      </c>
      <c r="K4678" s="3">
        <v>10000</v>
      </c>
    </row>
    <row r="4679" spans="1:11" x14ac:dyDescent="0.2">
      <c r="A4679" s="1" t="s">
        <v>74</v>
      </c>
      <c r="B4679" s="1" t="s">
        <v>3098</v>
      </c>
      <c r="C4679" s="1"/>
      <c r="D4679" s="1"/>
      <c r="E4679" s="1"/>
      <c r="F4679" s="1"/>
      <c r="G4679" s="1"/>
      <c r="H4679" s="1" t="str">
        <f>"7800006008221"</f>
        <v>7800006008221</v>
      </c>
      <c r="I4679" s="3">
        <v>19</v>
      </c>
      <c r="J4679" s="3">
        <v>0</v>
      </c>
      <c r="K4679" s="3">
        <v>16000</v>
      </c>
    </row>
    <row r="4680" spans="1:11" x14ac:dyDescent="0.2">
      <c r="A4680" s="1" t="s">
        <v>74</v>
      </c>
      <c r="B4680" s="1" t="s">
        <v>3151</v>
      </c>
      <c r="C4680" s="1"/>
      <c r="D4680" s="1"/>
      <c r="E4680" s="1"/>
      <c r="F4680" s="1"/>
      <c r="G4680" s="1"/>
      <c r="H4680" s="1" t="str">
        <f>"8711231114306"</f>
        <v>8711231114306</v>
      </c>
      <c r="I4680" s="3">
        <v>0</v>
      </c>
      <c r="J4680" s="3">
        <v>0</v>
      </c>
      <c r="K4680" s="3">
        <v>14000</v>
      </c>
    </row>
    <row r="4681" spans="1:11" x14ac:dyDescent="0.2">
      <c r="A4681" s="1" t="s">
        <v>74</v>
      </c>
      <c r="B4681" s="1" t="s">
        <v>3217</v>
      </c>
      <c r="C4681" s="1"/>
      <c r="D4681" s="1"/>
      <c r="E4681" s="1"/>
      <c r="F4681" s="1"/>
      <c r="G4681" s="1"/>
      <c r="H4681" s="1" t="str">
        <f>"7800006006814"</f>
        <v>7800006006814</v>
      </c>
      <c r="I4681" s="3">
        <v>0</v>
      </c>
      <c r="J4681" s="3">
        <v>0</v>
      </c>
      <c r="K4681" s="3">
        <v>7000</v>
      </c>
    </row>
    <row r="4682" spans="1:11" x14ac:dyDescent="0.2">
      <c r="A4682" s="1" t="s">
        <v>74</v>
      </c>
      <c r="B4682" s="1" t="s">
        <v>3218</v>
      </c>
      <c r="C4682" s="1"/>
      <c r="D4682" s="1"/>
      <c r="E4682" s="1"/>
      <c r="F4682" s="1"/>
      <c r="G4682" s="1"/>
      <c r="H4682" s="1" t="str">
        <f>"7800006002410"</f>
        <v>7800006002410</v>
      </c>
      <c r="I4682" s="3">
        <v>14</v>
      </c>
      <c r="J4682" s="3">
        <v>0</v>
      </c>
      <c r="K4682" s="3">
        <v>8000</v>
      </c>
    </row>
    <row r="4683" spans="1:11" x14ac:dyDescent="0.2">
      <c r="A4683" s="1" t="s">
        <v>74</v>
      </c>
      <c r="B4683" s="1" t="s">
        <v>3219</v>
      </c>
      <c r="C4683" s="1"/>
      <c r="D4683" s="1"/>
      <c r="E4683" s="1"/>
      <c r="F4683" s="1"/>
      <c r="G4683" s="1"/>
      <c r="H4683" s="1" t="str">
        <f>"7800006003370"</f>
        <v>7800006003370</v>
      </c>
      <c r="I4683" s="3">
        <v>60</v>
      </c>
      <c r="J4683" s="3">
        <v>0</v>
      </c>
      <c r="K4683" s="3">
        <v>9000</v>
      </c>
    </row>
    <row r="4684" spans="1:11" x14ac:dyDescent="0.2">
      <c r="A4684" s="1" t="s">
        <v>74</v>
      </c>
      <c r="B4684" s="1" t="s">
        <v>3270</v>
      </c>
      <c r="C4684" s="1"/>
      <c r="D4684" s="1"/>
      <c r="E4684" s="1"/>
      <c r="F4684" s="1"/>
      <c r="G4684" s="1"/>
      <c r="H4684" s="1" t="str">
        <f>"7809599501553"</f>
        <v>7809599501553</v>
      </c>
      <c r="I4684" s="3">
        <v>0</v>
      </c>
      <c r="J4684" s="3">
        <v>0</v>
      </c>
      <c r="K4684" s="3">
        <v>17000</v>
      </c>
    </row>
    <row r="4685" spans="1:11" x14ac:dyDescent="0.2">
      <c r="A4685" s="1" t="s">
        <v>74</v>
      </c>
      <c r="B4685" s="1" t="s">
        <v>3271</v>
      </c>
      <c r="C4685" s="1"/>
      <c r="D4685" s="1"/>
      <c r="E4685" s="1"/>
      <c r="F4685" s="1"/>
      <c r="G4685" s="1"/>
      <c r="H4685" s="1" t="str">
        <f>"7809599501980"</f>
        <v>7809599501980</v>
      </c>
      <c r="I4685" s="3">
        <v>0</v>
      </c>
      <c r="J4685" s="3">
        <v>0</v>
      </c>
      <c r="K4685" s="3">
        <v>35000</v>
      </c>
    </row>
    <row r="4686" spans="1:11" x14ac:dyDescent="0.2">
      <c r="A4686" s="1" t="s">
        <v>74</v>
      </c>
      <c r="B4686" s="1" t="s">
        <v>3272</v>
      </c>
      <c r="C4686" s="1"/>
      <c r="D4686" s="1"/>
      <c r="E4686" s="1"/>
      <c r="F4686" s="1"/>
      <c r="G4686" s="1"/>
      <c r="H4686" s="1" t="str">
        <f>"7809599501539"</f>
        <v>7809599501539</v>
      </c>
      <c r="I4686" s="3">
        <v>65</v>
      </c>
      <c r="J4686" s="3">
        <v>0</v>
      </c>
      <c r="K4686" s="3">
        <v>14000</v>
      </c>
    </row>
    <row r="4687" spans="1:11" x14ac:dyDescent="0.2">
      <c r="A4687" s="1" t="s">
        <v>74</v>
      </c>
      <c r="B4687" s="1" t="s">
        <v>3273</v>
      </c>
      <c r="C4687" s="1"/>
      <c r="D4687" s="1"/>
      <c r="E4687" s="1"/>
      <c r="F4687" s="1"/>
      <c r="G4687" s="1"/>
      <c r="H4687" s="1" t="str">
        <f>"7809599501560"</f>
        <v>7809599501560</v>
      </c>
      <c r="I4687" s="3">
        <v>89</v>
      </c>
      <c r="J4687" s="3">
        <v>0</v>
      </c>
      <c r="K4687" s="3">
        <v>23000</v>
      </c>
    </row>
    <row r="4688" spans="1:11" x14ac:dyDescent="0.2">
      <c r="A4688" s="1" t="s">
        <v>74</v>
      </c>
      <c r="B4688" s="1" t="s">
        <v>3274</v>
      </c>
      <c r="C4688" s="1"/>
      <c r="D4688" s="1"/>
      <c r="E4688" s="1"/>
      <c r="F4688" s="1"/>
      <c r="G4688" s="1"/>
      <c r="H4688" s="1" t="str">
        <f>"7809599501546"</f>
        <v>7809599501546</v>
      </c>
      <c r="I4688" s="3">
        <v>16</v>
      </c>
      <c r="J4688" s="3">
        <v>0</v>
      </c>
      <c r="K4688" s="3">
        <v>15000</v>
      </c>
    </row>
    <row r="4689" spans="1:11" x14ac:dyDescent="0.2">
      <c r="A4689" s="1" t="s">
        <v>74</v>
      </c>
      <c r="B4689" s="1" t="s">
        <v>3277</v>
      </c>
      <c r="C4689" s="1"/>
      <c r="D4689" s="1"/>
      <c r="E4689" s="1"/>
      <c r="F4689" s="1"/>
      <c r="G4689" s="1"/>
      <c r="H4689" s="1" t="str">
        <f>"4064951005718"</f>
        <v>4064951005718</v>
      </c>
      <c r="I4689" s="3">
        <v>8</v>
      </c>
      <c r="J4689" s="3">
        <v>0</v>
      </c>
      <c r="K4689" s="3">
        <v>9500</v>
      </c>
    </row>
    <row r="4690" spans="1:11" x14ac:dyDescent="0.2">
      <c r="A4690" s="1" t="s">
        <v>74</v>
      </c>
      <c r="B4690" s="1" t="s">
        <v>3278</v>
      </c>
      <c r="C4690" s="1"/>
      <c r="D4690" s="1"/>
      <c r="E4690" s="1"/>
      <c r="F4690" s="1"/>
      <c r="G4690" s="1"/>
      <c r="H4690" s="1" t="str">
        <f>"4064951007040"</f>
        <v>4064951007040</v>
      </c>
      <c r="I4690" s="3">
        <v>0</v>
      </c>
      <c r="J4690" s="3">
        <v>0</v>
      </c>
      <c r="K4690" s="3">
        <v>11000</v>
      </c>
    </row>
    <row r="4691" spans="1:11" x14ac:dyDescent="0.2">
      <c r="A4691" s="1" t="s">
        <v>74</v>
      </c>
      <c r="B4691" s="1" t="s">
        <v>3280</v>
      </c>
      <c r="C4691" s="1"/>
      <c r="D4691" s="1"/>
      <c r="E4691" s="1"/>
      <c r="F4691" s="1"/>
      <c r="G4691" s="1"/>
      <c r="H4691" s="1" t="str">
        <f>"7809599501959"</f>
        <v>7809599501959</v>
      </c>
      <c r="I4691" s="3">
        <v>37</v>
      </c>
      <c r="J4691" s="3">
        <v>0</v>
      </c>
      <c r="K4691" s="3">
        <v>21000</v>
      </c>
    </row>
    <row r="4692" spans="1:11" x14ac:dyDescent="0.2">
      <c r="A4692" s="1" t="s">
        <v>74</v>
      </c>
      <c r="B4692" s="1" t="s">
        <v>3281</v>
      </c>
      <c r="C4692" s="1"/>
      <c r="D4692" s="1"/>
      <c r="E4692" s="1"/>
      <c r="F4692" s="1"/>
      <c r="G4692" s="1"/>
      <c r="H4692" s="1" t="str">
        <f>"7809599501966"</f>
        <v>7809599501966</v>
      </c>
      <c r="I4692" s="3">
        <v>21</v>
      </c>
      <c r="J4692" s="3">
        <v>0</v>
      </c>
      <c r="K4692" s="3">
        <v>26000</v>
      </c>
    </row>
    <row r="4693" spans="1:11" x14ac:dyDescent="0.2">
      <c r="A4693" s="1" t="s">
        <v>74</v>
      </c>
      <c r="B4693" s="1" t="s">
        <v>3282</v>
      </c>
      <c r="C4693" s="1"/>
      <c r="D4693" s="1"/>
      <c r="E4693" s="1"/>
      <c r="F4693" s="1"/>
      <c r="G4693" s="1"/>
      <c r="H4693" s="1" t="str">
        <f>"7809599501997"</f>
        <v>7809599501997</v>
      </c>
      <c r="I4693" s="3">
        <v>6</v>
      </c>
      <c r="J4693" s="3">
        <v>0</v>
      </c>
      <c r="K4693" s="3">
        <v>43000</v>
      </c>
    </row>
    <row r="4694" spans="1:11" x14ac:dyDescent="0.2">
      <c r="A4694" s="1" t="s">
        <v>74</v>
      </c>
      <c r="B4694" s="1" t="s">
        <v>3283</v>
      </c>
      <c r="C4694" s="1"/>
      <c r="D4694" s="1"/>
      <c r="E4694" s="1"/>
      <c r="F4694" s="1"/>
      <c r="G4694" s="1"/>
      <c r="H4694" s="1" t="str">
        <f>"7809599501973"</f>
        <v>7809599501973</v>
      </c>
      <c r="I4694" s="3">
        <v>1</v>
      </c>
      <c r="J4694" s="3">
        <v>0</v>
      </c>
      <c r="K4694" s="3">
        <v>31000</v>
      </c>
    </row>
    <row r="4695" spans="1:11" x14ac:dyDescent="0.2">
      <c r="A4695" s="1" t="s">
        <v>74</v>
      </c>
      <c r="B4695" s="1" t="s">
        <v>3409</v>
      </c>
      <c r="C4695" s="1"/>
      <c r="D4695" s="1"/>
      <c r="E4695" s="1"/>
      <c r="F4695" s="1"/>
      <c r="G4695" s="1"/>
      <c r="H4695" s="1" t="str">
        <f>"7800006008238"</f>
        <v>7800006008238</v>
      </c>
      <c r="I4695" s="3">
        <v>15</v>
      </c>
      <c r="J4695" s="3">
        <v>0</v>
      </c>
      <c r="K4695" s="3">
        <v>18500</v>
      </c>
    </row>
    <row r="4696" spans="1:11" x14ac:dyDescent="0.2">
      <c r="A4696" s="1" t="s">
        <v>74</v>
      </c>
      <c r="B4696" s="1" t="s">
        <v>3448</v>
      </c>
      <c r="C4696" s="1"/>
      <c r="D4696" s="1"/>
      <c r="E4696" s="1"/>
      <c r="F4696" s="1"/>
      <c r="G4696" s="1"/>
      <c r="H4696" s="1" t="str">
        <f>"7805350000372"</f>
        <v>7805350000372</v>
      </c>
      <c r="I4696" s="3">
        <v>0</v>
      </c>
      <c r="J4696" s="3">
        <v>0</v>
      </c>
      <c r="K4696" s="3">
        <v>6000</v>
      </c>
    </row>
    <row r="4697" spans="1:11" x14ac:dyDescent="0.2">
      <c r="A4697" s="1" t="s">
        <v>74</v>
      </c>
      <c r="B4697" s="1" t="s">
        <v>3449</v>
      </c>
      <c r="C4697" s="1"/>
      <c r="D4697" s="1"/>
      <c r="E4697" s="1"/>
      <c r="F4697" s="1"/>
      <c r="G4697" s="1"/>
      <c r="H4697" s="1" t="str">
        <f>"7805350000365"</f>
        <v>7805350000365</v>
      </c>
      <c r="I4697" s="3">
        <v>0</v>
      </c>
      <c r="J4697" s="3">
        <v>0</v>
      </c>
      <c r="K4697" s="3">
        <v>4500</v>
      </c>
    </row>
    <row r="4698" spans="1:11" x14ac:dyDescent="0.2">
      <c r="A4698" s="1" t="s">
        <v>74</v>
      </c>
      <c r="B4698" s="1" t="s">
        <v>3485</v>
      </c>
      <c r="C4698" s="1"/>
      <c r="D4698" s="1"/>
      <c r="E4698" s="1"/>
      <c r="F4698" s="1"/>
      <c r="G4698" s="1"/>
      <c r="H4698" s="1" t="str">
        <f>"7800006010149"</f>
        <v>7800006010149</v>
      </c>
      <c r="I4698" s="3">
        <v>0</v>
      </c>
      <c r="J4698" s="3">
        <v>0</v>
      </c>
      <c r="K4698" s="3">
        <v>11500</v>
      </c>
    </row>
    <row r="4699" spans="1:11" x14ac:dyDescent="0.2">
      <c r="A4699" s="1" t="s">
        <v>74</v>
      </c>
      <c r="B4699" s="1" t="s">
        <v>3490</v>
      </c>
      <c r="C4699" s="1"/>
      <c r="D4699" s="1"/>
      <c r="E4699" s="1"/>
      <c r="F4699" s="1"/>
      <c r="G4699" s="1"/>
      <c r="H4699" s="1" t="str">
        <f>"8435458400300"</f>
        <v>8435458400300</v>
      </c>
      <c r="I4699" s="3">
        <v>15</v>
      </c>
      <c r="J4699" s="3">
        <v>0</v>
      </c>
      <c r="K4699" s="3">
        <v>28000</v>
      </c>
    </row>
    <row r="4700" spans="1:11" x14ac:dyDescent="0.2">
      <c r="A4700" s="1" t="s">
        <v>74</v>
      </c>
      <c r="B4700" s="1" t="s">
        <v>3493</v>
      </c>
      <c r="C4700" s="1"/>
      <c r="D4700" s="1"/>
      <c r="E4700" s="1"/>
      <c r="F4700" s="1"/>
      <c r="G4700" s="1"/>
      <c r="H4700" s="1" t="str">
        <f>"7800006000287"</f>
        <v>7800006000287</v>
      </c>
      <c r="I4700" s="3">
        <v>1</v>
      </c>
      <c r="J4700" s="3">
        <v>0</v>
      </c>
      <c r="K4700" s="3">
        <v>4000</v>
      </c>
    </row>
    <row r="4701" spans="1:11" x14ac:dyDescent="0.2">
      <c r="A4701" s="1" t="s">
        <v>74</v>
      </c>
      <c r="B4701" s="1" t="s">
        <v>3508</v>
      </c>
      <c r="C4701" s="1"/>
      <c r="D4701" s="1"/>
      <c r="E4701" s="1"/>
      <c r="F4701" s="1"/>
      <c r="G4701" s="1"/>
      <c r="H4701" s="1" t="str">
        <f>"7797600000600"</f>
        <v>7797600000600</v>
      </c>
      <c r="I4701" s="3">
        <v>1</v>
      </c>
      <c r="J4701" s="3">
        <v>0</v>
      </c>
      <c r="K4701" s="3">
        <v>25000</v>
      </c>
    </row>
    <row r="4702" spans="1:11" x14ac:dyDescent="0.2">
      <c r="A4702" s="1" t="s">
        <v>74</v>
      </c>
      <c r="B4702" s="1" t="s">
        <v>3511</v>
      </c>
      <c r="C4702" s="1"/>
      <c r="D4702" s="1"/>
      <c r="E4702" s="1"/>
      <c r="F4702" s="1"/>
      <c r="G4702" s="1"/>
      <c r="H4702" s="1" t="str">
        <f>"7800006000720"</f>
        <v>7800006000720</v>
      </c>
      <c r="I4702" s="3">
        <v>0</v>
      </c>
      <c r="J4702" s="3">
        <v>0</v>
      </c>
      <c r="K4702" s="3">
        <v>8500</v>
      </c>
    </row>
    <row r="4703" spans="1:11" x14ac:dyDescent="0.2">
      <c r="A4703" s="1" t="s">
        <v>74</v>
      </c>
      <c r="B4703" s="1" t="s">
        <v>3556</v>
      </c>
      <c r="C4703" s="1"/>
      <c r="D4703" s="1"/>
      <c r="E4703" s="1"/>
      <c r="F4703" s="1"/>
      <c r="G4703" s="1"/>
      <c r="H4703" s="1" t="str">
        <f>"7800006010170"</f>
        <v>7800006010170</v>
      </c>
      <c r="I4703" s="3">
        <v>11</v>
      </c>
      <c r="J4703" s="3">
        <v>0</v>
      </c>
      <c r="K4703" s="3">
        <v>8000</v>
      </c>
    </row>
    <row r="4704" spans="1:11" x14ac:dyDescent="0.2">
      <c r="A4704" s="1" t="s">
        <v>74</v>
      </c>
      <c r="B4704" s="1" t="s">
        <v>3605</v>
      </c>
      <c r="C4704" s="1"/>
      <c r="D4704" s="1"/>
      <c r="E4704" s="1"/>
      <c r="F4704" s="1"/>
      <c r="G4704" s="1"/>
      <c r="H4704" s="1" t="str">
        <f>"7800006005589"</f>
        <v>7800006005589</v>
      </c>
      <c r="I4704" s="3">
        <v>1</v>
      </c>
      <c r="J4704" s="3">
        <v>0</v>
      </c>
      <c r="K4704" s="3">
        <v>8000</v>
      </c>
    </row>
    <row r="4705" spans="1:11" x14ac:dyDescent="0.2">
      <c r="A4705" s="1" t="s">
        <v>74</v>
      </c>
      <c r="B4705" s="1" t="s">
        <v>3650</v>
      </c>
      <c r="C4705" s="1"/>
      <c r="D4705" s="1"/>
      <c r="E4705" s="1"/>
      <c r="F4705" s="1"/>
      <c r="G4705" s="1"/>
      <c r="H4705" s="1" t="str">
        <f>"7800006003394"</f>
        <v>7800006003394</v>
      </c>
      <c r="I4705" s="3">
        <v>4</v>
      </c>
      <c r="J4705" s="3">
        <v>0</v>
      </c>
      <c r="K4705" s="3">
        <v>7000</v>
      </c>
    </row>
    <row r="4706" spans="1:11" x14ac:dyDescent="0.2">
      <c r="A4706" s="1" t="s">
        <v>74</v>
      </c>
      <c r="B4706" s="1" t="s">
        <v>3651</v>
      </c>
      <c r="C4706" s="1"/>
      <c r="D4706" s="1"/>
      <c r="E4706" s="1"/>
      <c r="F4706" s="1"/>
      <c r="G4706" s="1"/>
      <c r="H4706" s="1" t="str">
        <f>"7800006003745"</f>
        <v>7800006003745</v>
      </c>
      <c r="I4706" s="3">
        <v>0</v>
      </c>
      <c r="J4706" s="3">
        <v>0</v>
      </c>
      <c r="K4706" s="3">
        <v>10000</v>
      </c>
    </row>
    <row r="4707" spans="1:11" x14ac:dyDescent="0.2">
      <c r="A4707" s="1" t="s">
        <v>74</v>
      </c>
      <c r="B4707" s="1" t="s">
        <v>3656</v>
      </c>
      <c r="C4707" s="1"/>
      <c r="D4707" s="1"/>
      <c r="E4707" s="1"/>
      <c r="F4707" s="1"/>
      <c r="G4707" s="1"/>
      <c r="H4707" s="1" t="str">
        <f>"7800006001291"</f>
        <v>7800006001291</v>
      </c>
      <c r="I4707" s="3">
        <v>0</v>
      </c>
      <c r="J4707" s="3">
        <v>0</v>
      </c>
      <c r="K4707" s="3">
        <v>8500</v>
      </c>
    </row>
    <row r="4708" spans="1:11" x14ac:dyDescent="0.2">
      <c r="A4708" s="1" t="s">
        <v>74</v>
      </c>
      <c r="B4708" s="1" t="s">
        <v>3657</v>
      </c>
      <c r="C4708" s="1"/>
      <c r="D4708" s="1"/>
      <c r="E4708" s="1"/>
      <c r="F4708" s="1"/>
      <c r="G4708" s="1"/>
      <c r="H4708" s="1" t="str">
        <f>"7800006008436"</f>
        <v>7800006008436</v>
      </c>
      <c r="I4708" s="3">
        <v>4</v>
      </c>
      <c r="J4708" s="3">
        <v>0</v>
      </c>
      <c r="K4708" s="3">
        <v>10000</v>
      </c>
    </row>
    <row r="4709" spans="1:11" x14ac:dyDescent="0.2">
      <c r="A4709" s="1" t="s">
        <v>74</v>
      </c>
      <c r="B4709" s="1" t="s">
        <v>3734</v>
      </c>
      <c r="C4709" s="1"/>
      <c r="D4709" s="1"/>
      <c r="E4709" s="1"/>
      <c r="F4709" s="1"/>
      <c r="G4709" s="1"/>
      <c r="H4709" s="1" t="str">
        <f>"8713184155351"</f>
        <v>8713184155351</v>
      </c>
      <c r="I4709" s="3">
        <v>1</v>
      </c>
      <c r="J4709" s="3">
        <v>0</v>
      </c>
      <c r="K4709" s="3">
        <v>22000</v>
      </c>
    </row>
    <row r="4710" spans="1:11" x14ac:dyDescent="0.2">
      <c r="A4710" s="1" t="s">
        <v>74</v>
      </c>
      <c r="B4710" s="1" t="s">
        <v>3804</v>
      </c>
      <c r="C4710" s="1"/>
      <c r="D4710" s="1"/>
      <c r="E4710" s="1"/>
      <c r="F4710" s="1"/>
      <c r="G4710" s="1"/>
      <c r="H4710" s="1" t="str">
        <f>"7809599501751"</f>
        <v>7809599501751</v>
      </c>
      <c r="I4710" s="3">
        <v>2</v>
      </c>
      <c r="J4710" s="3">
        <v>0</v>
      </c>
      <c r="K4710" s="3">
        <v>20000</v>
      </c>
    </row>
    <row r="4711" spans="1:11" x14ac:dyDescent="0.2">
      <c r="A4711" s="1" t="s">
        <v>74</v>
      </c>
      <c r="B4711" s="1" t="s">
        <v>3914</v>
      </c>
      <c r="C4711" s="1"/>
      <c r="D4711" s="1"/>
      <c r="E4711" s="1"/>
      <c r="F4711" s="1"/>
      <c r="G4711" s="1"/>
      <c r="H4711" s="1" t="str">
        <f>"7800006006500"</f>
        <v>7800006006500</v>
      </c>
      <c r="I4711" s="3">
        <v>0</v>
      </c>
      <c r="J4711" s="3">
        <v>0</v>
      </c>
      <c r="K4711" s="3">
        <v>5500</v>
      </c>
    </row>
    <row r="4712" spans="1:11" x14ac:dyDescent="0.2">
      <c r="A4712" s="1" t="s">
        <v>74</v>
      </c>
      <c r="B4712" s="1" t="s">
        <v>3978</v>
      </c>
      <c r="C4712" s="1"/>
      <c r="D4712" s="1"/>
      <c r="E4712" s="1"/>
      <c r="F4712" s="1"/>
      <c r="G4712" s="1"/>
      <c r="H4712" s="1" t="str">
        <f>"7800006005169"</f>
        <v>7800006005169</v>
      </c>
      <c r="I4712" s="3">
        <v>0</v>
      </c>
      <c r="J4712" s="3">
        <v>0</v>
      </c>
      <c r="K4712" s="3">
        <v>11000</v>
      </c>
    </row>
    <row r="4713" spans="1:11" x14ac:dyDescent="0.2">
      <c r="A4713" s="1" t="s">
        <v>74</v>
      </c>
      <c r="B4713" s="1" t="s">
        <v>3994</v>
      </c>
      <c r="C4713" s="1"/>
      <c r="D4713" s="1"/>
      <c r="E4713" s="1"/>
      <c r="F4713" s="1"/>
      <c r="G4713" s="1"/>
      <c r="H4713" s="1" t="str">
        <f>"7800006000324"</f>
        <v>7800006000324</v>
      </c>
      <c r="I4713" s="3">
        <v>11</v>
      </c>
      <c r="J4713" s="3">
        <v>0</v>
      </c>
      <c r="K4713" s="3">
        <v>6500</v>
      </c>
    </row>
    <row r="4714" spans="1:11" x14ac:dyDescent="0.2">
      <c r="A4714" s="1" t="s">
        <v>74</v>
      </c>
      <c r="B4714" s="1" t="s">
        <v>4042</v>
      </c>
      <c r="C4714" s="1"/>
      <c r="D4714" s="1"/>
      <c r="E4714" s="1"/>
      <c r="F4714" s="1"/>
      <c r="G4714" s="1"/>
      <c r="H4714" s="1" t="str">
        <f>"7804650310884"</f>
        <v>7804650310884</v>
      </c>
      <c r="I4714" s="3">
        <v>0</v>
      </c>
      <c r="J4714" s="3">
        <v>0</v>
      </c>
      <c r="K4714" s="3">
        <v>67000</v>
      </c>
    </row>
    <row r="4715" spans="1:11" x14ac:dyDescent="0.2">
      <c r="A4715" s="1" t="s">
        <v>74</v>
      </c>
      <c r="B4715" s="1" t="s">
        <v>4074</v>
      </c>
      <c r="C4715" s="1"/>
      <c r="D4715" s="1"/>
      <c r="E4715" s="1"/>
      <c r="F4715" s="1"/>
      <c r="G4715" s="1"/>
      <c r="H4715" s="1" t="str">
        <f>"7800006006913"</f>
        <v>7800006006913</v>
      </c>
      <c r="I4715" s="3">
        <v>0</v>
      </c>
      <c r="J4715" s="3">
        <v>0</v>
      </c>
      <c r="K4715" s="3">
        <v>6000</v>
      </c>
    </row>
    <row r="4716" spans="1:11" x14ac:dyDescent="0.2">
      <c r="A4716" s="1" t="s">
        <v>74</v>
      </c>
      <c r="B4716" s="1" t="s">
        <v>4075</v>
      </c>
      <c r="C4716" s="1"/>
      <c r="D4716" s="1"/>
      <c r="E4716" s="1"/>
      <c r="F4716" s="1"/>
      <c r="G4716" s="1"/>
      <c r="H4716" s="1" t="str">
        <f>"7800006002397"</f>
        <v>7800006002397</v>
      </c>
      <c r="I4716" s="3">
        <v>25</v>
      </c>
      <c r="J4716" s="3">
        <v>0</v>
      </c>
      <c r="K4716" s="3">
        <v>7500</v>
      </c>
    </row>
    <row r="4717" spans="1:11" x14ac:dyDescent="0.2">
      <c r="A4717" s="1" t="s">
        <v>74</v>
      </c>
      <c r="B4717" s="1" t="s">
        <v>4182</v>
      </c>
      <c r="C4717" s="1"/>
      <c r="D4717" s="1"/>
      <c r="E4717" s="1"/>
      <c r="F4717" s="1"/>
      <c r="G4717" s="1"/>
      <c r="H4717" s="1" t="str">
        <f>"4007221046035"</f>
        <v>4007221046035</v>
      </c>
      <c r="I4717" s="3">
        <v>2</v>
      </c>
      <c r="J4717" s="3">
        <v>0</v>
      </c>
      <c r="K4717" s="3">
        <v>32000</v>
      </c>
    </row>
    <row r="4718" spans="1:11" x14ac:dyDescent="0.2">
      <c r="A4718" s="1" t="s">
        <v>74</v>
      </c>
      <c r="B4718" s="1" t="s">
        <v>4277</v>
      </c>
      <c r="C4718" s="1"/>
      <c r="D4718" s="1"/>
      <c r="E4718" s="1"/>
      <c r="F4718" s="1"/>
      <c r="G4718" s="1"/>
      <c r="H4718" s="1" t="str">
        <f>"7800006010217"</f>
        <v>7800006010217</v>
      </c>
      <c r="I4718" s="3">
        <v>3</v>
      </c>
      <c r="J4718" s="3">
        <v>0</v>
      </c>
      <c r="K4718" s="3">
        <v>15000</v>
      </c>
    </row>
    <row r="4719" spans="1:11" x14ac:dyDescent="0.2">
      <c r="A4719" s="1" t="s">
        <v>74</v>
      </c>
      <c r="B4719" s="1" t="s">
        <v>4279</v>
      </c>
      <c r="C4719" s="1"/>
      <c r="D4719" s="1"/>
      <c r="E4719" s="1"/>
      <c r="F4719" s="1"/>
      <c r="G4719" s="1"/>
      <c r="H4719" s="1" t="str">
        <f>"761887135476"</f>
        <v>761887135476</v>
      </c>
      <c r="I4719" s="3">
        <v>6</v>
      </c>
      <c r="J4719" s="3">
        <v>0</v>
      </c>
      <c r="K4719" s="3">
        <v>15000</v>
      </c>
    </row>
    <row r="4720" spans="1:11" x14ac:dyDescent="0.2">
      <c r="A4720" s="1" t="s">
        <v>74</v>
      </c>
      <c r="B4720" s="1" t="s">
        <v>4303</v>
      </c>
      <c r="C4720" s="1"/>
      <c r="D4720" s="1"/>
      <c r="E4720" s="1"/>
      <c r="F4720" s="1"/>
      <c r="G4720" s="1"/>
      <c r="H4720" s="1" t="str">
        <f>"7804650311058"</f>
        <v>7804650311058</v>
      </c>
      <c r="I4720" s="3">
        <v>12</v>
      </c>
      <c r="J4720" s="3">
        <v>0</v>
      </c>
      <c r="K4720" s="3">
        <v>15000</v>
      </c>
    </row>
    <row r="4721" spans="1:11" x14ac:dyDescent="0.2">
      <c r="A4721" s="1" t="s">
        <v>74</v>
      </c>
      <c r="B4721" s="1" t="s">
        <v>4304</v>
      </c>
      <c r="C4721" s="1"/>
      <c r="D4721" s="1"/>
      <c r="E4721" s="1"/>
      <c r="F4721" s="1"/>
      <c r="G4721" s="1"/>
      <c r="H4721" s="1" t="str">
        <f>"7804650311089"</f>
        <v>7804650311089</v>
      </c>
      <c r="I4721" s="3">
        <v>9</v>
      </c>
      <c r="J4721" s="3">
        <v>0</v>
      </c>
      <c r="K4721" s="3">
        <v>17000</v>
      </c>
    </row>
    <row r="4722" spans="1:11" x14ac:dyDescent="0.2">
      <c r="A4722" s="1" t="s">
        <v>74</v>
      </c>
      <c r="B4722" s="1" t="s">
        <v>4305</v>
      </c>
      <c r="C4722" s="1"/>
      <c r="D4722" s="1"/>
      <c r="E4722" s="1"/>
      <c r="F4722" s="1"/>
      <c r="G4722" s="1"/>
      <c r="H4722" s="1" t="str">
        <f>"7804650311065"</f>
        <v>7804650311065</v>
      </c>
      <c r="I4722" s="3">
        <v>9</v>
      </c>
      <c r="J4722" s="3">
        <v>0</v>
      </c>
      <c r="K4722" s="3">
        <v>15000</v>
      </c>
    </row>
    <row r="4723" spans="1:11" x14ac:dyDescent="0.2">
      <c r="A4723" s="1" t="s">
        <v>74</v>
      </c>
      <c r="B4723" s="1" t="s">
        <v>4306</v>
      </c>
      <c r="C4723" s="1"/>
      <c r="D4723" s="1"/>
      <c r="E4723" s="1"/>
      <c r="F4723" s="1"/>
      <c r="G4723" s="1"/>
      <c r="H4723" s="1" t="str">
        <f>"7804650311096"</f>
        <v>7804650311096</v>
      </c>
      <c r="I4723" s="3">
        <v>2</v>
      </c>
      <c r="J4723" s="3">
        <v>0</v>
      </c>
      <c r="K4723" s="3">
        <v>29000</v>
      </c>
    </row>
    <row r="4724" spans="1:11" x14ac:dyDescent="0.2">
      <c r="A4724" s="1" t="s">
        <v>74</v>
      </c>
      <c r="B4724" s="1" t="s">
        <v>4308</v>
      </c>
      <c r="C4724" s="1"/>
      <c r="D4724" s="1"/>
      <c r="E4724" s="1"/>
      <c r="F4724" s="1"/>
      <c r="G4724" s="1"/>
      <c r="H4724" s="1" t="str">
        <f>"7804650311102"</f>
        <v>7804650311102</v>
      </c>
      <c r="I4724" s="3">
        <v>0</v>
      </c>
      <c r="J4724" s="3">
        <v>0</v>
      </c>
      <c r="K4724" s="3">
        <v>30000</v>
      </c>
    </row>
    <row r="4725" spans="1:11" x14ac:dyDescent="0.2">
      <c r="A4725" s="1" t="s">
        <v>74</v>
      </c>
      <c r="B4725" s="1" t="s">
        <v>4310</v>
      </c>
      <c r="C4725" s="1"/>
      <c r="D4725" s="1"/>
      <c r="E4725" s="1"/>
      <c r="F4725" s="1"/>
      <c r="G4725" s="1"/>
      <c r="H4725" s="1" t="str">
        <f>"7804650311072"</f>
        <v>7804650311072</v>
      </c>
      <c r="I4725" s="3">
        <v>9</v>
      </c>
      <c r="J4725" s="3">
        <v>0</v>
      </c>
      <c r="K4725" s="3">
        <v>15000</v>
      </c>
    </row>
    <row r="4726" spans="1:11" x14ac:dyDescent="0.2">
      <c r="A4726" s="1" t="s">
        <v>74</v>
      </c>
      <c r="B4726" s="1" t="s">
        <v>4313</v>
      </c>
      <c r="C4726" s="1"/>
      <c r="D4726" s="1"/>
      <c r="E4726" s="1"/>
      <c r="F4726" s="1"/>
      <c r="G4726" s="1"/>
      <c r="H4726" s="1" t="str">
        <f>"7800006002618"</f>
        <v>7800006002618</v>
      </c>
      <c r="I4726" s="3">
        <v>9</v>
      </c>
      <c r="J4726" s="3">
        <v>0</v>
      </c>
      <c r="K4726" s="3">
        <v>7500</v>
      </c>
    </row>
    <row r="4727" spans="1:11" x14ac:dyDescent="0.2">
      <c r="A4727" s="1" t="s">
        <v>74</v>
      </c>
      <c r="B4727" s="1" t="s">
        <v>4315</v>
      </c>
      <c r="C4727" s="1"/>
      <c r="D4727" s="1"/>
      <c r="E4727" s="1"/>
      <c r="F4727" s="1"/>
      <c r="G4727" s="1"/>
      <c r="H4727" s="1" t="str">
        <f>"7800006002953"</f>
        <v>7800006002953</v>
      </c>
      <c r="I4727" s="3">
        <v>4</v>
      </c>
      <c r="J4727" s="3">
        <v>0</v>
      </c>
      <c r="K4727" s="3">
        <v>3500</v>
      </c>
    </row>
    <row r="4728" spans="1:11" x14ac:dyDescent="0.2">
      <c r="A4728" s="1" t="s">
        <v>74</v>
      </c>
      <c r="B4728" s="1" t="s">
        <v>4316</v>
      </c>
      <c r="C4728" s="1"/>
      <c r="D4728" s="1"/>
      <c r="E4728" s="1"/>
      <c r="F4728" s="1"/>
      <c r="G4728" s="1"/>
      <c r="H4728" s="1" t="str">
        <f>"7800006000164"</f>
        <v>7800006000164</v>
      </c>
      <c r="I4728" s="3">
        <v>6</v>
      </c>
      <c r="J4728" s="3">
        <v>0</v>
      </c>
      <c r="K4728" s="3">
        <v>4500</v>
      </c>
    </row>
    <row r="4729" spans="1:11" x14ac:dyDescent="0.2">
      <c r="A4729" s="1" t="s">
        <v>74</v>
      </c>
      <c r="B4729" s="1" t="s">
        <v>4371</v>
      </c>
      <c r="C4729" s="1"/>
      <c r="D4729" s="1"/>
      <c r="E4729" s="1"/>
      <c r="F4729" s="1"/>
      <c r="G4729" s="1"/>
      <c r="H4729" s="1" t="str">
        <f>"7804605270874"</f>
        <v>7804605270874</v>
      </c>
      <c r="I4729" s="3">
        <v>0</v>
      </c>
      <c r="J4729" s="3">
        <v>0</v>
      </c>
      <c r="K4729" s="3">
        <v>20000</v>
      </c>
    </row>
    <row r="4730" spans="1:11" x14ac:dyDescent="0.2">
      <c r="A4730" s="1" t="s">
        <v>74</v>
      </c>
      <c r="B4730" s="1" t="s">
        <v>4391</v>
      </c>
      <c r="C4730" s="1"/>
      <c r="D4730" s="1"/>
      <c r="E4730" s="1"/>
      <c r="F4730" s="1"/>
      <c r="G4730" s="1"/>
      <c r="H4730" s="1" t="str">
        <f>"7800006006517"</f>
        <v>7800006006517</v>
      </c>
      <c r="I4730" s="3">
        <v>0</v>
      </c>
      <c r="J4730" s="3">
        <v>0</v>
      </c>
      <c r="K4730" s="3">
        <v>5000</v>
      </c>
    </row>
    <row r="4731" spans="1:11" x14ac:dyDescent="0.2">
      <c r="A4731" s="1" t="s">
        <v>74</v>
      </c>
      <c r="B4731" s="1" t="s">
        <v>4477</v>
      </c>
      <c r="C4731" s="1"/>
      <c r="D4731" s="1"/>
      <c r="E4731" s="1"/>
      <c r="F4731" s="1"/>
      <c r="G4731" s="1"/>
      <c r="H4731" s="1" t="str">
        <f>"7805505011819"</f>
        <v>7805505011819</v>
      </c>
      <c r="I4731" s="3">
        <v>20</v>
      </c>
      <c r="J4731" s="3">
        <v>0</v>
      </c>
      <c r="K4731" s="3">
        <v>3500</v>
      </c>
    </row>
    <row r="4732" spans="1:11" x14ac:dyDescent="0.2">
      <c r="A4732" s="1" t="s">
        <v>74</v>
      </c>
      <c r="B4732" s="1" t="s">
        <v>4516</v>
      </c>
      <c r="C4732" s="1"/>
      <c r="D4732" s="1"/>
      <c r="E4732" s="1"/>
      <c r="F4732" s="1"/>
      <c r="G4732" s="1"/>
      <c r="H4732" s="1" t="str">
        <f>"7707297412860"</f>
        <v>7707297412860</v>
      </c>
      <c r="I4732" s="3">
        <v>0</v>
      </c>
      <c r="J4732" s="3">
        <v>0</v>
      </c>
      <c r="K4732" s="3">
        <v>4500</v>
      </c>
    </row>
    <row r="4733" spans="1:11" x14ac:dyDescent="0.2">
      <c r="A4733" s="1" t="s">
        <v>74</v>
      </c>
      <c r="B4733" s="1" t="s">
        <v>4540</v>
      </c>
      <c r="C4733" s="1"/>
      <c r="D4733" s="1"/>
      <c r="E4733" s="1"/>
      <c r="F4733" s="1"/>
      <c r="G4733" s="1"/>
      <c r="H4733" s="1" t="str">
        <f>"7800006002762"</f>
        <v>7800006002762</v>
      </c>
      <c r="I4733" s="3">
        <v>7</v>
      </c>
      <c r="J4733" s="3">
        <v>0</v>
      </c>
      <c r="K4733" s="3">
        <v>2500</v>
      </c>
    </row>
    <row r="4734" spans="1:11" x14ac:dyDescent="0.2">
      <c r="A4734" s="1" t="s">
        <v>74</v>
      </c>
      <c r="B4734" s="1" t="s">
        <v>4585</v>
      </c>
      <c r="C4734" s="1"/>
      <c r="D4734" s="1"/>
      <c r="E4734" s="1"/>
      <c r="F4734" s="1"/>
      <c r="G4734" s="1"/>
      <c r="H4734" s="1" t="str">
        <f>"767501110965"</f>
        <v>767501110965</v>
      </c>
      <c r="I4734" s="3">
        <v>0</v>
      </c>
      <c r="J4734" s="3">
        <v>0</v>
      </c>
      <c r="K4734" s="3">
        <v>5000</v>
      </c>
    </row>
    <row r="4735" spans="1:11" x14ac:dyDescent="0.2">
      <c r="A4735" s="1" t="s">
        <v>74</v>
      </c>
      <c r="B4735" s="1" t="s">
        <v>4602</v>
      </c>
      <c r="C4735" s="1"/>
      <c r="D4735" s="1"/>
      <c r="E4735" s="1"/>
      <c r="F4735" s="1"/>
      <c r="G4735" s="1"/>
      <c r="H4735" s="1" t="str">
        <f>"8051490250538"</f>
        <v>8051490250538</v>
      </c>
      <c r="I4735" s="3">
        <v>0</v>
      </c>
      <c r="J4735" s="3">
        <v>0</v>
      </c>
      <c r="K4735" s="3">
        <v>6500</v>
      </c>
    </row>
    <row r="4736" spans="1:11" x14ac:dyDescent="0.2">
      <c r="A4736" s="1" t="s">
        <v>74</v>
      </c>
      <c r="B4736" s="1" t="s">
        <v>4618</v>
      </c>
      <c r="C4736" s="1"/>
      <c r="D4736" s="1"/>
      <c r="E4736" s="1"/>
      <c r="F4736" s="1"/>
      <c r="G4736" s="1"/>
      <c r="H4736" s="1" t="str">
        <f>"7800006000577"</f>
        <v>7800006000577</v>
      </c>
      <c r="I4736" s="3">
        <v>9</v>
      </c>
      <c r="J4736" s="3">
        <v>0</v>
      </c>
      <c r="K4736" s="3">
        <v>8500</v>
      </c>
    </row>
    <row r="4737" spans="1:11" x14ac:dyDescent="0.2">
      <c r="A4737" s="1" t="s">
        <v>74</v>
      </c>
      <c r="B4737" s="1" t="s">
        <v>4622</v>
      </c>
      <c r="C4737" s="1"/>
      <c r="D4737" s="1"/>
      <c r="E4737" s="1"/>
      <c r="F4737" s="1"/>
      <c r="G4737" s="1"/>
      <c r="H4737" s="1" t="str">
        <f>"7805505005627"</f>
        <v>7805505005627</v>
      </c>
      <c r="I4737" s="3">
        <v>1</v>
      </c>
      <c r="J4737" s="3">
        <v>0</v>
      </c>
      <c r="K4737" s="3">
        <v>10000</v>
      </c>
    </row>
    <row r="4738" spans="1:11" x14ac:dyDescent="0.2">
      <c r="A4738" s="1" t="s">
        <v>74</v>
      </c>
      <c r="B4738" s="1" t="s">
        <v>4680</v>
      </c>
      <c r="C4738" s="1"/>
      <c r="D4738" s="1"/>
      <c r="E4738" s="1"/>
      <c r="F4738" s="1"/>
      <c r="G4738" s="1"/>
      <c r="H4738" s="1" t="str">
        <f>"7800006009488"</f>
        <v>7800006009488</v>
      </c>
      <c r="I4738" s="3">
        <v>30</v>
      </c>
      <c r="J4738" s="3">
        <v>0</v>
      </c>
      <c r="K4738" s="3">
        <v>15000</v>
      </c>
    </row>
    <row r="4739" spans="1:11" x14ac:dyDescent="0.2">
      <c r="A4739" s="1" t="s">
        <v>74</v>
      </c>
      <c r="B4739" s="1" t="s">
        <v>4738</v>
      </c>
      <c r="C4739" s="1"/>
      <c r="D4739" s="1"/>
      <c r="E4739" s="1"/>
      <c r="F4739" s="1"/>
      <c r="G4739" s="1"/>
      <c r="H4739" s="1" t="str">
        <f>"7804650311003"</f>
        <v>7804650311003</v>
      </c>
      <c r="I4739" s="3">
        <v>25</v>
      </c>
      <c r="J4739" s="3">
        <v>0</v>
      </c>
      <c r="K4739" s="3">
        <v>4000</v>
      </c>
    </row>
    <row r="4740" spans="1:11" x14ac:dyDescent="0.2">
      <c r="A4740" s="1" t="s">
        <v>74</v>
      </c>
      <c r="B4740" s="1" t="s">
        <v>4853</v>
      </c>
      <c r="C4740" s="1"/>
      <c r="D4740" s="1"/>
      <c r="E4740" s="1"/>
      <c r="F4740" s="1"/>
      <c r="G4740" s="1"/>
      <c r="H4740" s="1" t="str">
        <f>"7800006003028"</f>
        <v>7800006003028</v>
      </c>
      <c r="I4740" s="3">
        <v>1</v>
      </c>
      <c r="J4740" s="3">
        <v>0</v>
      </c>
      <c r="K4740" s="3">
        <v>7500</v>
      </c>
    </row>
    <row r="4741" spans="1:11" x14ac:dyDescent="0.2">
      <c r="A4741" s="1" t="s">
        <v>74</v>
      </c>
      <c r="B4741" s="1" t="s">
        <v>4924</v>
      </c>
      <c r="C4741" s="1"/>
      <c r="D4741" s="1"/>
      <c r="E4741" s="1"/>
      <c r="F4741" s="1"/>
      <c r="G4741" s="1"/>
      <c r="H4741" s="1" t="str">
        <f>"7804629990079"</f>
        <v>7804629990079</v>
      </c>
      <c r="I4741" s="3">
        <v>0</v>
      </c>
      <c r="J4741" s="3">
        <v>0</v>
      </c>
      <c r="K4741" s="3">
        <v>6500</v>
      </c>
    </row>
    <row r="4742" spans="1:11" x14ac:dyDescent="0.2">
      <c r="A4742" s="1" t="s">
        <v>74</v>
      </c>
      <c r="B4742" s="1" t="s">
        <v>4927</v>
      </c>
      <c r="C4742" s="1"/>
      <c r="D4742" s="1"/>
      <c r="E4742" s="1"/>
      <c r="F4742" s="1"/>
      <c r="G4742" s="1"/>
      <c r="H4742" s="1" t="str">
        <f>"7804629990055"</f>
        <v>7804629990055</v>
      </c>
      <c r="I4742" s="3">
        <v>7</v>
      </c>
      <c r="J4742" s="3">
        <v>0</v>
      </c>
      <c r="K4742" s="3">
        <v>7000</v>
      </c>
    </row>
    <row r="4743" spans="1:11" x14ac:dyDescent="0.2">
      <c r="A4743" s="1" t="s">
        <v>74</v>
      </c>
      <c r="B4743" s="1" t="s">
        <v>4928</v>
      </c>
      <c r="C4743" s="1"/>
      <c r="D4743" s="1"/>
      <c r="E4743" s="1"/>
      <c r="F4743" s="1"/>
      <c r="G4743" s="1"/>
      <c r="H4743" s="1" t="str">
        <f>"7804629990086"</f>
        <v>7804629990086</v>
      </c>
      <c r="I4743" s="3">
        <v>7</v>
      </c>
      <c r="J4743" s="3">
        <v>0</v>
      </c>
      <c r="K4743" s="3">
        <v>6500</v>
      </c>
    </row>
    <row r="4744" spans="1:11" x14ac:dyDescent="0.2">
      <c r="A4744" s="1" t="s">
        <v>4</v>
      </c>
      <c r="B4744" s="1" t="s">
        <v>5</v>
      </c>
      <c r="C4744" s="1"/>
      <c r="D4744" s="1"/>
      <c r="E4744" s="1"/>
      <c r="F4744" s="1"/>
      <c r="G4744" s="1"/>
      <c r="H4744" s="1" t="str">
        <f>"7805633028700"</f>
        <v>7805633028700</v>
      </c>
      <c r="I4744" s="3">
        <v>0</v>
      </c>
      <c r="J4744" s="3">
        <v>0</v>
      </c>
      <c r="K4744" s="3">
        <v>8500</v>
      </c>
    </row>
    <row r="4745" spans="1:11" x14ac:dyDescent="0.2">
      <c r="A4745" s="1" t="s">
        <v>4</v>
      </c>
      <c r="B4745" s="1" t="s">
        <v>5</v>
      </c>
      <c r="C4745" s="1"/>
      <c r="D4745" s="1"/>
      <c r="E4745" s="1"/>
      <c r="F4745" s="1"/>
      <c r="G4745" s="1"/>
      <c r="H4745" s="1" t="str">
        <f>"75952535126990"</f>
        <v>75952535126990</v>
      </c>
      <c r="I4745" s="3">
        <v>0</v>
      </c>
      <c r="J4745" s="3">
        <v>0</v>
      </c>
      <c r="K4745" s="3">
        <v>0</v>
      </c>
    </row>
    <row r="4746" spans="1:11" x14ac:dyDescent="0.2">
      <c r="A4746" s="1" t="s">
        <v>4</v>
      </c>
      <c r="B4746" s="1" t="s">
        <v>27</v>
      </c>
      <c r="C4746" s="1"/>
      <c r="D4746" s="1"/>
      <c r="E4746" s="1"/>
      <c r="F4746" s="1"/>
      <c r="G4746" s="1"/>
      <c r="H4746" s="1" t="str">
        <f>"7803319000029"</f>
        <v>7803319000029</v>
      </c>
      <c r="I4746" s="3">
        <v>0</v>
      </c>
      <c r="J4746" s="3">
        <v>0</v>
      </c>
      <c r="K4746" s="3">
        <v>2500</v>
      </c>
    </row>
    <row r="4747" spans="1:11" x14ac:dyDescent="0.2">
      <c r="A4747" s="1" t="s">
        <v>4</v>
      </c>
      <c r="B4747" s="1" t="s">
        <v>34</v>
      </c>
      <c r="C4747" s="1"/>
      <c r="D4747" s="1"/>
      <c r="E4747" s="1"/>
      <c r="F4747" s="1"/>
      <c r="G4747" s="1"/>
      <c r="H4747" s="1" t="str">
        <f>"7804640562194"</f>
        <v>7804640562194</v>
      </c>
      <c r="I4747" s="3">
        <v>0</v>
      </c>
      <c r="J4747" s="3">
        <v>0</v>
      </c>
      <c r="K4747" s="3">
        <v>4000</v>
      </c>
    </row>
    <row r="4748" spans="1:11" x14ac:dyDescent="0.2">
      <c r="A4748" s="1" t="s">
        <v>4</v>
      </c>
      <c r="B4748" s="1" t="s">
        <v>35</v>
      </c>
      <c r="C4748" s="1"/>
      <c r="D4748" s="1"/>
      <c r="E4748" s="1"/>
      <c r="F4748" s="1"/>
      <c r="G4748" s="1"/>
      <c r="H4748" s="1" t="str">
        <f>"7892065173286"</f>
        <v>7892065173286</v>
      </c>
      <c r="I4748" s="3">
        <v>0</v>
      </c>
      <c r="J4748" s="3">
        <v>0</v>
      </c>
      <c r="K4748" s="3">
        <v>4000</v>
      </c>
    </row>
    <row r="4749" spans="1:11" x14ac:dyDescent="0.2">
      <c r="A4749" s="1" t="s">
        <v>4</v>
      </c>
      <c r="B4749" s="1" t="s">
        <v>90</v>
      </c>
      <c r="C4749" s="1"/>
      <c r="D4749" s="1"/>
      <c r="E4749" s="1"/>
      <c r="F4749" s="1"/>
      <c r="G4749" s="1"/>
      <c r="H4749" s="1" t="str">
        <f>"7800004005284"</f>
        <v>7800004005284</v>
      </c>
      <c r="I4749" s="3">
        <v>11</v>
      </c>
      <c r="J4749" s="3">
        <v>0</v>
      </c>
      <c r="K4749" s="3">
        <v>3500</v>
      </c>
    </row>
    <row r="4750" spans="1:11" x14ac:dyDescent="0.2">
      <c r="A4750" s="1" t="s">
        <v>4</v>
      </c>
      <c r="B4750" s="1" t="s">
        <v>109</v>
      </c>
      <c r="C4750" s="1"/>
      <c r="D4750" s="1"/>
      <c r="E4750" s="1"/>
      <c r="F4750" s="1"/>
      <c r="G4750" s="1"/>
      <c r="H4750" s="1" t="str">
        <f>"1469852318005"</f>
        <v>1469852318005</v>
      </c>
      <c r="I4750" s="3">
        <v>0</v>
      </c>
      <c r="J4750" s="3">
        <v>0</v>
      </c>
      <c r="K4750" s="3">
        <v>5000</v>
      </c>
    </row>
    <row r="4751" spans="1:11" x14ac:dyDescent="0.2">
      <c r="A4751" s="1" t="s">
        <v>4</v>
      </c>
      <c r="B4751" s="1" t="s">
        <v>119</v>
      </c>
      <c r="C4751" s="1"/>
      <c r="D4751" s="1"/>
      <c r="E4751" s="1"/>
      <c r="F4751" s="1"/>
      <c r="G4751" s="1"/>
      <c r="H4751" s="1" t="str">
        <f>"29040641257"</f>
        <v>29040641257</v>
      </c>
      <c r="I4751" s="3">
        <v>0</v>
      </c>
      <c r="J4751" s="3">
        <v>0</v>
      </c>
      <c r="K4751" s="3">
        <v>7500</v>
      </c>
    </row>
    <row r="4752" spans="1:11" x14ac:dyDescent="0.2">
      <c r="A4752" s="1" t="s">
        <v>4</v>
      </c>
      <c r="B4752" s="1" t="s">
        <v>121</v>
      </c>
      <c r="C4752" s="1"/>
      <c r="D4752" s="1"/>
      <c r="E4752" s="1"/>
      <c r="F4752" s="1"/>
      <c r="G4752" s="1"/>
      <c r="H4752" s="1" t="str">
        <f>"5854020658841"</f>
        <v>5854020658841</v>
      </c>
      <c r="I4752" s="3">
        <v>3</v>
      </c>
      <c r="J4752" s="3">
        <v>0</v>
      </c>
      <c r="K4752" s="3">
        <v>3500</v>
      </c>
    </row>
    <row r="4753" spans="1:11" x14ac:dyDescent="0.2">
      <c r="A4753" s="1" t="s">
        <v>4</v>
      </c>
      <c r="B4753" s="1" t="s">
        <v>122</v>
      </c>
      <c r="C4753" s="1"/>
      <c r="D4753" s="1"/>
      <c r="E4753" s="1"/>
      <c r="F4753" s="1"/>
      <c r="G4753" s="1"/>
      <c r="H4753" s="1" t="str">
        <f>"7803319004492"</f>
        <v>7803319004492</v>
      </c>
      <c r="I4753" s="3">
        <v>100</v>
      </c>
      <c r="J4753" s="3">
        <v>0</v>
      </c>
      <c r="K4753" s="3">
        <v>3000</v>
      </c>
    </row>
    <row r="4754" spans="1:11" x14ac:dyDescent="0.2">
      <c r="A4754" s="1" t="s">
        <v>4</v>
      </c>
      <c r="B4754" s="1" t="s">
        <v>124</v>
      </c>
      <c r="C4754" s="1"/>
      <c r="D4754" s="1"/>
      <c r="E4754" s="1"/>
      <c r="F4754" s="1"/>
      <c r="G4754" s="1"/>
      <c r="H4754" s="1" t="str">
        <f>"7803319000098"</f>
        <v>7803319000098</v>
      </c>
      <c r="I4754" s="3">
        <v>100</v>
      </c>
      <c r="J4754" s="3">
        <v>0</v>
      </c>
      <c r="K4754" s="3">
        <v>3500</v>
      </c>
    </row>
    <row r="4755" spans="1:11" x14ac:dyDescent="0.2">
      <c r="A4755" s="1" t="s">
        <v>4</v>
      </c>
      <c r="B4755" s="1" t="s">
        <v>138</v>
      </c>
      <c r="C4755" s="1"/>
      <c r="D4755" s="1"/>
      <c r="E4755" s="1"/>
      <c r="F4755" s="1"/>
      <c r="G4755" s="1"/>
      <c r="H4755" s="1" t="str">
        <f>"76062168013522"</f>
        <v>76062168013522</v>
      </c>
      <c r="I4755" s="3">
        <v>0</v>
      </c>
      <c r="J4755" s="3">
        <v>0</v>
      </c>
      <c r="K4755" s="3">
        <v>150</v>
      </c>
    </row>
    <row r="4756" spans="1:11" x14ac:dyDescent="0.2">
      <c r="A4756" s="1" t="s">
        <v>4</v>
      </c>
      <c r="B4756" s="1" t="s">
        <v>177</v>
      </c>
      <c r="C4756" s="1"/>
      <c r="D4756" s="1"/>
      <c r="E4756" s="1"/>
      <c r="F4756" s="1"/>
      <c r="G4756" s="1"/>
      <c r="H4756" s="1" t="str">
        <f>"7803510002914"</f>
        <v>7803510002914</v>
      </c>
      <c r="I4756" s="3">
        <v>1</v>
      </c>
      <c r="J4756" s="3">
        <v>0</v>
      </c>
      <c r="K4756" s="3">
        <v>2500</v>
      </c>
    </row>
    <row r="4757" spans="1:11" x14ac:dyDescent="0.2">
      <c r="A4757" s="1" t="s">
        <v>4</v>
      </c>
      <c r="B4757" s="1" t="s">
        <v>179</v>
      </c>
      <c r="C4757" s="1"/>
      <c r="D4757" s="1"/>
      <c r="E4757" s="1"/>
      <c r="F4757" s="1"/>
      <c r="G4757" s="1"/>
      <c r="H4757" s="1" t="str">
        <f>"5854020658414"</f>
        <v>5854020658414</v>
      </c>
      <c r="I4757" s="3">
        <v>100</v>
      </c>
      <c r="J4757" s="3">
        <v>0</v>
      </c>
      <c r="K4757" s="3">
        <v>4000</v>
      </c>
    </row>
    <row r="4758" spans="1:11" x14ac:dyDescent="0.2">
      <c r="A4758" s="1" t="s">
        <v>4</v>
      </c>
      <c r="B4758" s="1" t="s">
        <v>180</v>
      </c>
      <c r="C4758" s="1"/>
      <c r="D4758" s="1"/>
      <c r="E4758" s="1"/>
      <c r="F4758" s="1"/>
      <c r="G4758" s="1"/>
      <c r="H4758" s="1" t="str">
        <f>"9000000099005"</f>
        <v>9000000099005</v>
      </c>
      <c r="I4758" s="3">
        <v>0</v>
      </c>
      <c r="J4758" s="3">
        <v>0</v>
      </c>
      <c r="K4758" s="3">
        <v>10000</v>
      </c>
    </row>
    <row r="4759" spans="1:11" x14ac:dyDescent="0.2">
      <c r="A4759" s="1" t="s">
        <v>4</v>
      </c>
      <c r="B4759" s="1" t="s">
        <v>181</v>
      </c>
      <c r="C4759" s="1"/>
      <c r="D4759" s="1"/>
      <c r="E4759" s="1"/>
      <c r="F4759" s="1"/>
      <c r="G4759" s="1"/>
      <c r="H4759" s="1" t="str">
        <f>"9000000000001"</f>
        <v>9000000000001</v>
      </c>
      <c r="I4759" s="3">
        <v>0</v>
      </c>
      <c r="J4759" s="3">
        <v>0</v>
      </c>
      <c r="K4759" s="3">
        <v>6500</v>
      </c>
    </row>
    <row r="4760" spans="1:11" x14ac:dyDescent="0.2">
      <c r="A4760" s="1" t="s">
        <v>4</v>
      </c>
      <c r="B4760" s="1" t="s">
        <v>182</v>
      </c>
      <c r="C4760" s="1"/>
      <c r="D4760" s="1"/>
      <c r="E4760" s="1"/>
      <c r="F4760" s="1"/>
      <c r="G4760" s="1"/>
      <c r="H4760" s="1" t="str">
        <f>"7808751000545"</f>
        <v>7808751000545</v>
      </c>
      <c r="I4760" s="3">
        <v>0</v>
      </c>
      <c r="J4760" s="3">
        <v>0</v>
      </c>
      <c r="K4760" s="3">
        <v>10000</v>
      </c>
    </row>
    <row r="4761" spans="1:11" x14ac:dyDescent="0.2">
      <c r="A4761" s="1" t="s">
        <v>4</v>
      </c>
      <c r="B4761" s="1" t="s">
        <v>183</v>
      </c>
      <c r="C4761" s="1"/>
      <c r="D4761" s="1"/>
      <c r="E4761" s="1"/>
      <c r="F4761" s="1"/>
      <c r="G4761" s="1"/>
      <c r="H4761" s="1" t="str">
        <f>"5854020658452"</f>
        <v>5854020658452</v>
      </c>
      <c r="I4761" s="3">
        <v>97</v>
      </c>
      <c r="J4761" s="3">
        <v>0</v>
      </c>
      <c r="K4761" s="3">
        <v>6500</v>
      </c>
    </row>
    <row r="4762" spans="1:11" x14ac:dyDescent="0.2">
      <c r="A4762" s="1" t="s">
        <v>4</v>
      </c>
      <c r="B4762" s="1" t="s">
        <v>184</v>
      </c>
      <c r="C4762" s="1"/>
      <c r="D4762" s="1"/>
      <c r="E4762" s="1"/>
      <c r="F4762" s="1"/>
      <c r="G4762" s="1"/>
      <c r="H4762" s="1" t="str">
        <f>"7803504000537"</f>
        <v>7803504000537</v>
      </c>
      <c r="I4762" s="3">
        <v>0</v>
      </c>
      <c r="J4762" s="3">
        <v>0</v>
      </c>
      <c r="K4762" s="3">
        <v>2500</v>
      </c>
    </row>
    <row r="4763" spans="1:11" x14ac:dyDescent="0.2">
      <c r="A4763" s="1" t="s">
        <v>4</v>
      </c>
      <c r="B4763" s="1" t="s">
        <v>185</v>
      </c>
      <c r="C4763" s="1"/>
      <c r="D4763" s="1"/>
      <c r="E4763" s="1"/>
      <c r="F4763" s="1"/>
      <c r="G4763" s="1"/>
      <c r="H4763" s="1" t="str">
        <f>"7803504000162"</f>
        <v>7803504000162</v>
      </c>
      <c r="I4763" s="3">
        <v>4</v>
      </c>
      <c r="J4763" s="3">
        <v>0</v>
      </c>
      <c r="K4763" s="3">
        <v>5500</v>
      </c>
    </row>
    <row r="4764" spans="1:11" x14ac:dyDescent="0.2">
      <c r="A4764" s="1" t="s">
        <v>4</v>
      </c>
      <c r="B4764" s="1" t="s">
        <v>368</v>
      </c>
      <c r="C4764" s="1"/>
      <c r="D4764" s="1"/>
      <c r="E4764" s="1"/>
      <c r="F4764" s="1"/>
      <c r="G4764" s="1"/>
      <c r="H4764" s="1" t="str">
        <f>"7803319005826"</f>
        <v>7803319005826</v>
      </c>
      <c r="I4764" s="3">
        <v>8</v>
      </c>
      <c r="J4764" s="3">
        <v>0</v>
      </c>
      <c r="K4764" s="3">
        <v>4000</v>
      </c>
    </row>
    <row r="4765" spans="1:11" x14ac:dyDescent="0.2">
      <c r="A4765" s="1" t="s">
        <v>4</v>
      </c>
      <c r="B4765" s="1" t="s">
        <v>430</v>
      </c>
      <c r="C4765" s="1"/>
      <c r="D4765" s="1"/>
      <c r="E4765" s="1"/>
      <c r="F4765" s="1"/>
      <c r="G4765" s="1"/>
      <c r="H4765" s="1" t="str">
        <f>"7803319005918"</f>
        <v>7803319005918</v>
      </c>
      <c r="I4765" s="3">
        <v>9</v>
      </c>
      <c r="J4765" s="3">
        <v>0</v>
      </c>
      <c r="K4765" s="3">
        <v>3570</v>
      </c>
    </row>
    <row r="4766" spans="1:11" x14ac:dyDescent="0.2">
      <c r="A4766" s="1" t="s">
        <v>4</v>
      </c>
      <c r="B4766" s="1" t="s">
        <v>431</v>
      </c>
      <c r="C4766" s="1"/>
      <c r="D4766" s="1"/>
      <c r="E4766" s="1"/>
      <c r="F4766" s="1"/>
      <c r="G4766" s="1"/>
      <c r="H4766" s="1" t="str">
        <f>"7803319005741"</f>
        <v>7803319005741</v>
      </c>
      <c r="I4766" s="3">
        <v>8</v>
      </c>
      <c r="J4766" s="3">
        <v>0</v>
      </c>
      <c r="K4766" s="3">
        <v>5000</v>
      </c>
    </row>
    <row r="4767" spans="1:11" x14ac:dyDescent="0.2">
      <c r="A4767" s="1" t="s">
        <v>4</v>
      </c>
      <c r="B4767" s="1" t="s">
        <v>467</v>
      </c>
      <c r="C4767" s="1"/>
      <c r="D4767" s="1"/>
      <c r="E4767" s="1"/>
      <c r="F4767" s="1"/>
      <c r="G4767" s="1"/>
      <c r="H4767" s="1" t="str">
        <f>"7805357001907"</f>
        <v>7805357001907</v>
      </c>
      <c r="I4767" s="3">
        <v>0</v>
      </c>
      <c r="J4767" s="3">
        <v>0</v>
      </c>
      <c r="K4767" s="3">
        <v>4500</v>
      </c>
    </row>
    <row r="4768" spans="1:11" x14ac:dyDescent="0.2">
      <c r="A4768" s="1" t="s">
        <v>4</v>
      </c>
      <c r="B4768" s="1" t="s">
        <v>468</v>
      </c>
      <c r="C4768" s="1"/>
      <c r="D4768" s="1"/>
      <c r="E4768" s="1"/>
      <c r="F4768" s="1"/>
      <c r="G4768" s="1"/>
      <c r="H4768" s="1" t="str">
        <f>"7805633022909"</f>
        <v>7805633022909</v>
      </c>
      <c r="I4768" s="3">
        <v>0</v>
      </c>
      <c r="J4768" s="3">
        <v>0</v>
      </c>
      <c r="K4768" s="3">
        <v>4500</v>
      </c>
    </row>
    <row r="4769" spans="1:11" x14ac:dyDescent="0.2">
      <c r="A4769" s="1" t="s">
        <v>4</v>
      </c>
      <c r="B4769" s="1" t="s">
        <v>561</v>
      </c>
      <c r="C4769" s="1"/>
      <c r="D4769" s="1"/>
      <c r="E4769" s="1"/>
      <c r="F4769" s="1"/>
      <c r="G4769" s="1"/>
      <c r="H4769" s="1" t="str">
        <f>"7804640562101"</f>
        <v>7804640562101</v>
      </c>
      <c r="I4769" s="3">
        <v>0</v>
      </c>
      <c r="J4769" s="3">
        <v>0</v>
      </c>
      <c r="K4769" s="3">
        <v>3500</v>
      </c>
    </row>
    <row r="4770" spans="1:11" x14ac:dyDescent="0.2">
      <c r="A4770" s="1" t="s">
        <v>4</v>
      </c>
      <c r="B4770" s="1" t="s">
        <v>562</v>
      </c>
      <c r="C4770" s="1"/>
      <c r="D4770" s="1"/>
      <c r="E4770" s="1"/>
      <c r="F4770" s="1"/>
      <c r="G4770" s="1"/>
      <c r="H4770" s="1" t="str">
        <f>"7803319004515"</f>
        <v>7803319004515</v>
      </c>
      <c r="I4770" s="3">
        <v>7</v>
      </c>
      <c r="J4770" s="3">
        <v>0</v>
      </c>
      <c r="K4770" s="3">
        <v>3500</v>
      </c>
    </row>
    <row r="4771" spans="1:11" x14ac:dyDescent="0.2">
      <c r="A4771" s="1" t="s">
        <v>4</v>
      </c>
      <c r="B4771" s="1" t="s">
        <v>596</v>
      </c>
      <c r="C4771" s="1"/>
      <c r="D4771" s="1"/>
      <c r="E4771" s="1"/>
      <c r="F4771" s="1"/>
      <c r="G4771" s="1"/>
      <c r="H4771" s="1" t="str">
        <f>"12345"</f>
        <v>12345</v>
      </c>
      <c r="I4771" s="3">
        <v>0</v>
      </c>
      <c r="J4771" s="3">
        <v>0</v>
      </c>
      <c r="K4771" s="3">
        <v>11000</v>
      </c>
    </row>
    <row r="4772" spans="1:11" x14ac:dyDescent="0.2">
      <c r="A4772" s="1" t="s">
        <v>4</v>
      </c>
      <c r="B4772" s="1" t="s">
        <v>597</v>
      </c>
      <c r="C4772" s="1"/>
      <c r="D4772" s="1"/>
      <c r="E4772" s="1"/>
      <c r="F4772" s="1"/>
      <c r="G4772" s="1"/>
      <c r="H4772" s="1" t="str">
        <f>"5854020690711"</f>
        <v>5854020690711</v>
      </c>
      <c r="I4772" s="3">
        <v>0</v>
      </c>
      <c r="J4772" s="3">
        <v>0</v>
      </c>
      <c r="K4772" s="3">
        <v>11000</v>
      </c>
    </row>
    <row r="4773" spans="1:11" x14ac:dyDescent="0.2">
      <c r="A4773" s="1" t="s">
        <v>4</v>
      </c>
      <c r="B4773" s="1" t="s">
        <v>636</v>
      </c>
      <c r="C4773" s="1"/>
      <c r="D4773" s="1"/>
      <c r="E4773" s="1"/>
      <c r="F4773" s="1"/>
      <c r="G4773" s="1"/>
      <c r="H4773" s="1" t="str">
        <f>"7509997006970"</f>
        <v>7509997006970</v>
      </c>
      <c r="I4773" s="3">
        <v>6</v>
      </c>
      <c r="J4773" s="3">
        <v>0</v>
      </c>
      <c r="K4773" s="3">
        <v>8000</v>
      </c>
    </row>
    <row r="4774" spans="1:11" x14ac:dyDescent="0.2">
      <c r="A4774" s="1" t="s">
        <v>4</v>
      </c>
      <c r="B4774" s="1" t="s">
        <v>637</v>
      </c>
      <c r="C4774" s="1"/>
      <c r="D4774" s="1"/>
      <c r="E4774" s="1"/>
      <c r="F4774" s="1"/>
      <c r="G4774" s="1"/>
      <c r="H4774" s="1" t="str">
        <f>"75099970069700"</f>
        <v>75099970069700</v>
      </c>
      <c r="I4774" s="3">
        <v>3</v>
      </c>
      <c r="J4774" s="3">
        <v>0</v>
      </c>
      <c r="K4774" s="3">
        <v>8000</v>
      </c>
    </row>
    <row r="4775" spans="1:11" x14ac:dyDescent="0.2">
      <c r="A4775" s="1" t="s">
        <v>4</v>
      </c>
      <c r="B4775" s="1" t="s">
        <v>638</v>
      </c>
      <c r="C4775" s="1"/>
      <c r="D4775" s="1"/>
      <c r="E4775" s="1"/>
      <c r="F4775" s="1"/>
      <c r="G4775" s="1"/>
      <c r="H4775" s="1" t="str">
        <f>"7805633022640"</f>
        <v>7805633022640</v>
      </c>
      <c r="I4775" s="3">
        <v>7</v>
      </c>
      <c r="J4775" s="3">
        <v>0</v>
      </c>
      <c r="K4775" s="3">
        <v>3500</v>
      </c>
    </row>
    <row r="4776" spans="1:11" x14ac:dyDescent="0.2">
      <c r="A4776" s="1" t="s">
        <v>4</v>
      </c>
      <c r="B4776" s="1" t="s">
        <v>639</v>
      </c>
      <c r="C4776" s="1"/>
      <c r="D4776" s="1"/>
      <c r="E4776" s="1"/>
      <c r="F4776" s="1"/>
      <c r="G4776" s="1"/>
      <c r="H4776" s="1" t="str">
        <f>"7805633028697"</f>
        <v>7805633028697</v>
      </c>
      <c r="I4776" s="3">
        <v>0</v>
      </c>
      <c r="J4776" s="3">
        <v>0</v>
      </c>
      <c r="K4776" s="3">
        <v>8000</v>
      </c>
    </row>
    <row r="4777" spans="1:11" x14ac:dyDescent="0.2">
      <c r="A4777" s="1" t="s">
        <v>4</v>
      </c>
      <c r="B4777" s="1" t="s">
        <v>643</v>
      </c>
      <c r="C4777" s="1"/>
      <c r="D4777" s="1"/>
      <c r="E4777" s="1"/>
      <c r="F4777" s="1"/>
      <c r="G4777" s="1"/>
      <c r="H4777" s="1" t="str">
        <f>"737186534097"</f>
        <v>737186534097</v>
      </c>
      <c r="I4777" s="3">
        <v>108</v>
      </c>
      <c r="J4777" s="3">
        <v>0</v>
      </c>
      <c r="K4777" s="3">
        <v>6500</v>
      </c>
    </row>
    <row r="4778" spans="1:11" x14ac:dyDescent="0.2">
      <c r="A4778" s="1" t="s">
        <v>4</v>
      </c>
      <c r="B4778" s="1" t="s">
        <v>657</v>
      </c>
      <c r="C4778" s="1"/>
      <c r="D4778" s="1"/>
      <c r="E4778" s="1"/>
      <c r="F4778" s="1"/>
      <c r="G4778" s="1"/>
      <c r="H4778" s="1" t="str">
        <f>"7898915414240"</f>
        <v>7898915414240</v>
      </c>
      <c r="I4778" s="3">
        <v>3</v>
      </c>
      <c r="J4778" s="3">
        <v>0</v>
      </c>
      <c r="K4778" s="3">
        <v>5000</v>
      </c>
    </row>
    <row r="4779" spans="1:11" x14ac:dyDescent="0.2">
      <c r="A4779" s="1" t="s">
        <v>4</v>
      </c>
      <c r="B4779" s="1" t="s">
        <v>678</v>
      </c>
      <c r="C4779" s="1"/>
      <c r="D4779" s="1"/>
      <c r="E4779" s="1"/>
      <c r="F4779" s="1"/>
      <c r="G4779" s="1"/>
      <c r="H4779" s="1" t="str">
        <f>"7803319004461"</f>
        <v>7803319004461</v>
      </c>
      <c r="I4779" s="3">
        <v>0</v>
      </c>
      <c r="J4779" s="3">
        <v>0</v>
      </c>
      <c r="K4779" s="3">
        <v>7000</v>
      </c>
    </row>
    <row r="4780" spans="1:11" x14ac:dyDescent="0.2">
      <c r="A4780" s="1" t="s">
        <v>4</v>
      </c>
      <c r="B4780" s="1" t="s">
        <v>766</v>
      </c>
      <c r="C4780" s="1"/>
      <c r="D4780" s="1"/>
      <c r="E4780" s="1"/>
      <c r="F4780" s="1"/>
      <c r="G4780" s="1"/>
      <c r="H4780" s="1" t="str">
        <f>"7803319004362"</f>
        <v>7803319004362</v>
      </c>
      <c r="I4780" s="3">
        <v>10</v>
      </c>
      <c r="J4780" s="3">
        <v>0</v>
      </c>
      <c r="K4780" s="3">
        <v>5000</v>
      </c>
    </row>
    <row r="4781" spans="1:11" x14ac:dyDescent="0.2">
      <c r="A4781" s="1" t="s">
        <v>4</v>
      </c>
      <c r="B4781" s="1" t="s">
        <v>767</v>
      </c>
      <c r="C4781" s="1"/>
      <c r="D4781" s="1"/>
      <c r="E4781" s="1"/>
      <c r="F4781" s="1"/>
      <c r="G4781" s="1"/>
      <c r="H4781" s="1" t="str">
        <f>"7803319004355"</f>
        <v>7803319004355</v>
      </c>
      <c r="I4781" s="3">
        <v>6</v>
      </c>
      <c r="J4781" s="3">
        <v>0</v>
      </c>
      <c r="K4781" s="3">
        <v>3570</v>
      </c>
    </row>
    <row r="4782" spans="1:11" x14ac:dyDescent="0.2">
      <c r="A4782" s="1" t="s">
        <v>4</v>
      </c>
      <c r="B4782" s="1" t="s">
        <v>768</v>
      </c>
      <c r="C4782" s="1"/>
      <c r="D4782" s="1"/>
      <c r="E4782" s="1"/>
      <c r="F4782" s="1"/>
      <c r="G4782" s="1"/>
      <c r="H4782" s="1" t="str">
        <f>"7803319004379"</f>
        <v>7803319004379</v>
      </c>
      <c r="I4782" s="3">
        <v>5</v>
      </c>
      <c r="J4782" s="3">
        <v>0</v>
      </c>
      <c r="K4782" s="3">
        <v>3500</v>
      </c>
    </row>
    <row r="4783" spans="1:11" x14ac:dyDescent="0.2">
      <c r="A4783" s="1" t="s">
        <v>4</v>
      </c>
      <c r="B4783" s="1" t="s">
        <v>780</v>
      </c>
      <c r="C4783" s="1"/>
      <c r="D4783" s="1"/>
      <c r="E4783" s="1"/>
      <c r="F4783" s="1"/>
      <c r="G4783" s="1"/>
      <c r="H4783" s="1" t="str">
        <f>"9000000057005"</f>
        <v>9000000057005</v>
      </c>
      <c r="I4783" s="3">
        <v>0</v>
      </c>
      <c r="J4783" s="3">
        <v>0</v>
      </c>
      <c r="K4783" s="3">
        <v>5000</v>
      </c>
    </row>
    <row r="4784" spans="1:11" x14ac:dyDescent="0.2">
      <c r="A4784" s="1" t="s">
        <v>4</v>
      </c>
      <c r="B4784" s="1" t="s">
        <v>784</v>
      </c>
      <c r="C4784" s="1"/>
      <c r="D4784" s="1"/>
      <c r="E4784" s="1"/>
      <c r="F4784" s="1"/>
      <c r="G4784" s="1"/>
      <c r="H4784" s="1" t="str">
        <f>"7805633022633"</f>
        <v>7805633022633</v>
      </c>
      <c r="I4784" s="3">
        <v>0</v>
      </c>
      <c r="J4784" s="3">
        <v>0</v>
      </c>
      <c r="K4784" s="3">
        <v>3000</v>
      </c>
    </row>
    <row r="4785" spans="1:11" x14ac:dyDescent="0.2">
      <c r="A4785" s="1" t="s">
        <v>4</v>
      </c>
      <c r="B4785" s="1" t="s">
        <v>786</v>
      </c>
      <c r="C4785" s="1"/>
      <c r="D4785" s="1"/>
      <c r="E4785" s="1"/>
      <c r="F4785" s="1"/>
      <c r="G4785" s="1"/>
      <c r="H4785" s="1" t="str">
        <f>"75941693846920"</f>
        <v>75941693846920</v>
      </c>
      <c r="I4785" s="3">
        <v>50</v>
      </c>
      <c r="J4785" s="3">
        <v>0</v>
      </c>
      <c r="K4785" s="3">
        <v>5000</v>
      </c>
    </row>
    <row r="4786" spans="1:11" x14ac:dyDescent="0.2">
      <c r="A4786" s="1" t="s">
        <v>4</v>
      </c>
      <c r="B4786" s="1" t="s">
        <v>788</v>
      </c>
      <c r="C4786" s="1"/>
      <c r="D4786" s="1"/>
      <c r="E4786" s="1"/>
      <c r="F4786" s="1"/>
      <c r="G4786" s="1"/>
      <c r="H4786" s="1" t="str">
        <f>"7803319005703"</f>
        <v>7803319005703</v>
      </c>
      <c r="I4786" s="3">
        <v>0</v>
      </c>
      <c r="J4786" s="3">
        <v>0</v>
      </c>
      <c r="K4786" s="3">
        <v>4000</v>
      </c>
    </row>
    <row r="4787" spans="1:11" x14ac:dyDescent="0.2">
      <c r="A4787" s="1" t="s">
        <v>4</v>
      </c>
      <c r="B4787" s="1" t="s">
        <v>835</v>
      </c>
      <c r="C4787" s="1"/>
      <c r="D4787" s="1"/>
      <c r="E4787" s="1"/>
      <c r="F4787" s="1"/>
      <c r="G4787" s="1"/>
      <c r="H4787" s="1" t="str">
        <f>"1469852315912"</f>
        <v>1469852315912</v>
      </c>
      <c r="I4787" s="3">
        <v>8</v>
      </c>
      <c r="J4787" s="3">
        <v>0</v>
      </c>
      <c r="K4787" s="3">
        <v>5500</v>
      </c>
    </row>
    <row r="4788" spans="1:11" x14ac:dyDescent="0.2">
      <c r="A4788" s="1" t="s">
        <v>4</v>
      </c>
      <c r="B4788" s="1" t="s">
        <v>846</v>
      </c>
      <c r="C4788" s="1"/>
      <c r="D4788" s="1"/>
      <c r="E4788" s="1"/>
      <c r="F4788" s="1"/>
      <c r="G4788" s="1"/>
      <c r="H4788" s="1" t="str">
        <f>"1469852315165"</f>
        <v>1469852315165</v>
      </c>
      <c r="I4788" s="3">
        <v>13</v>
      </c>
      <c r="J4788" s="3">
        <v>0</v>
      </c>
      <c r="K4788" s="3">
        <v>5000</v>
      </c>
    </row>
    <row r="4789" spans="1:11" x14ac:dyDescent="0.2">
      <c r="A4789" s="1" t="s">
        <v>4</v>
      </c>
      <c r="B4789" s="1" t="s">
        <v>865</v>
      </c>
      <c r="C4789" s="1"/>
      <c r="D4789" s="1"/>
      <c r="E4789" s="1"/>
      <c r="F4789" s="1"/>
      <c r="G4789" s="1"/>
      <c r="H4789" s="1" t="str">
        <f>"9000000091009"</f>
        <v>9000000091009</v>
      </c>
      <c r="I4789" s="3">
        <v>0</v>
      </c>
      <c r="J4789" s="3">
        <v>0</v>
      </c>
      <c r="K4789" s="3">
        <v>5500</v>
      </c>
    </row>
    <row r="4790" spans="1:11" x14ac:dyDescent="0.2">
      <c r="A4790" s="1" t="s">
        <v>4</v>
      </c>
      <c r="B4790" s="1" t="s">
        <v>866</v>
      </c>
      <c r="C4790" s="1"/>
      <c r="D4790" s="1"/>
      <c r="E4790" s="1"/>
      <c r="F4790" s="1"/>
      <c r="G4790" s="1"/>
      <c r="H4790" s="1" t="str">
        <f>"5856020653055"</f>
        <v>5856020653055</v>
      </c>
      <c r="I4790" s="3">
        <v>0</v>
      </c>
      <c r="J4790" s="3">
        <v>0</v>
      </c>
      <c r="K4790" s="3">
        <v>4000</v>
      </c>
    </row>
    <row r="4791" spans="1:11" x14ac:dyDescent="0.2">
      <c r="A4791" s="1" t="s">
        <v>4</v>
      </c>
      <c r="B4791" s="1" t="s">
        <v>949</v>
      </c>
      <c r="C4791" s="1"/>
      <c r="D4791" s="1"/>
      <c r="E4791" s="1"/>
      <c r="F4791" s="1"/>
      <c r="G4791" s="1"/>
      <c r="H4791" s="1" t="str">
        <f>"5854020624921"</f>
        <v>5854020624921</v>
      </c>
      <c r="I4791" s="3">
        <v>6</v>
      </c>
      <c r="J4791" s="3">
        <v>0</v>
      </c>
      <c r="K4791" s="3">
        <v>9500</v>
      </c>
    </row>
    <row r="4792" spans="1:11" x14ac:dyDescent="0.2">
      <c r="A4792" s="1" t="s">
        <v>4</v>
      </c>
      <c r="B4792" s="1" t="s">
        <v>950</v>
      </c>
      <c r="C4792" s="1"/>
      <c r="D4792" s="1"/>
      <c r="E4792" s="1"/>
      <c r="F4792" s="1"/>
      <c r="G4792" s="1"/>
      <c r="H4792" s="1" t="str">
        <f>"5854020624914"</f>
        <v>5854020624914</v>
      </c>
      <c r="I4792" s="3">
        <v>3</v>
      </c>
      <c r="J4792" s="3">
        <v>0</v>
      </c>
      <c r="K4792" s="3">
        <v>6500</v>
      </c>
    </row>
    <row r="4793" spans="1:11" x14ac:dyDescent="0.2">
      <c r="A4793" s="1" t="s">
        <v>4</v>
      </c>
      <c r="B4793" s="1" t="s">
        <v>951</v>
      </c>
      <c r="C4793" s="1"/>
      <c r="D4793" s="1"/>
      <c r="E4793" s="1"/>
      <c r="F4793" s="1"/>
      <c r="G4793" s="1"/>
      <c r="H4793" s="1" t="str">
        <f>"5854020624938"</f>
        <v>5854020624938</v>
      </c>
      <c r="I4793" s="3">
        <v>6</v>
      </c>
      <c r="J4793" s="3">
        <v>0</v>
      </c>
      <c r="K4793" s="3">
        <v>11000</v>
      </c>
    </row>
    <row r="4794" spans="1:11" x14ac:dyDescent="0.2">
      <c r="A4794" s="1" t="s">
        <v>4</v>
      </c>
      <c r="B4794" s="1" t="s">
        <v>965</v>
      </c>
      <c r="C4794" s="1"/>
      <c r="D4794" s="1"/>
      <c r="E4794" s="1"/>
      <c r="F4794" s="1"/>
      <c r="G4794" s="1"/>
      <c r="H4794" s="1" t="str">
        <f>"7808713900579"</f>
        <v>7808713900579</v>
      </c>
      <c r="I4794" s="3">
        <v>8</v>
      </c>
      <c r="J4794" s="3">
        <v>0</v>
      </c>
      <c r="K4794" s="3">
        <v>5500</v>
      </c>
    </row>
    <row r="4795" spans="1:11" x14ac:dyDescent="0.2">
      <c r="A4795" s="1" t="s">
        <v>4</v>
      </c>
      <c r="B4795" s="1" t="s">
        <v>971</v>
      </c>
      <c r="C4795" s="1"/>
      <c r="D4795" s="1"/>
      <c r="E4795" s="1"/>
      <c r="F4795" s="1"/>
      <c r="G4795" s="1"/>
      <c r="H4795" s="1" t="str">
        <f>"7800000650006"</f>
        <v>7800000650006</v>
      </c>
      <c r="I4795" s="3">
        <v>2</v>
      </c>
      <c r="J4795" s="3">
        <v>0</v>
      </c>
      <c r="K4795" s="3">
        <v>5000</v>
      </c>
    </row>
    <row r="4796" spans="1:11" x14ac:dyDescent="0.2">
      <c r="A4796" s="1" t="s">
        <v>4</v>
      </c>
      <c r="B4796" s="1" t="s">
        <v>973</v>
      </c>
      <c r="C4796" s="1"/>
      <c r="D4796" s="1"/>
      <c r="E4796" s="1"/>
      <c r="F4796" s="1"/>
      <c r="G4796" s="1"/>
      <c r="H4796" s="1" t="str">
        <f>"5854020656502"</f>
        <v>5854020656502</v>
      </c>
      <c r="I4796" s="3">
        <v>4</v>
      </c>
      <c r="J4796" s="3">
        <v>0</v>
      </c>
      <c r="K4796" s="3">
        <v>4500</v>
      </c>
    </row>
    <row r="4797" spans="1:11" x14ac:dyDescent="0.2">
      <c r="A4797" s="1" t="s">
        <v>4</v>
      </c>
      <c r="B4797" s="1" t="s">
        <v>1045</v>
      </c>
      <c r="C4797" s="1"/>
      <c r="D4797" s="1"/>
      <c r="E4797" s="1"/>
      <c r="F4797" s="1"/>
      <c r="G4797" s="1"/>
      <c r="H4797" s="1" t="str">
        <f>"1469852315110"</f>
        <v>1469852315110</v>
      </c>
      <c r="I4797" s="3">
        <v>5</v>
      </c>
      <c r="J4797" s="3">
        <v>0</v>
      </c>
      <c r="K4797" s="3">
        <v>4500</v>
      </c>
    </row>
    <row r="4798" spans="1:11" x14ac:dyDescent="0.2">
      <c r="A4798" s="1" t="s">
        <v>4</v>
      </c>
      <c r="B4798" s="1" t="s">
        <v>1058</v>
      </c>
      <c r="C4798" s="1"/>
      <c r="D4798" s="1"/>
      <c r="E4798" s="1"/>
      <c r="F4798" s="1"/>
      <c r="G4798" s="1"/>
      <c r="H4798" s="1" t="str">
        <f>"7805633025245"</f>
        <v>7805633025245</v>
      </c>
      <c r="I4798" s="3">
        <v>12</v>
      </c>
      <c r="J4798" s="3">
        <v>0</v>
      </c>
      <c r="K4798" s="3">
        <v>4000</v>
      </c>
    </row>
    <row r="4799" spans="1:11" x14ac:dyDescent="0.2">
      <c r="A4799" s="1" t="s">
        <v>4</v>
      </c>
      <c r="B4799" s="1" t="s">
        <v>1060</v>
      </c>
      <c r="C4799" s="1"/>
      <c r="D4799" s="1"/>
      <c r="E4799" s="1"/>
      <c r="F4799" s="1"/>
      <c r="G4799" s="1"/>
      <c r="H4799" s="1" t="str">
        <f>"737186233181"</f>
        <v>737186233181</v>
      </c>
      <c r="I4799" s="3">
        <v>0</v>
      </c>
      <c r="J4799" s="3">
        <v>0</v>
      </c>
      <c r="K4799" s="3">
        <v>3000</v>
      </c>
    </row>
    <row r="4800" spans="1:11" x14ac:dyDescent="0.2">
      <c r="A4800" s="1" t="s">
        <v>4</v>
      </c>
      <c r="B4800" s="1" t="s">
        <v>1061</v>
      </c>
      <c r="C4800" s="1"/>
      <c r="D4800" s="1"/>
      <c r="E4800" s="1"/>
      <c r="F4800" s="1"/>
      <c r="G4800" s="1"/>
      <c r="H4800" s="1" t="str">
        <f>"76062785560382"</f>
        <v>76062785560382</v>
      </c>
      <c r="I4800" s="3">
        <v>50</v>
      </c>
      <c r="J4800" s="3">
        <v>0</v>
      </c>
      <c r="K4800" s="3">
        <v>4500</v>
      </c>
    </row>
    <row r="4801" spans="1:11" x14ac:dyDescent="0.2">
      <c r="A4801" s="1" t="s">
        <v>4</v>
      </c>
      <c r="B4801" s="1" t="s">
        <v>1062</v>
      </c>
      <c r="C4801" s="1"/>
      <c r="D4801" s="1"/>
      <c r="E4801" s="1"/>
      <c r="F4801" s="1"/>
      <c r="G4801" s="1"/>
      <c r="H4801" s="1" t="str">
        <f>"6565202208172"</f>
        <v>6565202208172</v>
      </c>
      <c r="I4801" s="3">
        <v>94</v>
      </c>
      <c r="J4801" s="3">
        <v>0</v>
      </c>
      <c r="K4801" s="3">
        <v>5000</v>
      </c>
    </row>
    <row r="4802" spans="1:11" x14ac:dyDescent="0.2">
      <c r="A4802" s="1" t="s">
        <v>4</v>
      </c>
      <c r="B4802" s="1" t="s">
        <v>1063</v>
      </c>
      <c r="C4802" s="1"/>
      <c r="D4802" s="1"/>
      <c r="E4802" s="1"/>
      <c r="F4802" s="1"/>
      <c r="G4802" s="1"/>
      <c r="H4802" s="1" t="str">
        <f>"731416392990"</f>
        <v>731416392990</v>
      </c>
      <c r="I4802" s="3">
        <v>0</v>
      </c>
      <c r="J4802" s="3">
        <v>0</v>
      </c>
      <c r="K4802" s="3">
        <v>4500</v>
      </c>
    </row>
    <row r="4803" spans="1:11" x14ac:dyDescent="0.2">
      <c r="A4803" s="1" t="s">
        <v>4</v>
      </c>
      <c r="B4803" s="1" t="s">
        <v>1064</v>
      </c>
      <c r="C4803" s="1"/>
      <c r="D4803" s="1"/>
      <c r="E4803" s="1"/>
      <c r="F4803" s="1"/>
      <c r="G4803" s="1"/>
      <c r="H4803" s="1" t="str">
        <f>"7805633026587"</f>
        <v>7805633026587</v>
      </c>
      <c r="I4803" s="3">
        <v>1</v>
      </c>
      <c r="J4803" s="3">
        <v>0</v>
      </c>
      <c r="K4803" s="3">
        <v>3500</v>
      </c>
    </row>
    <row r="4804" spans="1:11" x14ac:dyDescent="0.2">
      <c r="A4804" s="1" t="s">
        <v>4</v>
      </c>
      <c r="B4804" s="1" t="s">
        <v>1065</v>
      </c>
      <c r="C4804" s="1"/>
      <c r="D4804" s="1"/>
      <c r="E4804" s="1"/>
      <c r="F4804" s="1"/>
      <c r="G4804" s="1"/>
      <c r="H4804" s="1" t="str">
        <f>"6565202208196"</f>
        <v>6565202208196</v>
      </c>
      <c r="I4804" s="3">
        <v>69</v>
      </c>
      <c r="J4804" s="3">
        <v>0</v>
      </c>
      <c r="K4804" s="3">
        <v>4000</v>
      </c>
    </row>
    <row r="4805" spans="1:11" x14ac:dyDescent="0.2">
      <c r="A4805" s="1" t="s">
        <v>4</v>
      </c>
      <c r="B4805" s="1" t="s">
        <v>1112</v>
      </c>
      <c r="C4805" s="1"/>
      <c r="D4805" s="1"/>
      <c r="E4805" s="1"/>
      <c r="F4805" s="1"/>
      <c r="G4805" s="1"/>
      <c r="H4805" s="1" t="str">
        <f>"6257234515761"</f>
        <v>6257234515761</v>
      </c>
      <c r="I4805" s="3">
        <v>0</v>
      </c>
      <c r="J4805" s="3">
        <v>0</v>
      </c>
      <c r="K4805" s="3">
        <v>3500</v>
      </c>
    </row>
    <row r="4806" spans="1:11" x14ac:dyDescent="0.2">
      <c r="A4806" s="1" t="s">
        <v>4</v>
      </c>
      <c r="B4806" s="1" t="s">
        <v>1116</v>
      </c>
      <c r="C4806" s="1"/>
      <c r="D4806" s="1"/>
      <c r="E4806" s="1"/>
      <c r="F4806" s="1"/>
      <c r="G4806" s="1"/>
      <c r="H4806" s="1" t="str">
        <f>"7805633024897"</f>
        <v>7805633024897</v>
      </c>
      <c r="I4806" s="3">
        <v>0</v>
      </c>
      <c r="J4806" s="3">
        <v>0</v>
      </c>
      <c r="K4806" s="3">
        <v>3500</v>
      </c>
    </row>
    <row r="4807" spans="1:11" x14ac:dyDescent="0.2">
      <c r="A4807" s="1" t="s">
        <v>4</v>
      </c>
      <c r="B4807" s="1" t="s">
        <v>1117</v>
      </c>
      <c r="C4807" s="1"/>
      <c r="D4807" s="1"/>
      <c r="E4807" s="1"/>
      <c r="F4807" s="1"/>
      <c r="G4807" s="1"/>
      <c r="H4807" s="1" t="str">
        <f>"9000000010000"</f>
        <v>9000000010000</v>
      </c>
      <c r="I4807" s="3">
        <v>24</v>
      </c>
      <c r="J4807" s="3">
        <v>0</v>
      </c>
      <c r="K4807" s="3">
        <v>5000</v>
      </c>
    </row>
    <row r="4808" spans="1:11" x14ac:dyDescent="0.2">
      <c r="A4808" s="1" t="s">
        <v>4</v>
      </c>
      <c r="B4808" s="1" t="s">
        <v>1140</v>
      </c>
      <c r="C4808" s="1"/>
      <c r="D4808" s="1"/>
      <c r="E4808" s="1"/>
      <c r="F4808" s="1"/>
      <c r="G4808" s="1"/>
      <c r="H4808" s="1" t="str">
        <f>"7803319005819"</f>
        <v>7803319005819</v>
      </c>
      <c r="I4808" s="3">
        <v>11</v>
      </c>
      <c r="J4808" s="3">
        <v>0</v>
      </c>
      <c r="K4808" s="3">
        <v>3500</v>
      </c>
    </row>
    <row r="4809" spans="1:11" x14ac:dyDescent="0.2">
      <c r="A4809" s="1" t="s">
        <v>4</v>
      </c>
      <c r="B4809" s="1" t="s">
        <v>1142</v>
      </c>
      <c r="C4809" s="1"/>
      <c r="D4809" s="1"/>
      <c r="E4809" s="1"/>
      <c r="F4809" s="1"/>
      <c r="G4809" s="1"/>
      <c r="H4809" s="1" t="str">
        <f>"7805633023296"</f>
        <v>7805633023296</v>
      </c>
      <c r="I4809" s="3">
        <v>54</v>
      </c>
      <c r="J4809" s="3">
        <v>0</v>
      </c>
      <c r="K4809" s="3">
        <v>6000</v>
      </c>
    </row>
    <row r="4810" spans="1:11" x14ac:dyDescent="0.2">
      <c r="A4810" s="1" t="s">
        <v>4</v>
      </c>
      <c r="B4810" s="1" t="s">
        <v>1143</v>
      </c>
      <c r="C4810" s="1"/>
      <c r="D4810" s="1"/>
      <c r="E4810" s="1"/>
      <c r="F4810" s="1"/>
      <c r="G4810" s="1"/>
      <c r="H4810" s="1" t="str">
        <f>"7805633019176"</f>
        <v>7805633019176</v>
      </c>
      <c r="I4810" s="3">
        <v>47</v>
      </c>
      <c r="J4810" s="3">
        <v>0</v>
      </c>
      <c r="K4810" s="3">
        <v>4000</v>
      </c>
    </row>
    <row r="4811" spans="1:11" x14ac:dyDescent="0.2">
      <c r="A4811" s="1" t="s">
        <v>4</v>
      </c>
      <c r="B4811" s="1" t="s">
        <v>1149</v>
      </c>
      <c r="C4811" s="1"/>
      <c r="D4811" s="1"/>
      <c r="E4811" s="1"/>
      <c r="F4811" s="1"/>
      <c r="G4811" s="1"/>
      <c r="H4811" s="1" t="str">
        <f>"7805633023210"</f>
        <v>7805633023210</v>
      </c>
      <c r="I4811" s="3">
        <v>0</v>
      </c>
      <c r="J4811" s="3">
        <v>0</v>
      </c>
      <c r="K4811" s="3">
        <v>11000</v>
      </c>
    </row>
    <row r="4812" spans="1:11" x14ac:dyDescent="0.2">
      <c r="A4812" s="1" t="s">
        <v>4</v>
      </c>
      <c r="B4812" s="1" t="s">
        <v>1150</v>
      </c>
      <c r="C4812" s="1"/>
      <c r="D4812" s="1"/>
      <c r="E4812" s="1"/>
      <c r="F4812" s="1"/>
      <c r="G4812" s="1"/>
      <c r="H4812" s="1" t="str">
        <f>"737186551087"</f>
        <v>737186551087</v>
      </c>
      <c r="I4812" s="3">
        <v>0</v>
      </c>
      <c r="J4812" s="3">
        <v>0</v>
      </c>
      <c r="K4812" s="3">
        <v>4000</v>
      </c>
    </row>
    <row r="4813" spans="1:11" x14ac:dyDescent="0.2">
      <c r="A4813" s="1" t="s">
        <v>4</v>
      </c>
      <c r="B4813" s="1" t="s">
        <v>1171</v>
      </c>
      <c r="C4813" s="1"/>
      <c r="D4813" s="1"/>
      <c r="E4813" s="1"/>
      <c r="F4813" s="1"/>
      <c r="G4813" s="1"/>
      <c r="H4813" s="1" t="str">
        <f>"737186551223"</f>
        <v>737186551223</v>
      </c>
      <c r="I4813" s="3">
        <v>1</v>
      </c>
      <c r="J4813" s="3">
        <v>0</v>
      </c>
      <c r="K4813" s="3">
        <v>3500</v>
      </c>
    </row>
    <row r="4814" spans="1:11" x14ac:dyDescent="0.2">
      <c r="A4814" s="1" t="s">
        <v>4</v>
      </c>
      <c r="B4814" s="1" t="s">
        <v>1200</v>
      </c>
      <c r="C4814" s="1"/>
      <c r="D4814" s="1"/>
      <c r="E4814" s="1"/>
      <c r="F4814" s="1"/>
      <c r="G4814" s="1"/>
      <c r="H4814" s="1" t="str">
        <f>"75941686916494"</f>
        <v>75941686916494</v>
      </c>
      <c r="I4814" s="3">
        <v>50</v>
      </c>
      <c r="J4814" s="3">
        <v>0</v>
      </c>
      <c r="K4814" s="3">
        <v>5000</v>
      </c>
    </row>
    <row r="4815" spans="1:11" x14ac:dyDescent="0.2">
      <c r="A4815" s="1" t="s">
        <v>4</v>
      </c>
      <c r="B4815" s="1" t="s">
        <v>1201</v>
      </c>
      <c r="C4815" s="1"/>
      <c r="D4815" s="1"/>
      <c r="E4815" s="1"/>
      <c r="F4815" s="1"/>
      <c r="G4815" s="1"/>
      <c r="H4815" s="1" t="str">
        <f>"7803319006618"</f>
        <v>7803319006618</v>
      </c>
      <c r="I4815" s="3">
        <v>0</v>
      </c>
      <c r="J4815" s="3">
        <v>0</v>
      </c>
      <c r="K4815" s="3">
        <v>3500</v>
      </c>
    </row>
    <row r="4816" spans="1:11" x14ac:dyDescent="0.2">
      <c r="A4816" s="1" t="s">
        <v>4</v>
      </c>
      <c r="B4816" s="1" t="s">
        <v>1261</v>
      </c>
      <c r="C4816" s="1"/>
      <c r="D4816" s="1"/>
      <c r="E4816" s="1"/>
      <c r="F4816" s="1"/>
      <c r="G4816" s="1"/>
      <c r="H4816" s="1" t="str">
        <f>"7805633023418"</f>
        <v>7805633023418</v>
      </c>
      <c r="I4816" s="3">
        <v>2</v>
      </c>
      <c r="J4816" s="3">
        <v>0</v>
      </c>
      <c r="K4816" s="3">
        <v>5500</v>
      </c>
    </row>
    <row r="4817" spans="1:11" x14ac:dyDescent="0.2">
      <c r="A4817" s="1" t="s">
        <v>4</v>
      </c>
      <c r="B4817" s="1" t="s">
        <v>1262</v>
      </c>
      <c r="C4817" s="1"/>
      <c r="D4817" s="1"/>
      <c r="E4817" s="1"/>
      <c r="F4817" s="1"/>
      <c r="G4817" s="1"/>
      <c r="H4817" s="1" t="str">
        <f>"7805633028741"</f>
        <v>7805633028741</v>
      </c>
      <c r="I4817" s="3">
        <v>0</v>
      </c>
      <c r="J4817" s="3">
        <v>0</v>
      </c>
      <c r="K4817" s="3">
        <v>8000</v>
      </c>
    </row>
    <row r="4818" spans="1:11" x14ac:dyDescent="0.2">
      <c r="A4818" s="1" t="s">
        <v>4</v>
      </c>
      <c r="B4818" s="1" t="s">
        <v>1263</v>
      </c>
      <c r="C4818" s="1"/>
      <c r="D4818" s="1"/>
      <c r="E4818" s="1"/>
      <c r="F4818" s="1"/>
      <c r="G4818" s="1"/>
      <c r="H4818" s="1" t="str">
        <f>"7805633023425"</f>
        <v>7805633023425</v>
      </c>
      <c r="I4818" s="3">
        <v>32</v>
      </c>
      <c r="J4818" s="3">
        <v>0</v>
      </c>
      <c r="K4818" s="3">
        <v>4000</v>
      </c>
    </row>
    <row r="4819" spans="1:11" x14ac:dyDescent="0.2">
      <c r="A4819" s="1" t="s">
        <v>4</v>
      </c>
      <c r="B4819" s="1" t="s">
        <v>1267</v>
      </c>
      <c r="C4819" s="1"/>
      <c r="D4819" s="1"/>
      <c r="E4819" s="1"/>
      <c r="F4819" s="1"/>
      <c r="G4819" s="1"/>
      <c r="H4819" s="1" t="str">
        <f>"658325195293"</f>
        <v>658325195293</v>
      </c>
      <c r="I4819" s="3">
        <v>53</v>
      </c>
      <c r="J4819" s="3">
        <v>0</v>
      </c>
      <c r="K4819" s="3">
        <v>5000</v>
      </c>
    </row>
    <row r="4820" spans="1:11" x14ac:dyDescent="0.2">
      <c r="A4820" s="1" t="s">
        <v>4</v>
      </c>
      <c r="B4820" s="1" t="s">
        <v>1268</v>
      </c>
      <c r="C4820" s="1"/>
      <c r="D4820" s="1"/>
      <c r="E4820" s="1"/>
      <c r="F4820" s="1"/>
      <c r="G4820" s="1"/>
      <c r="H4820" s="1" t="str">
        <f>"7803319005949"</f>
        <v>7803319005949</v>
      </c>
      <c r="I4820" s="3">
        <v>0</v>
      </c>
      <c r="J4820" s="3">
        <v>0</v>
      </c>
      <c r="K4820" s="3">
        <v>6000</v>
      </c>
    </row>
    <row r="4821" spans="1:11" x14ac:dyDescent="0.2">
      <c r="A4821" s="1" t="s">
        <v>4</v>
      </c>
      <c r="B4821" s="1" t="s">
        <v>1281</v>
      </c>
      <c r="C4821" s="1"/>
      <c r="D4821" s="1"/>
      <c r="E4821" s="1"/>
      <c r="F4821" s="1"/>
      <c r="G4821" s="1"/>
      <c r="H4821" s="1" t="str">
        <f>"1469852315295"</f>
        <v>1469852315295</v>
      </c>
      <c r="I4821" s="3">
        <v>14</v>
      </c>
      <c r="J4821" s="3">
        <v>0</v>
      </c>
      <c r="K4821" s="3">
        <v>5000</v>
      </c>
    </row>
    <row r="4822" spans="1:11" x14ac:dyDescent="0.2">
      <c r="A4822" s="1" t="s">
        <v>4</v>
      </c>
      <c r="B4822" s="1" t="s">
        <v>1284</v>
      </c>
      <c r="C4822" s="1"/>
      <c r="D4822" s="1"/>
      <c r="E4822" s="1"/>
      <c r="F4822" s="1"/>
      <c r="G4822" s="1"/>
      <c r="H4822" s="1" t="str">
        <f>"658325195354"</f>
        <v>658325195354</v>
      </c>
      <c r="I4822" s="3">
        <v>8</v>
      </c>
      <c r="J4822" s="3">
        <v>0</v>
      </c>
      <c r="K4822" s="3">
        <v>4500</v>
      </c>
    </row>
    <row r="4823" spans="1:11" x14ac:dyDescent="0.2">
      <c r="A4823" s="1" t="s">
        <v>4</v>
      </c>
      <c r="B4823" s="1" t="s">
        <v>1287</v>
      </c>
      <c r="C4823" s="1"/>
      <c r="D4823" s="1"/>
      <c r="E4823" s="1"/>
      <c r="F4823" s="1"/>
      <c r="G4823" s="1"/>
      <c r="H4823" s="1" t="str">
        <f>"609143535952"</f>
        <v>609143535952</v>
      </c>
      <c r="I4823" s="3">
        <v>8</v>
      </c>
      <c r="J4823" s="3">
        <v>0</v>
      </c>
      <c r="K4823" s="3">
        <v>7500</v>
      </c>
    </row>
    <row r="4824" spans="1:11" x14ac:dyDescent="0.2">
      <c r="A4824" s="1" t="s">
        <v>4</v>
      </c>
      <c r="B4824" s="1" t="s">
        <v>1288</v>
      </c>
      <c r="C4824" s="1"/>
      <c r="D4824" s="1"/>
      <c r="E4824" s="1"/>
      <c r="F4824" s="1"/>
      <c r="G4824" s="1"/>
      <c r="H4824" s="1" t="str">
        <f>"5456465456169"</f>
        <v>5456465456169</v>
      </c>
      <c r="I4824" s="3">
        <v>0</v>
      </c>
      <c r="J4824" s="3">
        <v>0</v>
      </c>
      <c r="K4824" s="3">
        <v>11000</v>
      </c>
    </row>
    <row r="4825" spans="1:11" x14ac:dyDescent="0.2">
      <c r="A4825" s="1" t="s">
        <v>4</v>
      </c>
      <c r="B4825" s="1" t="s">
        <v>1290</v>
      </c>
      <c r="C4825" s="1"/>
      <c r="D4825" s="1"/>
      <c r="E4825" s="1"/>
      <c r="F4825" s="1"/>
      <c r="G4825" s="1"/>
      <c r="H4825" s="1" t="str">
        <f>"658325195460"</f>
        <v>658325195460</v>
      </c>
      <c r="I4825" s="3">
        <v>0</v>
      </c>
      <c r="J4825" s="3">
        <v>0</v>
      </c>
      <c r="K4825" s="3">
        <v>11000</v>
      </c>
    </row>
    <row r="4826" spans="1:11" x14ac:dyDescent="0.2">
      <c r="A4826" s="1" t="s">
        <v>4</v>
      </c>
      <c r="B4826" s="1" t="s">
        <v>1291</v>
      </c>
      <c r="C4826" s="1"/>
      <c r="D4826" s="1"/>
      <c r="E4826" s="1"/>
      <c r="F4826" s="1"/>
      <c r="G4826" s="1"/>
      <c r="H4826" s="1" t="str">
        <f>"7070900777121"</f>
        <v>7070900777121</v>
      </c>
      <c r="I4826" s="3">
        <v>1</v>
      </c>
      <c r="J4826" s="3">
        <v>0</v>
      </c>
      <c r="K4826" s="3">
        <v>15000</v>
      </c>
    </row>
    <row r="4827" spans="1:11" x14ac:dyDescent="0.2">
      <c r="A4827" s="1" t="s">
        <v>4</v>
      </c>
      <c r="B4827" s="1" t="s">
        <v>1395</v>
      </c>
      <c r="C4827" s="1"/>
      <c r="D4827" s="1"/>
      <c r="E4827" s="1"/>
      <c r="F4827" s="1"/>
      <c r="G4827" s="1"/>
      <c r="H4827" s="1" t="str">
        <f>"8000000000088"</f>
        <v>8000000000088</v>
      </c>
      <c r="I4827" s="3">
        <v>8</v>
      </c>
      <c r="J4827" s="3">
        <v>0</v>
      </c>
      <c r="K4827" s="3">
        <v>6545</v>
      </c>
    </row>
    <row r="4828" spans="1:11" x14ac:dyDescent="0.2">
      <c r="A4828" s="1" t="s">
        <v>4</v>
      </c>
      <c r="B4828" s="1" t="s">
        <v>1396</v>
      </c>
      <c r="C4828" s="1"/>
      <c r="D4828" s="1"/>
      <c r="E4828" s="1"/>
      <c r="F4828" s="1"/>
      <c r="G4828" s="1"/>
      <c r="H4828" s="1" t="str">
        <f>"7803319005680"</f>
        <v>7803319005680</v>
      </c>
      <c r="I4828" s="3">
        <v>1</v>
      </c>
      <c r="J4828" s="3">
        <v>0</v>
      </c>
      <c r="K4828" s="3">
        <v>6500</v>
      </c>
    </row>
    <row r="4829" spans="1:11" x14ac:dyDescent="0.2">
      <c r="A4829" s="1" t="s">
        <v>4</v>
      </c>
      <c r="B4829" s="1" t="s">
        <v>1398</v>
      </c>
      <c r="C4829" s="1"/>
      <c r="D4829" s="1"/>
      <c r="E4829" s="1"/>
      <c r="F4829" s="1"/>
      <c r="G4829" s="1"/>
      <c r="H4829" s="1" t="str">
        <f>"6565465786134"</f>
        <v>6565465786134</v>
      </c>
      <c r="I4829" s="3">
        <v>3</v>
      </c>
      <c r="J4829" s="3">
        <v>0</v>
      </c>
      <c r="K4829" s="3">
        <v>7500</v>
      </c>
    </row>
    <row r="4830" spans="1:11" x14ac:dyDescent="0.2">
      <c r="A4830" s="1" t="s">
        <v>4</v>
      </c>
      <c r="B4830" s="1" t="s">
        <v>1401</v>
      </c>
      <c r="C4830" s="1"/>
      <c r="D4830" s="1"/>
      <c r="E4830" s="1"/>
      <c r="F4830" s="1"/>
      <c r="G4830" s="1"/>
      <c r="H4830" s="1" t="str">
        <f>"7803319004508"</f>
        <v>7803319004508</v>
      </c>
      <c r="I4830" s="3">
        <v>8</v>
      </c>
      <c r="J4830" s="3">
        <v>0</v>
      </c>
      <c r="K4830" s="3">
        <v>3500</v>
      </c>
    </row>
    <row r="4831" spans="1:11" x14ac:dyDescent="0.2">
      <c r="A4831" s="1" t="s">
        <v>4</v>
      </c>
      <c r="B4831" s="1" t="s">
        <v>1426</v>
      </c>
      <c r="C4831" s="1"/>
      <c r="D4831" s="1"/>
      <c r="E4831" s="1"/>
      <c r="F4831" s="1"/>
      <c r="G4831" s="1"/>
      <c r="H4831" s="1" t="str">
        <f>"620583941015"</f>
        <v>620583941015</v>
      </c>
      <c r="I4831" s="3">
        <v>3</v>
      </c>
      <c r="J4831" s="3">
        <v>0</v>
      </c>
      <c r="K4831" s="3">
        <v>4000</v>
      </c>
    </row>
    <row r="4832" spans="1:11" x14ac:dyDescent="0.2">
      <c r="A4832" s="1" t="s">
        <v>4</v>
      </c>
      <c r="B4832" s="1" t="s">
        <v>1493</v>
      </c>
      <c r="C4832" s="1"/>
      <c r="D4832" s="1"/>
      <c r="E4832" s="1"/>
      <c r="F4832" s="1"/>
      <c r="G4832" s="1"/>
      <c r="H4832" s="1" t="str">
        <f>"7891317018405"</f>
        <v>7891317018405</v>
      </c>
      <c r="I4832" s="3">
        <v>0</v>
      </c>
      <c r="J4832" s="3">
        <v>0</v>
      </c>
      <c r="K4832" s="3">
        <v>10000</v>
      </c>
    </row>
    <row r="4833" spans="1:11" x14ac:dyDescent="0.2">
      <c r="A4833" s="1" t="s">
        <v>4</v>
      </c>
      <c r="B4833" s="1" t="s">
        <v>1494</v>
      </c>
      <c r="C4833" s="1"/>
      <c r="D4833" s="1"/>
      <c r="E4833" s="1"/>
      <c r="F4833" s="1"/>
      <c r="G4833" s="1"/>
      <c r="H4833" s="1" t="str">
        <f>"7891317018412"</f>
        <v>7891317018412</v>
      </c>
      <c r="I4833" s="3">
        <v>0</v>
      </c>
      <c r="J4833" s="3">
        <v>0</v>
      </c>
      <c r="K4833" s="3">
        <v>11000</v>
      </c>
    </row>
    <row r="4834" spans="1:11" x14ac:dyDescent="0.2">
      <c r="A4834" s="1" t="s">
        <v>4</v>
      </c>
      <c r="B4834" s="1" t="s">
        <v>1975</v>
      </c>
      <c r="C4834" s="1"/>
      <c r="D4834" s="1"/>
      <c r="E4834" s="1"/>
      <c r="F4834" s="1"/>
      <c r="G4834" s="1"/>
      <c r="H4834" s="1" t="str">
        <f>"737186233204"</f>
        <v>737186233204</v>
      </c>
      <c r="I4834" s="3">
        <v>0</v>
      </c>
      <c r="J4834" s="3">
        <v>0</v>
      </c>
      <c r="K4834" s="3">
        <v>4000</v>
      </c>
    </row>
    <row r="4835" spans="1:11" x14ac:dyDescent="0.2">
      <c r="A4835" s="1" t="s">
        <v>4</v>
      </c>
      <c r="B4835" s="1" t="s">
        <v>1982</v>
      </c>
      <c r="C4835" s="1"/>
      <c r="D4835" s="1"/>
      <c r="E4835" s="1"/>
      <c r="F4835" s="1"/>
      <c r="G4835" s="1"/>
      <c r="H4835" s="1" t="str">
        <f>"5854020624945"</f>
        <v>5854020624945</v>
      </c>
      <c r="I4835" s="3">
        <v>2</v>
      </c>
      <c r="J4835" s="3">
        <v>0</v>
      </c>
      <c r="K4835" s="3">
        <v>7500</v>
      </c>
    </row>
    <row r="4836" spans="1:11" x14ac:dyDescent="0.2">
      <c r="A4836" s="1" t="s">
        <v>4</v>
      </c>
      <c r="B4836" s="1" t="s">
        <v>2086</v>
      </c>
      <c r="C4836" s="1"/>
      <c r="D4836" s="1"/>
      <c r="E4836" s="1"/>
      <c r="F4836" s="1"/>
      <c r="G4836" s="1"/>
      <c r="H4836" s="1" t="str">
        <f>"7803319004171"</f>
        <v>7803319004171</v>
      </c>
      <c r="I4836" s="3">
        <v>9</v>
      </c>
      <c r="J4836" s="3">
        <v>0</v>
      </c>
      <c r="K4836" s="3">
        <v>12000</v>
      </c>
    </row>
    <row r="4837" spans="1:11" x14ac:dyDescent="0.2">
      <c r="A4837" s="1" t="s">
        <v>4</v>
      </c>
      <c r="B4837" s="1" t="s">
        <v>2204</v>
      </c>
      <c r="C4837" s="1"/>
      <c r="D4837" s="1"/>
      <c r="E4837" s="1"/>
      <c r="F4837" s="1"/>
      <c r="G4837" s="1"/>
      <c r="H4837" s="1" t="str">
        <f>"1469852315332"</f>
        <v>1469852315332</v>
      </c>
      <c r="I4837" s="3">
        <v>5</v>
      </c>
      <c r="J4837" s="3">
        <v>0</v>
      </c>
      <c r="K4837" s="3">
        <v>5000</v>
      </c>
    </row>
    <row r="4838" spans="1:11" x14ac:dyDescent="0.2">
      <c r="A4838" s="1" t="s">
        <v>4</v>
      </c>
      <c r="B4838" s="1" t="s">
        <v>2260</v>
      </c>
      <c r="C4838" s="1"/>
      <c r="D4838" s="1"/>
      <c r="E4838" s="1"/>
      <c r="F4838" s="1"/>
      <c r="G4838" s="1"/>
      <c r="H4838" s="1" t="str">
        <f>"7803319006502"</f>
        <v>7803319006502</v>
      </c>
      <c r="I4838" s="3">
        <v>6</v>
      </c>
      <c r="J4838" s="3">
        <v>0</v>
      </c>
      <c r="K4838" s="3">
        <v>4000</v>
      </c>
    </row>
    <row r="4839" spans="1:11" x14ac:dyDescent="0.2">
      <c r="A4839" s="1" t="s">
        <v>4</v>
      </c>
      <c r="B4839" s="1" t="s">
        <v>2261</v>
      </c>
      <c r="C4839" s="1"/>
      <c r="D4839" s="1"/>
      <c r="E4839" s="1"/>
      <c r="F4839" s="1"/>
      <c r="G4839" s="1"/>
      <c r="H4839" s="1" t="str">
        <f>"5854020678412"</f>
        <v>5854020678412</v>
      </c>
      <c r="I4839" s="3">
        <v>3</v>
      </c>
      <c r="J4839" s="3">
        <v>0</v>
      </c>
      <c r="K4839" s="3">
        <v>5000</v>
      </c>
    </row>
    <row r="4840" spans="1:11" x14ac:dyDescent="0.2">
      <c r="A4840" s="1" t="s">
        <v>4</v>
      </c>
      <c r="B4840" s="1" t="s">
        <v>2269</v>
      </c>
      <c r="C4840" s="1"/>
      <c r="D4840" s="1"/>
      <c r="E4840" s="1"/>
      <c r="F4840" s="1"/>
      <c r="G4840" s="1"/>
      <c r="H4840" s="1" t="str">
        <f>"7803319005963"</f>
        <v>7803319005963</v>
      </c>
      <c r="I4840" s="3">
        <v>2</v>
      </c>
      <c r="J4840" s="3">
        <v>0</v>
      </c>
      <c r="K4840" s="3">
        <v>6000</v>
      </c>
    </row>
    <row r="4841" spans="1:11" x14ac:dyDescent="0.2">
      <c r="A4841" s="1" t="s">
        <v>4</v>
      </c>
      <c r="B4841" s="1" t="s">
        <v>2270</v>
      </c>
      <c r="C4841" s="1"/>
      <c r="D4841" s="1"/>
      <c r="E4841" s="1"/>
      <c r="F4841" s="1"/>
      <c r="G4841" s="1"/>
      <c r="H4841" s="1" t="str">
        <f>"9000000080003"</f>
        <v>9000000080003</v>
      </c>
      <c r="I4841" s="3">
        <v>2</v>
      </c>
      <c r="J4841" s="3">
        <v>0</v>
      </c>
      <c r="K4841" s="3">
        <v>8000</v>
      </c>
    </row>
    <row r="4842" spans="1:11" x14ac:dyDescent="0.2">
      <c r="A4842" s="1" t="s">
        <v>4</v>
      </c>
      <c r="B4842" s="1" t="s">
        <v>2287</v>
      </c>
      <c r="C4842" s="1"/>
      <c r="D4842" s="1"/>
      <c r="E4842" s="1"/>
      <c r="F4842" s="1"/>
      <c r="G4842" s="1"/>
      <c r="H4842" s="1" t="str">
        <f>"1469852315967"</f>
        <v>1469852315967</v>
      </c>
      <c r="I4842" s="3">
        <v>11</v>
      </c>
      <c r="J4842" s="3">
        <v>0</v>
      </c>
      <c r="K4842" s="3">
        <v>5000</v>
      </c>
    </row>
    <row r="4843" spans="1:11" x14ac:dyDescent="0.2">
      <c r="A4843" s="1" t="s">
        <v>4</v>
      </c>
      <c r="B4843" s="1" t="s">
        <v>2288</v>
      </c>
      <c r="C4843" s="1"/>
      <c r="D4843" s="1"/>
      <c r="E4843" s="1"/>
      <c r="F4843" s="1"/>
      <c r="G4843" s="1"/>
      <c r="H4843" s="1" t="str">
        <f>"9000000056664"</f>
        <v>9000000056664</v>
      </c>
      <c r="I4843" s="3">
        <v>9</v>
      </c>
      <c r="J4843" s="3">
        <v>0</v>
      </c>
      <c r="K4843" s="3">
        <v>5000</v>
      </c>
    </row>
    <row r="4844" spans="1:11" x14ac:dyDescent="0.2">
      <c r="A4844" s="1" t="s">
        <v>4</v>
      </c>
      <c r="B4844" s="1" t="s">
        <v>2318</v>
      </c>
      <c r="C4844" s="1"/>
      <c r="D4844" s="1"/>
      <c r="E4844" s="1"/>
      <c r="F4844" s="1"/>
      <c r="G4844" s="1"/>
      <c r="H4844" s="1" t="str">
        <f>"7803319004409"</f>
        <v>7803319004409</v>
      </c>
      <c r="I4844" s="3">
        <v>0</v>
      </c>
      <c r="J4844" s="3">
        <v>0</v>
      </c>
      <c r="K4844" s="3">
        <v>4500</v>
      </c>
    </row>
    <row r="4845" spans="1:11" x14ac:dyDescent="0.2">
      <c r="A4845" s="1" t="s">
        <v>4</v>
      </c>
      <c r="B4845" s="1" t="s">
        <v>2320</v>
      </c>
      <c r="C4845" s="1"/>
      <c r="D4845" s="1"/>
      <c r="E4845" s="1"/>
      <c r="F4845" s="1"/>
      <c r="G4845" s="1"/>
      <c r="H4845" s="1" t="str">
        <f>"5856020654014"</f>
        <v>5856020654014</v>
      </c>
      <c r="I4845" s="3">
        <v>8</v>
      </c>
      <c r="J4845" s="3">
        <v>0</v>
      </c>
      <c r="K4845" s="3">
        <v>5500</v>
      </c>
    </row>
    <row r="4846" spans="1:11" x14ac:dyDescent="0.2">
      <c r="A4846" s="1" t="s">
        <v>4</v>
      </c>
      <c r="B4846" s="1" t="s">
        <v>2322</v>
      </c>
      <c r="C4846" s="1"/>
      <c r="D4846" s="1"/>
      <c r="E4846" s="1"/>
      <c r="F4846" s="1"/>
      <c r="G4846" s="1"/>
      <c r="H4846" s="1" t="str">
        <f>"6926141788123"</f>
        <v>6926141788123</v>
      </c>
      <c r="I4846" s="3">
        <v>52</v>
      </c>
      <c r="J4846" s="3">
        <v>0</v>
      </c>
      <c r="K4846" s="3">
        <v>6000</v>
      </c>
    </row>
    <row r="4847" spans="1:11" x14ac:dyDescent="0.2">
      <c r="A4847" s="1" t="s">
        <v>4</v>
      </c>
      <c r="B4847" s="1" t="s">
        <v>2325</v>
      </c>
      <c r="C4847" s="1"/>
      <c r="D4847" s="1"/>
      <c r="E4847" s="1"/>
      <c r="F4847" s="1"/>
      <c r="G4847" s="1"/>
      <c r="H4847" s="1" t="str">
        <f>"764451229549"</f>
        <v>764451229549</v>
      </c>
      <c r="I4847" s="3">
        <v>54</v>
      </c>
      <c r="J4847" s="3">
        <v>0</v>
      </c>
      <c r="K4847" s="3">
        <v>5000</v>
      </c>
    </row>
    <row r="4848" spans="1:11" x14ac:dyDescent="0.2">
      <c r="A4848" s="1" t="s">
        <v>4</v>
      </c>
      <c r="B4848" s="1" t="s">
        <v>2352</v>
      </c>
      <c r="C4848" s="1"/>
      <c r="D4848" s="1"/>
      <c r="E4848" s="1"/>
      <c r="F4848" s="1"/>
      <c r="G4848" s="1"/>
      <c r="H4848" s="1" t="str">
        <f>"1469852316155"</f>
        <v>1469852316155</v>
      </c>
      <c r="I4848" s="3">
        <v>0</v>
      </c>
      <c r="J4848" s="3">
        <v>0</v>
      </c>
      <c r="K4848" s="3">
        <v>5000</v>
      </c>
    </row>
    <row r="4849" spans="1:11" x14ac:dyDescent="0.2">
      <c r="A4849" s="1" t="s">
        <v>4</v>
      </c>
      <c r="B4849" s="1" t="s">
        <v>2353</v>
      </c>
      <c r="C4849" s="1"/>
      <c r="D4849" s="1"/>
      <c r="E4849" s="1"/>
      <c r="F4849" s="1"/>
      <c r="G4849" s="1"/>
      <c r="H4849" s="1" t="str">
        <f>"7803319004560"</f>
        <v>7803319004560</v>
      </c>
      <c r="I4849" s="3">
        <v>1</v>
      </c>
      <c r="J4849" s="3">
        <v>0</v>
      </c>
      <c r="K4849" s="3">
        <v>4000</v>
      </c>
    </row>
    <row r="4850" spans="1:11" x14ac:dyDescent="0.2">
      <c r="A4850" s="1" t="s">
        <v>4</v>
      </c>
      <c r="B4850" s="1" t="s">
        <v>2355</v>
      </c>
      <c r="C4850" s="1"/>
      <c r="D4850" s="1"/>
      <c r="E4850" s="1"/>
      <c r="F4850" s="1"/>
      <c r="G4850" s="1"/>
      <c r="H4850" s="1" t="str">
        <f>"677144473016"</f>
        <v>677144473016</v>
      </c>
      <c r="I4850" s="3">
        <v>50</v>
      </c>
      <c r="J4850" s="3">
        <v>0</v>
      </c>
      <c r="K4850" s="3">
        <v>6000</v>
      </c>
    </row>
    <row r="4851" spans="1:11" x14ac:dyDescent="0.2">
      <c r="A4851" s="1" t="s">
        <v>4</v>
      </c>
      <c r="B4851" s="1" t="s">
        <v>2380</v>
      </c>
      <c r="C4851" s="1"/>
      <c r="D4851" s="1"/>
      <c r="E4851" s="1"/>
      <c r="F4851" s="1"/>
      <c r="G4851" s="1"/>
      <c r="H4851" s="1" t="str">
        <f>"8000000000606"</f>
        <v>8000000000606</v>
      </c>
      <c r="I4851" s="3">
        <v>6</v>
      </c>
      <c r="J4851" s="3">
        <v>0</v>
      </c>
      <c r="K4851" s="3">
        <v>4000</v>
      </c>
    </row>
    <row r="4852" spans="1:11" x14ac:dyDescent="0.2">
      <c r="A4852" s="1" t="s">
        <v>4</v>
      </c>
      <c r="B4852" s="1" t="s">
        <v>2388</v>
      </c>
      <c r="C4852" s="1"/>
      <c r="D4852" s="1"/>
      <c r="E4852" s="1"/>
      <c r="F4852" s="1"/>
      <c r="G4852" s="1"/>
      <c r="H4852" s="1" t="str">
        <f>"1469252375288"</f>
        <v>1469252375288</v>
      </c>
      <c r="I4852" s="3">
        <v>0</v>
      </c>
      <c r="J4852" s="3">
        <v>0</v>
      </c>
      <c r="K4852" s="3">
        <v>5000</v>
      </c>
    </row>
    <row r="4853" spans="1:11" x14ac:dyDescent="0.2">
      <c r="A4853" s="1" t="s">
        <v>4</v>
      </c>
      <c r="B4853" s="1" t="s">
        <v>2389</v>
      </c>
      <c r="C4853" s="1"/>
      <c r="D4853" s="1"/>
      <c r="E4853" s="1"/>
      <c r="F4853" s="1"/>
      <c r="G4853" s="1"/>
      <c r="H4853" s="1" t="str">
        <f>"1469852315288"</f>
        <v>1469852315288</v>
      </c>
      <c r="I4853" s="3">
        <v>18</v>
      </c>
      <c r="J4853" s="3">
        <v>0</v>
      </c>
      <c r="K4853" s="3">
        <v>5000</v>
      </c>
    </row>
    <row r="4854" spans="1:11" x14ac:dyDescent="0.2">
      <c r="A4854" s="1" t="s">
        <v>4</v>
      </c>
      <c r="B4854" s="1" t="s">
        <v>2533</v>
      </c>
      <c r="C4854" s="1"/>
      <c r="D4854" s="1"/>
      <c r="E4854" s="1"/>
      <c r="F4854" s="1"/>
      <c r="G4854" s="1"/>
      <c r="H4854" s="1" t="str">
        <f>"6948169312692"</f>
        <v>6948169312692</v>
      </c>
      <c r="I4854" s="3">
        <v>0</v>
      </c>
      <c r="J4854" s="3">
        <v>0</v>
      </c>
      <c r="K4854" s="3">
        <v>1000</v>
      </c>
    </row>
    <row r="4855" spans="1:11" x14ac:dyDescent="0.2">
      <c r="A4855" s="1" t="s">
        <v>4</v>
      </c>
      <c r="B4855" s="1" t="s">
        <v>2616</v>
      </c>
      <c r="C4855" s="1"/>
      <c r="D4855" s="1"/>
      <c r="E4855" s="1"/>
      <c r="F4855" s="1"/>
      <c r="G4855" s="1"/>
      <c r="H4855" s="1" t="str">
        <f>"7803319005956"</f>
        <v>7803319005956</v>
      </c>
      <c r="I4855" s="3">
        <v>0</v>
      </c>
      <c r="J4855" s="3">
        <v>0</v>
      </c>
      <c r="K4855" s="3">
        <v>6500</v>
      </c>
    </row>
    <row r="4856" spans="1:11" x14ac:dyDescent="0.2">
      <c r="A4856" s="1" t="s">
        <v>4</v>
      </c>
      <c r="B4856" s="1" t="s">
        <v>2661</v>
      </c>
      <c r="C4856" s="1"/>
      <c r="D4856" s="1"/>
      <c r="E4856" s="1"/>
      <c r="F4856" s="1"/>
      <c r="G4856" s="1"/>
      <c r="H4856" s="1" t="str">
        <f>"7803319005901"</f>
        <v>7803319005901</v>
      </c>
      <c r="I4856" s="3">
        <v>0</v>
      </c>
      <c r="J4856" s="3">
        <v>0</v>
      </c>
      <c r="K4856" s="3">
        <v>8000</v>
      </c>
    </row>
    <row r="4857" spans="1:11" x14ac:dyDescent="0.2">
      <c r="A4857" s="1" t="s">
        <v>4</v>
      </c>
      <c r="B4857" s="1" t="s">
        <v>2662</v>
      </c>
      <c r="C4857" s="1"/>
      <c r="D4857" s="1"/>
      <c r="E4857" s="1"/>
      <c r="F4857" s="1"/>
      <c r="G4857" s="1"/>
      <c r="H4857" s="1" t="str">
        <f>"7896283000898"</f>
        <v>7896283000898</v>
      </c>
      <c r="I4857" s="3">
        <v>0</v>
      </c>
      <c r="J4857" s="3">
        <v>0</v>
      </c>
      <c r="K4857" s="3">
        <v>6000</v>
      </c>
    </row>
    <row r="4858" spans="1:11" x14ac:dyDescent="0.2">
      <c r="A4858" s="1" t="s">
        <v>4</v>
      </c>
      <c r="B4858" s="1" t="s">
        <v>2664</v>
      </c>
      <c r="C4858" s="1"/>
      <c r="D4858" s="1"/>
      <c r="E4858" s="1"/>
      <c r="F4858" s="1"/>
      <c r="G4858" s="1"/>
      <c r="H4858" s="1" t="str">
        <f>"7456465465640"</f>
        <v>7456465465640</v>
      </c>
      <c r="I4858" s="3">
        <v>5</v>
      </c>
      <c r="J4858" s="3">
        <v>0</v>
      </c>
      <c r="K4858" s="3">
        <v>11500</v>
      </c>
    </row>
    <row r="4859" spans="1:11" x14ac:dyDescent="0.2">
      <c r="A4859" s="1" t="s">
        <v>4</v>
      </c>
      <c r="B4859" s="1" t="s">
        <v>2666</v>
      </c>
      <c r="C4859" s="1"/>
      <c r="D4859" s="1"/>
      <c r="E4859" s="1"/>
      <c r="F4859" s="1"/>
      <c r="G4859" s="1"/>
      <c r="H4859" s="1" t="str">
        <f>"737186232764"</f>
        <v>737186232764</v>
      </c>
      <c r="I4859" s="3">
        <v>1</v>
      </c>
      <c r="J4859" s="3">
        <v>0</v>
      </c>
      <c r="K4859" s="3">
        <v>8000</v>
      </c>
    </row>
    <row r="4860" spans="1:11" x14ac:dyDescent="0.2">
      <c r="A4860" s="1" t="s">
        <v>4</v>
      </c>
      <c r="B4860" s="1" t="s">
        <v>2667</v>
      </c>
      <c r="C4860" s="1"/>
      <c r="D4860" s="1"/>
      <c r="E4860" s="1"/>
      <c r="F4860" s="1"/>
      <c r="G4860" s="1"/>
      <c r="H4860" s="1" t="str">
        <f>"5456165748915"</f>
        <v>5456165748915</v>
      </c>
      <c r="I4860" s="3">
        <v>6</v>
      </c>
      <c r="J4860" s="3">
        <v>0</v>
      </c>
      <c r="K4860" s="3">
        <v>10000</v>
      </c>
    </row>
    <row r="4861" spans="1:11" x14ac:dyDescent="0.2">
      <c r="A4861" s="1" t="s">
        <v>4</v>
      </c>
      <c r="B4861" s="1" t="s">
        <v>2670</v>
      </c>
      <c r="C4861" s="1"/>
      <c r="D4861" s="1"/>
      <c r="E4861" s="1"/>
      <c r="F4861" s="1"/>
      <c r="G4861" s="1"/>
      <c r="H4861" s="1" t="str">
        <f>"1312202200003"</f>
        <v>1312202200003</v>
      </c>
      <c r="I4861" s="3">
        <v>0</v>
      </c>
      <c r="J4861" s="3">
        <v>0</v>
      </c>
      <c r="K4861" s="3">
        <v>5000</v>
      </c>
    </row>
    <row r="4862" spans="1:11" x14ac:dyDescent="0.2">
      <c r="A4862" s="1" t="s">
        <v>4</v>
      </c>
      <c r="B4862" s="1" t="s">
        <v>2671</v>
      </c>
      <c r="C4862" s="1"/>
      <c r="D4862" s="1"/>
      <c r="E4862" s="1"/>
      <c r="F4862" s="1"/>
      <c r="G4862" s="1"/>
      <c r="H4862" s="1" t="str">
        <f>"793969707553"</f>
        <v>793969707553</v>
      </c>
      <c r="I4862" s="3">
        <v>0</v>
      </c>
      <c r="J4862" s="3">
        <v>0</v>
      </c>
      <c r="K4862" s="3">
        <v>3000</v>
      </c>
    </row>
    <row r="4863" spans="1:11" x14ac:dyDescent="0.2">
      <c r="A4863" s="1" t="s">
        <v>4</v>
      </c>
      <c r="B4863" s="1" t="s">
        <v>2688</v>
      </c>
      <c r="C4863" s="1"/>
      <c r="D4863" s="1"/>
      <c r="E4863" s="1"/>
      <c r="F4863" s="1"/>
      <c r="G4863" s="1"/>
      <c r="H4863" s="1" t="str">
        <f>"7804643142003"</f>
        <v>7804643142003</v>
      </c>
      <c r="I4863" s="3">
        <v>5</v>
      </c>
      <c r="J4863" s="3">
        <v>0</v>
      </c>
      <c r="K4863" s="3">
        <v>5000</v>
      </c>
    </row>
    <row r="4864" spans="1:11" x14ac:dyDescent="0.2">
      <c r="A4864" s="1" t="s">
        <v>4</v>
      </c>
      <c r="B4864" s="1" t="s">
        <v>2732</v>
      </c>
      <c r="C4864" s="1"/>
      <c r="D4864" s="1"/>
      <c r="E4864" s="1"/>
      <c r="F4864" s="1"/>
      <c r="G4864" s="1"/>
      <c r="H4864" s="1" t="str">
        <f>"900800100415"</f>
        <v>900800100415</v>
      </c>
      <c r="I4864" s="3">
        <v>3</v>
      </c>
      <c r="J4864" s="3">
        <v>0</v>
      </c>
      <c r="K4864" s="3">
        <v>6000</v>
      </c>
    </row>
    <row r="4865" spans="1:11" x14ac:dyDescent="0.2">
      <c r="A4865" s="1" t="s">
        <v>4</v>
      </c>
      <c r="B4865" s="1" t="s">
        <v>2753</v>
      </c>
      <c r="C4865" s="1"/>
      <c r="D4865" s="1"/>
      <c r="E4865" s="1"/>
      <c r="F4865" s="1"/>
      <c r="G4865" s="1"/>
      <c r="H4865" s="1" t="str">
        <f>"7803319006397"</f>
        <v>7803319006397</v>
      </c>
      <c r="I4865" s="3">
        <v>7</v>
      </c>
      <c r="J4865" s="3">
        <v>0</v>
      </c>
      <c r="K4865" s="3">
        <v>6000</v>
      </c>
    </row>
    <row r="4866" spans="1:11" x14ac:dyDescent="0.2">
      <c r="A4866" s="1" t="s">
        <v>4</v>
      </c>
      <c r="B4866" s="1" t="s">
        <v>2774</v>
      </c>
      <c r="C4866" s="1"/>
      <c r="D4866" s="1"/>
      <c r="E4866" s="1"/>
      <c r="F4866" s="1"/>
      <c r="G4866" s="1"/>
      <c r="H4866" s="1" t="str">
        <f>"7803319000081"</f>
        <v>7803319000081</v>
      </c>
      <c r="I4866" s="3">
        <v>6</v>
      </c>
      <c r="J4866" s="3">
        <v>0</v>
      </c>
      <c r="K4866" s="3">
        <v>3500</v>
      </c>
    </row>
    <row r="4867" spans="1:11" x14ac:dyDescent="0.2">
      <c r="A4867" s="1" t="s">
        <v>4</v>
      </c>
      <c r="B4867" s="1" t="s">
        <v>2775</v>
      </c>
      <c r="C4867" s="1"/>
      <c r="D4867" s="1"/>
      <c r="E4867" s="1"/>
      <c r="F4867" s="1"/>
      <c r="G4867" s="1"/>
      <c r="H4867" s="1" t="str">
        <f>"5854020668444"</f>
        <v>5854020668444</v>
      </c>
      <c r="I4867" s="3">
        <v>0</v>
      </c>
      <c r="J4867" s="3">
        <v>0</v>
      </c>
      <c r="K4867" s="3">
        <v>4000</v>
      </c>
    </row>
    <row r="4868" spans="1:11" x14ac:dyDescent="0.2">
      <c r="A4868" s="1" t="s">
        <v>4</v>
      </c>
      <c r="B4868" s="1" t="s">
        <v>2824</v>
      </c>
      <c r="C4868" s="1"/>
      <c r="D4868" s="1"/>
      <c r="E4868" s="1"/>
      <c r="F4868" s="1"/>
      <c r="G4868" s="1"/>
      <c r="H4868" s="1" t="str">
        <f>"9002300654212"</f>
        <v>9002300654212</v>
      </c>
      <c r="I4868" s="3">
        <v>15</v>
      </c>
      <c r="J4868" s="3">
        <v>0</v>
      </c>
      <c r="K4868" s="3">
        <v>2000</v>
      </c>
    </row>
    <row r="4869" spans="1:11" x14ac:dyDescent="0.2">
      <c r="A4869" s="1" t="s">
        <v>4</v>
      </c>
      <c r="B4869" s="1" t="s">
        <v>2833</v>
      </c>
      <c r="C4869" s="1"/>
      <c r="D4869" s="1"/>
      <c r="E4869" s="1"/>
      <c r="F4869" s="1"/>
      <c r="G4869" s="1"/>
      <c r="H4869" s="1" t="str">
        <f>"7803319006069"</f>
        <v>7803319006069</v>
      </c>
      <c r="I4869" s="3">
        <v>5</v>
      </c>
      <c r="J4869" s="3">
        <v>0</v>
      </c>
      <c r="K4869" s="3">
        <v>10000</v>
      </c>
    </row>
    <row r="4870" spans="1:11" x14ac:dyDescent="0.2">
      <c r="A4870" s="1" t="s">
        <v>4</v>
      </c>
      <c r="B4870" s="1" t="s">
        <v>2899</v>
      </c>
      <c r="C4870" s="1"/>
      <c r="D4870" s="1"/>
      <c r="E4870" s="1"/>
      <c r="F4870" s="1"/>
      <c r="G4870" s="1"/>
      <c r="H4870" s="1" t="str">
        <f>"5854020656021"</f>
        <v>5854020656021</v>
      </c>
      <c r="I4870" s="3">
        <v>0</v>
      </c>
      <c r="J4870" s="3">
        <v>0</v>
      </c>
      <c r="K4870" s="3">
        <v>4000</v>
      </c>
    </row>
    <row r="4871" spans="1:11" x14ac:dyDescent="0.2">
      <c r="A4871" s="1" t="s">
        <v>4</v>
      </c>
      <c r="B4871" s="1" t="s">
        <v>2935</v>
      </c>
      <c r="C4871" s="1"/>
      <c r="D4871" s="1"/>
      <c r="E4871" s="1"/>
      <c r="F4871" s="1"/>
      <c r="G4871" s="1"/>
      <c r="H4871" s="1" t="str">
        <f>"777777777777"</f>
        <v>777777777777</v>
      </c>
      <c r="I4871" s="3">
        <v>0</v>
      </c>
      <c r="J4871" s="3">
        <v>0</v>
      </c>
      <c r="K4871" s="3">
        <v>7500</v>
      </c>
    </row>
    <row r="4872" spans="1:11" x14ac:dyDescent="0.2">
      <c r="A4872" s="1" t="s">
        <v>4</v>
      </c>
      <c r="B4872" s="1" t="s">
        <v>3009</v>
      </c>
      <c r="C4872" s="1"/>
      <c r="D4872" s="1"/>
      <c r="E4872" s="1"/>
      <c r="F4872" s="1"/>
      <c r="G4872" s="1"/>
      <c r="H4872" s="1" t="str">
        <f>"7803319006809"</f>
        <v>7803319006809</v>
      </c>
      <c r="I4872" s="3">
        <v>2</v>
      </c>
      <c r="J4872" s="3">
        <v>0</v>
      </c>
      <c r="K4872" s="3">
        <v>8000</v>
      </c>
    </row>
    <row r="4873" spans="1:11" x14ac:dyDescent="0.2">
      <c r="A4873" s="1" t="s">
        <v>4</v>
      </c>
      <c r="B4873" s="1" t="s">
        <v>3010</v>
      </c>
      <c r="C4873" s="1"/>
      <c r="D4873" s="1"/>
      <c r="E4873" s="1"/>
      <c r="F4873" s="1"/>
      <c r="G4873" s="1"/>
      <c r="H4873" s="1" t="str">
        <f>"2023006112025"</f>
        <v>2023006112025</v>
      </c>
      <c r="I4873" s="3">
        <v>0</v>
      </c>
      <c r="J4873" s="3">
        <v>0</v>
      </c>
      <c r="K4873" s="3">
        <v>9500</v>
      </c>
    </row>
    <row r="4874" spans="1:11" x14ac:dyDescent="0.2">
      <c r="A4874" s="1" t="s">
        <v>4</v>
      </c>
      <c r="B4874" s="1" t="s">
        <v>3025</v>
      </c>
      <c r="C4874" s="1"/>
      <c r="D4874" s="1"/>
      <c r="E4874" s="1"/>
      <c r="F4874" s="1"/>
      <c r="G4874" s="1"/>
      <c r="H4874" s="1" t="str">
        <f>"7803319004539"</f>
        <v>7803319004539</v>
      </c>
      <c r="I4874" s="3">
        <v>4</v>
      </c>
      <c r="J4874" s="3">
        <v>0</v>
      </c>
      <c r="K4874" s="3">
        <v>5500</v>
      </c>
    </row>
    <row r="4875" spans="1:11" x14ac:dyDescent="0.2">
      <c r="A4875" s="1" t="s">
        <v>4</v>
      </c>
      <c r="B4875" s="1" t="s">
        <v>3114</v>
      </c>
      <c r="C4875" s="1"/>
      <c r="D4875" s="1"/>
      <c r="E4875" s="1"/>
      <c r="F4875" s="1"/>
      <c r="G4875" s="1"/>
      <c r="H4875" s="1" t="str">
        <f>"5854020653679"</f>
        <v>5854020653679</v>
      </c>
      <c r="I4875" s="3">
        <v>3</v>
      </c>
      <c r="J4875" s="3">
        <v>0</v>
      </c>
      <c r="K4875" s="3">
        <v>15000</v>
      </c>
    </row>
    <row r="4876" spans="1:11" x14ac:dyDescent="0.2">
      <c r="A4876" s="1" t="s">
        <v>4</v>
      </c>
      <c r="B4876" s="1" t="s">
        <v>3134</v>
      </c>
      <c r="C4876" s="1"/>
      <c r="D4876" s="1"/>
      <c r="E4876" s="1"/>
      <c r="F4876" s="1"/>
      <c r="G4876" s="1"/>
      <c r="H4876" s="1" t="str">
        <f>"9000000042001"</f>
        <v>9000000042001</v>
      </c>
      <c r="I4876" s="3">
        <v>0</v>
      </c>
      <c r="J4876" s="3">
        <v>0</v>
      </c>
      <c r="K4876" s="3">
        <v>12500</v>
      </c>
    </row>
    <row r="4877" spans="1:11" x14ac:dyDescent="0.2">
      <c r="A4877" s="1" t="s">
        <v>4</v>
      </c>
      <c r="B4877" s="1" t="s">
        <v>3135</v>
      </c>
      <c r="C4877" s="1"/>
      <c r="D4877" s="1"/>
      <c r="E4877" s="1"/>
      <c r="F4877" s="1"/>
      <c r="G4877" s="1"/>
      <c r="H4877" s="1" t="str">
        <f>"8000000000019"</f>
        <v>8000000000019</v>
      </c>
      <c r="I4877" s="3">
        <v>0</v>
      </c>
      <c r="J4877" s="3">
        <v>0</v>
      </c>
      <c r="K4877" s="3">
        <v>8000</v>
      </c>
    </row>
    <row r="4878" spans="1:11" x14ac:dyDescent="0.2">
      <c r="A4878" s="1" t="s">
        <v>4</v>
      </c>
      <c r="B4878" s="1" t="s">
        <v>3136</v>
      </c>
      <c r="C4878" s="1"/>
      <c r="D4878" s="1"/>
      <c r="E4878" s="1"/>
      <c r="F4878" s="1"/>
      <c r="G4878" s="1"/>
      <c r="H4878" s="1" t="str">
        <f>"1469852318104"</f>
        <v>1469852318104</v>
      </c>
      <c r="I4878" s="3">
        <v>0</v>
      </c>
      <c r="J4878" s="3">
        <v>0</v>
      </c>
      <c r="K4878" s="3">
        <v>5000</v>
      </c>
    </row>
    <row r="4879" spans="1:11" x14ac:dyDescent="0.2">
      <c r="A4879" s="1" t="s">
        <v>4</v>
      </c>
      <c r="B4879" s="1" t="s">
        <v>3159</v>
      </c>
      <c r="C4879" s="1"/>
      <c r="D4879" s="1"/>
      <c r="E4879" s="1"/>
      <c r="F4879" s="1"/>
      <c r="G4879" s="1"/>
      <c r="H4879" s="1" t="str">
        <f>"737186534189"</f>
        <v>737186534189</v>
      </c>
      <c r="I4879" s="3">
        <v>0</v>
      </c>
      <c r="J4879" s="3">
        <v>0</v>
      </c>
      <c r="K4879" s="3">
        <v>5000</v>
      </c>
    </row>
    <row r="4880" spans="1:11" x14ac:dyDescent="0.2">
      <c r="A4880" s="1" t="s">
        <v>4</v>
      </c>
      <c r="B4880" s="1" t="s">
        <v>3160</v>
      </c>
      <c r="C4880" s="1"/>
      <c r="D4880" s="1"/>
      <c r="E4880" s="1"/>
      <c r="F4880" s="1"/>
      <c r="G4880" s="1"/>
      <c r="H4880" s="1" t="str">
        <f>"737186534127"</f>
        <v>737186534127</v>
      </c>
      <c r="I4880" s="3">
        <v>0</v>
      </c>
      <c r="J4880" s="3">
        <v>0</v>
      </c>
      <c r="K4880" s="3">
        <v>5500</v>
      </c>
    </row>
    <row r="4881" spans="1:11" x14ac:dyDescent="0.2">
      <c r="A4881" s="1" t="s">
        <v>4</v>
      </c>
      <c r="B4881" s="1" t="s">
        <v>3166</v>
      </c>
      <c r="C4881" s="1"/>
      <c r="D4881" s="1"/>
      <c r="E4881" s="1"/>
      <c r="F4881" s="1"/>
      <c r="G4881" s="1"/>
      <c r="H4881" s="1" t="str">
        <f>"737186534202"</f>
        <v>737186534202</v>
      </c>
      <c r="I4881" s="3">
        <v>0</v>
      </c>
      <c r="J4881" s="3">
        <v>0</v>
      </c>
      <c r="K4881" s="3">
        <v>6000</v>
      </c>
    </row>
    <row r="4882" spans="1:11" x14ac:dyDescent="0.2">
      <c r="A4882" s="1" t="s">
        <v>4</v>
      </c>
      <c r="B4882" s="1" t="s">
        <v>3230</v>
      </c>
      <c r="C4882" s="1"/>
      <c r="D4882" s="1"/>
      <c r="E4882" s="1"/>
      <c r="F4882" s="1"/>
      <c r="G4882" s="1"/>
      <c r="H4882" s="1" t="str">
        <f>"7803319005611"</f>
        <v>7803319005611</v>
      </c>
      <c r="I4882" s="3">
        <v>16</v>
      </c>
      <c r="J4882" s="3">
        <v>0</v>
      </c>
      <c r="K4882" s="3">
        <v>3000</v>
      </c>
    </row>
    <row r="4883" spans="1:11" x14ac:dyDescent="0.2">
      <c r="A4883" s="1" t="s">
        <v>4</v>
      </c>
      <c r="B4883" s="1" t="s">
        <v>3232</v>
      </c>
      <c r="C4883" s="1"/>
      <c r="D4883" s="1"/>
      <c r="E4883" s="1"/>
      <c r="F4883" s="1"/>
      <c r="G4883" s="1"/>
      <c r="H4883" s="1" t="str">
        <f>"7803319004553"</f>
        <v>7803319004553</v>
      </c>
      <c r="I4883" s="3">
        <v>4</v>
      </c>
      <c r="J4883" s="3">
        <v>0</v>
      </c>
      <c r="K4883" s="3">
        <v>3500</v>
      </c>
    </row>
    <row r="4884" spans="1:11" x14ac:dyDescent="0.2">
      <c r="A4884" s="1" t="s">
        <v>4</v>
      </c>
      <c r="B4884" s="1" t="s">
        <v>3362</v>
      </c>
      <c r="C4884" s="1"/>
      <c r="D4884" s="1"/>
      <c r="E4884" s="1"/>
      <c r="F4884" s="1"/>
      <c r="G4884" s="1"/>
      <c r="H4884" s="1" t="str">
        <f>"5854020656106"</f>
        <v>5854020656106</v>
      </c>
      <c r="I4884" s="3">
        <v>2</v>
      </c>
      <c r="J4884" s="3">
        <v>0</v>
      </c>
      <c r="K4884" s="3">
        <v>4500</v>
      </c>
    </row>
    <row r="4885" spans="1:11" x14ac:dyDescent="0.2">
      <c r="A4885" s="1" t="s">
        <v>4</v>
      </c>
      <c r="B4885" s="1" t="s">
        <v>3391</v>
      </c>
      <c r="C4885" s="1"/>
      <c r="D4885" s="1"/>
      <c r="E4885" s="1"/>
      <c r="F4885" s="1"/>
      <c r="G4885" s="1"/>
      <c r="H4885" s="1" t="str">
        <f>"7803319006175"</f>
        <v>7803319006175</v>
      </c>
      <c r="I4885" s="3">
        <v>2</v>
      </c>
      <c r="J4885" s="3">
        <v>0</v>
      </c>
      <c r="K4885" s="3">
        <v>7500</v>
      </c>
    </row>
    <row r="4886" spans="1:11" x14ac:dyDescent="0.2">
      <c r="A4886" s="1" t="s">
        <v>4</v>
      </c>
      <c r="B4886" s="1" t="s">
        <v>3417</v>
      </c>
      <c r="C4886" s="1"/>
      <c r="D4886" s="1"/>
      <c r="E4886" s="1"/>
      <c r="F4886" s="1"/>
      <c r="G4886" s="1"/>
      <c r="H4886" s="1" t="str">
        <f>"737186233419"</f>
        <v>737186233419</v>
      </c>
      <c r="I4886" s="3">
        <v>9</v>
      </c>
      <c r="J4886" s="3">
        <v>0</v>
      </c>
      <c r="K4886" s="3">
        <v>14000</v>
      </c>
    </row>
    <row r="4887" spans="1:11" x14ac:dyDescent="0.2">
      <c r="A4887" s="1" t="s">
        <v>4</v>
      </c>
      <c r="B4887" s="1" t="s">
        <v>3444</v>
      </c>
      <c r="C4887" s="1"/>
      <c r="D4887" s="1"/>
      <c r="E4887" s="1"/>
      <c r="F4887" s="1"/>
      <c r="G4887" s="1"/>
      <c r="H4887" s="1" t="str">
        <f>"7808713900302"</f>
        <v>7808713900302</v>
      </c>
      <c r="I4887" s="3">
        <v>0</v>
      </c>
      <c r="J4887" s="3">
        <v>0</v>
      </c>
      <c r="K4887" s="3">
        <v>3000</v>
      </c>
    </row>
    <row r="4888" spans="1:11" x14ac:dyDescent="0.2">
      <c r="A4888" s="1" t="s">
        <v>4</v>
      </c>
      <c r="B4888" s="1" t="s">
        <v>3445</v>
      </c>
      <c r="C4888" s="1"/>
      <c r="D4888" s="1"/>
      <c r="E4888" s="1"/>
      <c r="F4888" s="1"/>
      <c r="G4888" s="1"/>
      <c r="H4888" s="1" t="str">
        <f>"75613075943615"</f>
        <v>75613075943615</v>
      </c>
      <c r="I4888" s="3">
        <v>60</v>
      </c>
      <c r="J4888" s="3">
        <v>0</v>
      </c>
      <c r="K4888" s="3">
        <v>6000</v>
      </c>
    </row>
    <row r="4889" spans="1:11" x14ac:dyDescent="0.2">
      <c r="A4889" s="1" t="s">
        <v>4</v>
      </c>
      <c r="B4889" s="1" t="s">
        <v>3446</v>
      </c>
      <c r="C4889" s="1"/>
      <c r="D4889" s="1"/>
      <c r="E4889" s="1"/>
      <c r="F4889" s="1"/>
      <c r="G4889" s="1"/>
      <c r="H4889" s="1" t="str">
        <f>"7803319005888"</f>
        <v>7803319005888</v>
      </c>
      <c r="I4889" s="3">
        <v>0</v>
      </c>
      <c r="J4889" s="3">
        <v>0</v>
      </c>
      <c r="K4889" s="3">
        <v>7500</v>
      </c>
    </row>
    <row r="4890" spans="1:11" x14ac:dyDescent="0.2">
      <c r="A4890" s="1" t="s">
        <v>4</v>
      </c>
      <c r="B4890" s="1" t="s">
        <v>3450</v>
      </c>
      <c r="C4890" s="1"/>
      <c r="D4890" s="1"/>
      <c r="E4890" s="1"/>
      <c r="F4890" s="1"/>
      <c r="G4890" s="1"/>
      <c r="H4890" s="1" t="str">
        <f>"5854020626512"</f>
        <v>5854020626512</v>
      </c>
      <c r="I4890" s="3">
        <v>0</v>
      </c>
      <c r="J4890" s="3">
        <v>0</v>
      </c>
      <c r="K4890" s="3">
        <v>9000</v>
      </c>
    </row>
    <row r="4891" spans="1:11" x14ac:dyDescent="0.2">
      <c r="A4891" s="1" t="s">
        <v>4</v>
      </c>
      <c r="B4891" s="1" t="s">
        <v>3451</v>
      </c>
      <c r="C4891" s="1"/>
      <c r="D4891" s="1"/>
      <c r="E4891" s="1"/>
      <c r="F4891" s="1"/>
      <c r="G4891" s="1"/>
      <c r="H4891" s="1" t="str">
        <f>"7803319005857"</f>
        <v>7803319005857</v>
      </c>
      <c r="I4891" s="3">
        <v>0</v>
      </c>
      <c r="J4891" s="3">
        <v>0</v>
      </c>
      <c r="K4891" s="3">
        <v>5000</v>
      </c>
    </row>
    <row r="4892" spans="1:11" x14ac:dyDescent="0.2">
      <c r="A4892" s="1" t="s">
        <v>4</v>
      </c>
      <c r="B4892" s="1" t="s">
        <v>3452</v>
      </c>
      <c r="C4892" s="1"/>
      <c r="D4892" s="1"/>
      <c r="E4892" s="1"/>
      <c r="F4892" s="1"/>
      <c r="G4892" s="1"/>
      <c r="H4892" s="1" t="str">
        <f>"7805633017523"</f>
        <v>7805633017523</v>
      </c>
      <c r="I4892" s="3">
        <v>14</v>
      </c>
      <c r="J4892" s="3">
        <v>0</v>
      </c>
      <c r="K4892" s="3">
        <v>4500</v>
      </c>
    </row>
    <row r="4893" spans="1:11" x14ac:dyDescent="0.2">
      <c r="A4893" s="1" t="s">
        <v>4</v>
      </c>
      <c r="B4893" s="1" t="s">
        <v>3453</v>
      </c>
      <c r="C4893" s="1"/>
      <c r="D4893" s="1"/>
      <c r="E4893" s="1"/>
      <c r="F4893" s="1"/>
      <c r="G4893" s="1"/>
      <c r="H4893" s="1" t="str">
        <f>"7803319006144"</f>
        <v>7803319006144</v>
      </c>
      <c r="I4893" s="3">
        <v>0</v>
      </c>
      <c r="J4893" s="3">
        <v>0</v>
      </c>
      <c r="K4893" s="3">
        <v>6500</v>
      </c>
    </row>
    <row r="4894" spans="1:11" x14ac:dyDescent="0.2">
      <c r="A4894" s="1" t="s">
        <v>4</v>
      </c>
      <c r="B4894" s="1" t="s">
        <v>3483</v>
      </c>
      <c r="C4894" s="1"/>
      <c r="D4894" s="1"/>
      <c r="E4894" s="1"/>
      <c r="F4894" s="1"/>
      <c r="G4894" s="1"/>
      <c r="H4894" s="1" t="str">
        <f>"9001001000854"</f>
        <v>9001001000854</v>
      </c>
      <c r="I4894" s="3">
        <v>11</v>
      </c>
      <c r="J4894" s="3">
        <v>0</v>
      </c>
      <c r="K4894" s="3">
        <v>6000</v>
      </c>
    </row>
    <row r="4895" spans="1:11" x14ac:dyDescent="0.2">
      <c r="A4895" s="1" t="s">
        <v>4</v>
      </c>
      <c r="B4895" s="1" t="s">
        <v>3499</v>
      </c>
      <c r="C4895" s="1"/>
      <c r="D4895" s="1"/>
      <c r="E4895" s="1"/>
      <c r="F4895" s="1"/>
      <c r="G4895" s="1"/>
      <c r="H4895" s="1" t="str">
        <f>"7805357001334"</f>
        <v>7805357001334</v>
      </c>
      <c r="I4895" s="3">
        <v>0</v>
      </c>
      <c r="J4895" s="3">
        <v>0</v>
      </c>
      <c r="K4895" s="3">
        <v>500</v>
      </c>
    </row>
    <row r="4896" spans="1:11" x14ac:dyDescent="0.2">
      <c r="A4896" s="1" t="s">
        <v>4</v>
      </c>
      <c r="B4896" s="1" t="s">
        <v>3500</v>
      </c>
      <c r="C4896" s="1"/>
      <c r="D4896" s="1"/>
      <c r="E4896" s="1"/>
      <c r="F4896" s="1"/>
      <c r="G4896" s="1"/>
      <c r="H4896" s="1" t="str">
        <f>"7805357001525"</f>
        <v>7805357001525</v>
      </c>
      <c r="I4896" s="3">
        <v>2</v>
      </c>
      <c r="J4896" s="3">
        <v>0</v>
      </c>
      <c r="K4896" s="3">
        <v>2500</v>
      </c>
    </row>
    <row r="4897" spans="1:11" x14ac:dyDescent="0.2">
      <c r="A4897" s="1" t="s">
        <v>4</v>
      </c>
      <c r="B4897" s="1" t="s">
        <v>3524</v>
      </c>
      <c r="C4897" s="1"/>
      <c r="D4897" s="1"/>
      <c r="E4897" s="1"/>
      <c r="F4897" s="1"/>
      <c r="G4897" s="1"/>
      <c r="H4897" s="1" t="str">
        <f>"659525184292"</f>
        <v>659525184292</v>
      </c>
      <c r="I4897" s="3">
        <v>7</v>
      </c>
      <c r="J4897" s="3">
        <v>0</v>
      </c>
      <c r="K4897" s="3">
        <v>6000</v>
      </c>
    </row>
    <row r="4898" spans="1:11" x14ac:dyDescent="0.2">
      <c r="A4898" s="1" t="s">
        <v>4</v>
      </c>
      <c r="B4898" s="1" t="s">
        <v>3525</v>
      </c>
      <c r="C4898" s="1"/>
      <c r="D4898" s="1"/>
      <c r="E4898" s="1"/>
      <c r="F4898" s="1"/>
      <c r="G4898" s="1"/>
      <c r="H4898" s="1" t="str">
        <f>"9300000001115"</f>
        <v>9300000001115</v>
      </c>
      <c r="I4898" s="3">
        <v>4</v>
      </c>
      <c r="J4898" s="3">
        <v>0</v>
      </c>
      <c r="K4898" s="3">
        <v>7000</v>
      </c>
    </row>
    <row r="4899" spans="1:11" x14ac:dyDescent="0.2">
      <c r="A4899" s="1" t="s">
        <v>4</v>
      </c>
      <c r="B4899" s="1" t="s">
        <v>3600</v>
      </c>
      <c r="C4899" s="1"/>
      <c r="D4899" s="1"/>
      <c r="E4899" s="1"/>
      <c r="F4899" s="1"/>
      <c r="G4899" s="1"/>
      <c r="H4899" s="1" t="str">
        <f>"5856020654069"</f>
        <v>5856020654069</v>
      </c>
      <c r="I4899" s="3">
        <v>5</v>
      </c>
      <c r="J4899" s="3">
        <v>0</v>
      </c>
      <c r="K4899" s="3">
        <v>3500</v>
      </c>
    </row>
    <row r="4900" spans="1:11" x14ac:dyDescent="0.2">
      <c r="A4900" s="1" t="s">
        <v>4</v>
      </c>
      <c r="B4900" s="1" t="s">
        <v>3606</v>
      </c>
      <c r="C4900" s="1"/>
      <c r="D4900" s="1"/>
      <c r="E4900" s="1"/>
      <c r="F4900" s="1"/>
      <c r="G4900" s="1"/>
      <c r="H4900" s="1" t="str">
        <f>"7803319006212"</f>
        <v>7803319006212</v>
      </c>
      <c r="I4900" s="3">
        <v>8</v>
      </c>
      <c r="J4900" s="3">
        <v>0</v>
      </c>
      <c r="K4900" s="3">
        <v>2500</v>
      </c>
    </row>
    <row r="4901" spans="1:11" x14ac:dyDescent="0.2">
      <c r="A4901" s="1" t="s">
        <v>4</v>
      </c>
      <c r="B4901" s="1" t="s">
        <v>3621</v>
      </c>
      <c r="C4901" s="1"/>
      <c r="D4901" s="1"/>
      <c r="E4901" s="1"/>
      <c r="F4901" s="1"/>
      <c r="G4901" s="1"/>
      <c r="H4901" s="1" t="str">
        <f>"5010029020519"</f>
        <v>5010029020519</v>
      </c>
      <c r="I4901" s="3">
        <v>0</v>
      </c>
      <c r="J4901" s="3">
        <v>0</v>
      </c>
      <c r="K4901" s="3">
        <v>5000</v>
      </c>
    </row>
    <row r="4902" spans="1:11" x14ac:dyDescent="0.2">
      <c r="A4902" s="1" t="s">
        <v>4</v>
      </c>
      <c r="B4902" s="1" t="s">
        <v>3647</v>
      </c>
      <c r="C4902" s="1"/>
      <c r="D4902" s="1"/>
      <c r="E4902" s="1"/>
      <c r="F4902" s="1"/>
      <c r="G4902" s="1"/>
      <c r="H4902" s="1" t="str">
        <f>"7803319005697"</f>
        <v>7803319005697</v>
      </c>
      <c r="I4902" s="3">
        <v>2</v>
      </c>
      <c r="J4902" s="3">
        <v>0</v>
      </c>
      <c r="K4902" s="3">
        <v>2000</v>
      </c>
    </row>
    <row r="4903" spans="1:11" x14ac:dyDescent="0.2">
      <c r="A4903" s="1" t="s">
        <v>4</v>
      </c>
      <c r="B4903" s="1" t="s">
        <v>3685</v>
      </c>
      <c r="C4903" s="1"/>
      <c r="D4903" s="1"/>
      <c r="E4903" s="1"/>
      <c r="F4903" s="1"/>
      <c r="G4903" s="1"/>
      <c r="H4903" s="1" t="str">
        <f>"1234567890128"</f>
        <v>1234567890128</v>
      </c>
      <c r="I4903" s="3">
        <v>0</v>
      </c>
      <c r="J4903" s="3">
        <v>0</v>
      </c>
      <c r="K4903" s="3">
        <v>12000</v>
      </c>
    </row>
    <row r="4904" spans="1:11" x14ac:dyDescent="0.2">
      <c r="A4904" s="1" t="s">
        <v>4</v>
      </c>
      <c r="B4904" s="1" t="s">
        <v>3687</v>
      </c>
      <c r="C4904" s="1"/>
      <c r="D4904" s="1"/>
      <c r="E4904" s="1"/>
      <c r="F4904" s="1"/>
      <c r="G4904" s="1"/>
      <c r="H4904" s="1" t="str">
        <f>"7808713901200"</f>
        <v>7808713901200</v>
      </c>
      <c r="I4904" s="3">
        <v>0</v>
      </c>
      <c r="J4904" s="3">
        <v>0</v>
      </c>
      <c r="K4904" s="3">
        <v>3000</v>
      </c>
    </row>
    <row r="4905" spans="1:11" x14ac:dyDescent="0.2">
      <c r="A4905" s="1" t="s">
        <v>4</v>
      </c>
      <c r="B4905" s="1" t="s">
        <v>3735</v>
      </c>
      <c r="C4905" s="1"/>
      <c r="D4905" s="1"/>
      <c r="E4905" s="1"/>
      <c r="F4905" s="1"/>
      <c r="G4905" s="1"/>
      <c r="H4905" s="1" t="str">
        <f>"6565984000018"</f>
        <v>6565984000018</v>
      </c>
      <c r="I4905" s="3">
        <v>5</v>
      </c>
      <c r="J4905" s="3">
        <v>0</v>
      </c>
      <c r="K4905" s="3">
        <v>8500</v>
      </c>
    </row>
    <row r="4906" spans="1:11" x14ac:dyDescent="0.2">
      <c r="A4906" s="1" t="s">
        <v>4</v>
      </c>
      <c r="B4906" s="1" t="s">
        <v>3790</v>
      </c>
      <c r="C4906" s="1"/>
      <c r="D4906" s="1"/>
      <c r="E4906" s="1"/>
      <c r="F4906" s="1"/>
      <c r="G4906" s="1"/>
      <c r="H4906" s="1" t="str">
        <f>"5854020691107"</f>
        <v>5854020691107</v>
      </c>
      <c r="I4906" s="3">
        <v>13</v>
      </c>
      <c r="J4906" s="3">
        <v>0</v>
      </c>
      <c r="K4906" s="3">
        <v>4500</v>
      </c>
    </row>
    <row r="4907" spans="1:11" x14ac:dyDescent="0.2">
      <c r="A4907" s="1" t="s">
        <v>4</v>
      </c>
      <c r="B4907" s="1" t="s">
        <v>3813</v>
      </c>
      <c r="C4907" s="1"/>
      <c r="D4907" s="1"/>
      <c r="E4907" s="1"/>
      <c r="F4907" s="1"/>
      <c r="G4907" s="1"/>
      <c r="H4907" s="1" t="str">
        <f>"7805633028703"</f>
        <v>7805633028703</v>
      </c>
      <c r="I4907" s="3">
        <v>3</v>
      </c>
      <c r="J4907" s="3">
        <v>0</v>
      </c>
      <c r="K4907" s="3">
        <v>10000</v>
      </c>
    </row>
    <row r="4908" spans="1:11" x14ac:dyDescent="0.2">
      <c r="A4908" s="1" t="s">
        <v>4</v>
      </c>
      <c r="B4908" s="1" t="s">
        <v>3814</v>
      </c>
      <c r="C4908" s="1"/>
      <c r="D4908" s="1"/>
      <c r="E4908" s="1"/>
      <c r="F4908" s="1"/>
      <c r="G4908" s="1"/>
      <c r="H4908" s="1" t="str">
        <f>"7805633024880"</f>
        <v>7805633024880</v>
      </c>
      <c r="I4908" s="3">
        <v>20</v>
      </c>
      <c r="J4908" s="3">
        <v>0</v>
      </c>
      <c r="K4908" s="3">
        <v>3500</v>
      </c>
    </row>
    <row r="4909" spans="1:11" x14ac:dyDescent="0.2">
      <c r="A4909" s="1" t="s">
        <v>4</v>
      </c>
      <c r="B4909" s="1" t="s">
        <v>3830</v>
      </c>
      <c r="C4909" s="1"/>
      <c r="D4909" s="1"/>
      <c r="E4909" s="1"/>
      <c r="F4909" s="1"/>
      <c r="G4909" s="1"/>
      <c r="H4909" s="1" t="str">
        <f>"7803504000278"</f>
        <v>7803504000278</v>
      </c>
      <c r="I4909" s="3">
        <v>15</v>
      </c>
      <c r="J4909" s="3">
        <v>0</v>
      </c>
      <c r="K4909" s="3">
        <v>4000</v>
      </c>
    </row>
    <row r="4910" spans="1:11" x14ac:dyDescent="0.2">
      <c r="A4910" s="1" t="s">
        <v>4</v>
      </c>
      <c r="B4910" s="1" t="s">
        <v>3832</v>
      </c>
      <c r="C4910" s="1"/>
      <c r="D4910" s="1"/>
      <c r="E4910" s="1"/>
      <c r="F4910" s="1"/>
      <c r="G4910" s="1"/>
      <c r="H4910" s="1" t="str">
        <f>"7803319004263"</f>
        <v>7803319004263</v>
      </c>
      <c r="I4910" s="3">
        <v>7</v>
      </c>
      <c r="J4910" s="3">
        <v>0</v>
      </c>
      <c r="K4910" s="3">
        <v>3500</v>
      </c>
    </row>
    <row r="4911" spans="1:11" x14ac:dyDescent="0.2">
      <c r="A4911" s="1" t="s">
        <v>4</v>
      </c>
      <c r="B4911" s="1" t="s">
        <v>3834</v>
      </c>
      <c r="C4911" s="1"/>
      <c r="D4911" s="1"/>
      <c r="E4911" s="1"/>
      <c r="F4911" s="1"/>
      <c r="G4911" s="1"/>
      <c r="H4911" s="1" t="str">
        <f>"58169585545333"</f>
        <v>58169585545333</v>
      </c>
      <c r="I4911" s="3">
        <v>0</v>
      </c>
      <c r="J4911" s="3">
        <v>0</v>
      </c>
      <c r="K4911" s="3">
        <v>3500</v>
      </c>
    </row>
    <row r="4912" spans="1:11" x14ac:dyDescent="0.2">
      <c r="A4912" s="1" t="s">
        <v>4</v>
      </c>
      <c r="B4912" s="1" t="s">
        <v>3837</v>
      </c>
      <c r="C4912" s="1"/>
      <c r="D4912" s="1"/>
      <c r="E4912" s="1"/>
      <c r="F4912" s="1"/>
      <c r="G4912" s="1"/>
      <c r="H4912" s="1" t="str">
        <f>"5679897431355"</f>
        <v>5679897431355</v>
      </c>
      <c r="I4912" s="3">
        <v>0</v>
      </c>
      <c r="J4912" s="3">
        <v>0</v>
      </c>
      <c r="K4912" s="3">
        <v>3500</v>
      </c>
    </row>
    <row r="4913" spans="1:11" x14ac:dyDescent="0.2">
      <c r="A4913" s="1" t="s">
        <v>4</v>
      </c>
      <c r="B4913" s="1" t="s">
        <v>3844</v>
      </c>
      <c r="C4913" s="1"/>
      <c r="D4913" s="1"/>
      <c r="E4913" s="1"/>
      <c r="F4913" s="1"/>
      <c r="G4913" s="1"/>
      <c r="H4913" s="1" t="str">
        <f>"7804640562132"</f>
        <v>7804640562132</v>
      </c>
      <c r="I4913" s="3">
        <v>3</v>
      </c>
      <c r="J4913" s="3">
        <v>0</v>
      </c>
      <c r="K4913" s="3">
        <v>4000</v>
      </c>
    </row>
    <row r="4914" spans="1:11" x14ac:dyDescent="0.2">
      <c r="A4914" s="1" t="s">
        <v>4</v>
      </c>
      <c r="B4914" s="1" t="s">
        <v>3854</v>
      </c>
      <c r="C4914" s="1"/>
      <c r="D4914" s="1"/>
      <c r="E4914" s="1"/>
      <c r="F4914" s="1"/>
      <c r="G4914" s="1"/>
      <c r="H4914" s="1" t="str">
        <f>"1469852315998"</f>
        <v>1469852315998</v>
      </c>
      <c r="I4914" s="3">
        <v>9</v>
      </c>
      <c r="J4914" s="3">
        <v>0</v>
      </c>
      <c r="K4914" s="3">
        <v>5000</v>
      </c>
    </row>
    <row r="4915" spans="1:11" x14ac:dyDescent="0.2">
      <c r="A4915" s="1" t="s">
        <v>4</v>
      </c>
      <c r="B4915" s="1" t="s">
        <v>3855</v>
      </c>
      <c r="C4915" s="1"/>
      <c r="D4915" s="1"/>
      <c r="E4915" s="1"/>
      <c r="F4915" s="1"/>
      <c r="G4915" s="1"/>
      <c r="H4915" s="1" t="str">
        <f>"658325195316"</f>
        <v>658325195316</v>
      </c>
      <c r="I4915" s="3">
        <v>7</v>
      </c>
      <c r="J4915" s="3">
        <v>0</v>
      </c>
      <c r="K4915" s="3">
        <v>6000</v>
      </c>
    </row>
    <row r="4916" spans="1:11" x14ac:dyDescent="0.2">
      <c r="A4916" s="1" t="s">
        <v>4</v>
      </c>
      <c r="B4916" s="1" t="s">
        <v>3997</v>
      </c>
      <c r="C4916" s="1"/>
      <c r="D4916" s="1"/>
      <c r="E4916" s="1"/>
      <c r="F4916" s="1"/>
      <c r="G4916" s="1"/>
      <c r="H4916" s="1" t="str">
        <f>"7803319006021"</f>
        <v>7803319006021</v>
      </c>
      <c r="I4916" s="3">
        <v>0</v>
      </c>
      <c r="J4916" s="3">
        <v>0</v>
      </c>
      <c r="K4916" s="3">
        <v>7000</v>
      </c>
    </row>
    <row r="4917" spans="1:11" x14ac:dyDescent="0.2">
      <c r="A4917" s="1" t="s">
        <v>4</v>
      </c>
      <c r="B4917" s="1" t="s">
        <v>3998</v>
      </c>
      <c r="C4917" s="1"/>
      <c r="D4917" s="1"/>
      <c r="E4917" s="1"/>
      <c r="F4917" s="1"/>
      <c r="G4917" s="1"/>
      <c r="H4917" s="1" t="str">
        <f>"737186233389"</f>
        <v>737186233389</v>
      </c>
      <c r="I4917" s="3">
        <v>1</v>
      </c>
      <c r="J4917" s="3">
        <v>0</v>
      </c>
      <c r="K4917" s="3">
        <v>10000</v>
      </c>
    </row>
    <row r="4918" spans="1:11" x14ac:dyDescent="0.2">
      <c r="A4918" s="1" t="s">
        <v>4</v>
      </c>
      <c r="B4918" s="1" t="s">
        <v>3999</v>
      </c>
      <c r="C4918" s="1"/>
      <c r="D4918" s="1"/>
      <c r="E4918" s="1"/>
      <c r="F4918" s="1"/>
      <c r="G4918" s="1"/>
      <c r="H4918" s="1" t="str">
        <f>"793969323616"</f>
        <v>793969323616</v>
      </c>
      <c r="I4918" s="3">
        <v>6</v>
      </c>
      <c r="J4918" s="3">
        <v>0</v>
      </c>
      <c r="K4918" s="3">
        <v>7500</v>
      </c>
    </row>
    <row r="4919" spans="1:11" x14ac:dyDescent="0.2">
      <c r="A4919" s="1" t="s">
        <v>4</v>
      </c>
      <c r="B4919" s="1" t="s">
        <v>4000</v>
      </c>
      <c r="C4919" s="1"/>
      <c r="D4919" s="1"/>
      <c r="E4919" s="1"/>
      <c r="F4919" s="1"/>
      <c r="G4919" s="1"/>
      <c r="H4919" s="1" t="str">
        <f>"2024820241212"</f>
        <v>2024820241212</v>
      </c>
      <c r="I4919" s="3">
        <v>4</v>
      </c>
      <c r="J4919" s="3">
        <v>0</v>
      </c>
      <c r="K4919" s="3">
        <v>9000</v>
      </c>
    </row>
    <row r="4920" spans="1:11" x14ac:dyDescent="0.2">
      <c r="A4920" s="1" t="s">
        <v>4</v>
      </c>
      <c r="B4920" s="1" t="s">
        <v>4109</v>
      </c>
      <c r="C4920" s="1"/>
      <c r="D4920" s="1"/>
      <c r="E4920" s="1"/>
      <c r="F4920" s="1"/>
      <c r="G4920" s="1"/>
      <c r="H4920" s="1" t="str">
        <f>"5854020658469"</f>
        <v>5854020658469</v>
      </c>
      <c r="I4920" s="3">
        <v>0</v>
      </c>
      <c r="J4920" s="3">
        <v>0</v>
      </c>
      <c r="K4920" s="3">
        <v>4000</v>
      </c>
    </row>
    <row r="4921" spans="1:11" x14ac:dyDescent="0.2">
      <c r="A4921" s="1" t="s">
        <v>4</v>
      </c>
      <c r="B4921" s="1" t="s">
        <v>4110</v>
      </c>
      <c r="C4921" s="1"/>
      <c r="D4921" s="1"/>
      <c r="E4921" s="1"/>
      <c r="F4921" s="1"/>
      <c r="G4921" s="1"/>
      <c r="H4921" s="1" t="str">
        <f>"533203065121"</f>
        <v>533203065121</v>
      </c>
      <c r="I4921" s="3">
        <v>0</v>
      </c>
      <c r="J4921" s="3">
        <v>0</v>
      </c>
      <c r="K4921" s="3">
        <v>4000</v>
      </c>
    </row>
    <row r="4922" spans="1:11" x14ac:dyDescent="0.2">
      <c r="A4922" s="1" t="s">
        <v>4</v>
      </c>
      <c r="B4922" s="1" t="s">
        <v>4130</v>
      </c>
      <c r="C4922" s="1"/>
      <c r="D4922" s="1"/>
      <c r="E4922" s="1"/>
      <c r="F4922" s="1"/>
      <c r="G4922" s="1"/>
      <c r="H4922" s="1" t="str">
        <f>"5854020624617"</f>
        <v>5854020624617</v>
      </c>
      <c r="I4922" s="3">
        <v>14</v>
      </c>
      <c r="J4922" s="3">
        <v>0</v>
      </c>
      <c r="K4922" s="3">
        <v>3500</v>
      </c>
    </row>
    <row r="4923" spans="1:11" x14ac:dyDescent="0.2">
      <c r="A4923" s="1" t="s">
        <v>4</v>
      </c>
      <c r="B4923" s="1" t="s">
        <v>4131</v>
      </c>
      <c r="C4923" s="1"/>
      <c r="D4923" s="1"/>
      <c r="E4923" s="1"/>
      <c r="F4923" s="1"/>
      <c r="G4923" s="1"/>
      <c r="H4923" s="1" t="str">
        <f>"5854020624594"</f>
        <v>5854020624594</v>
      </c>
      <c r="I4923" s="3">
        <v>10</v>
      </c>
      <c r="J4923" s="3">
        <v>0</v>
      </c>
      <c r="K4923" s="3">
        <v>4000</v>
      </c>
    </row>
    <row r="4924" spans="1:11" x14ac:dyDescent="0.2">
      <c r="A4924" s="1" t="s">
        <v>4</v>
      </c>
      <c r="B4924" s="1" t="s">
        <v>4132</v>
      </c>
      <c r="C4924" s="1"/>
      <c r="D4924" s="1"/>
      <c r="E4924" s="1"/>
      <c r="F4924" s="1"/>
      <c r="G4924" s="1"/>
      <c r="H4924" s="1" t="str">
        <f>"76055240823007"</f>
        <v>76055240823007</v>
      </c>
      <c r="I4924" s="3">
        <v>7</v>
      </c>
      <c r="J4924" s="3">
        <v>0</v>
      </c>
      <c r="K4924" s="3">
        <v>4000</v>
      </c>
    </row>
    <row r="4925" spans="1:11" x14ac:dyDescent="0.2">
      <c r="A4925" s="1" t="s">
        <v>4</v>
      </c>
      <c r="B4925" s="1" t="s">
        <v>4133</v>
      </c>
      <c r="C4925" s="1"/>
      <c r="D4925" s="1"/>
      <c r="E4925" s="1"/>
      <c r="F4925" s="1"/>
      <c r="G4925" s="1"/>
      <c r="H4925" s="1" t="str">
        <f>"5854020624556"</f>
        <v>5854020624556</v>
      </c>
      <c r="I4925" s="3">
        <v>8</v>
      </c>
      <c r="J4925" s="3">
        <v>0</v>
      </c>
      <c r="K4925" s="3">
        <v>3500</v>
      </c>
    </row>
    <row r="4926" spans="1:11" x14ac:dyDescent="0.2">
      <c r="A4926" s="1" t="s">
        <v>4</v>
      </c>
      <c r="B4926" s="1" t="s">
        <v>4134</v>
      </c>
      <c r="C4926" s="1"/>
      <c r="D4926" s="1"/>
      <c r="E4926" s="1"/>
      <c r="F4926" s="1"/>
      <c r="G4926" s="1"/>
      <c r="H4926" s="1" t="str">
        <f>"5854020624600"</f>
        <v>5854020624600</v>
      </c>
      <c r="I4926" s="3">
        <v>15</v>
      </c>
      <c r="J4926" s="3">
        <v>0</v>
      </c>
      <c r="K4926" s="3">
        <v>4000</v>
      </c>
    </row>
    <row r="4927" spans="1:11" x14ac:dyDescent="0.2">
      <c r="A4927" s="1" t="s">
        <v>4</v>
      </c>
      <c r="B4927" s="1" t="s">
        <v>4135</v>
      </c>
      <c r="C4927" s="1"/>
      <c r="D4927" s="1"/>
      <c r="E4927" s="1"/>
      <c r="F4927" s="1"/>
      <c r="G4927" s="1"/>
      <c r="H4927" s="1" t="str">
        <f>"5854020624624"</f>
        <v>5854020624624</v>
      </c>
      <c r="I4927" s="3">
        <v>7</v>
      </c>
      <c r="J4927" s="3">
        <v>0</v>
      </c>
      <c r="K4927" s="3">
        <v>4000</v>
      </c>
    </row>
    <row r="4928" spans="1:11" x14ac:dyDescent="0.2">
      <c r="A4928" s="1" t="s">
        <v>4</v>
      </c>
      <c r="B4928" s="1" t="s">
        <v>4136</v>
      </c>
      <c r="C4928" s="1"/>
      <c r="D4928" s="1"/>
      <c r="E4928" s="1"/>
      <c r="F4928" s="1"/>
      <c r="G4928" s="1"/>
      <c r="H4928" s="1" t="str">
        <f>"5854020624655"</f>
        <v>5854020624655</v>
      </c>
      <c r="I4928" s="3">
        <v>11</v>
      </c>
      <c r="J4928" s="3">
        <v>0</v>
      </c>
      <c r="K4928" s="3">
        <v>4000</v>
      </c>
    </row>
    <row r="4929" spans="1:11" x14ac:dyDescent="0.2">
      <c r="A4929" s="1" t="s">
        <v>4</v>
      </c>
      <c r="B4929" s="1" t="s">
        <v>4137</v>
      </c>
      <c r="C4929" s="1"/>
      <c r="D4929" s="1"/>
      <c r="E4929" s="1"/>
      <c r="F4929" s="1"/>
      <c r="G4929" s="1"/>
      <c r="H4929" s="1" t="str">
        <f>"5854020624686"</f>
        <v>5854020624686</v>
      </c>
      <c r="I4929" s="3">
        <v>1</v>
      </c>
      <c r="J4929" s="3">
        <v>0</v>
      </c>
      <c r="K4929" s="3">
        <v>3500</v>
      </c>
    </row>
    <row r="4930" spans="1:11" x14ac:dyDescent="0.2">
      <c r="A4930" s="1" t="s">
        <v>4</v>
      </c>
      <c r="B4930" s="1" t="s">
        <v>4138</v>
      </c>
      <c r="C4930" s="1"/>
      <c r="D4930" s="1"/>
      <c r="E4930" s="1"/>
      <c r="F4930" s="1"/>
      <c r="G4930" s="1"/>
      <c r="H4930" s="1" t="str">
        <f>"5854020624501"</f>
        <v>5854020624501</v>
      </c>
      <c r="I4930" s="3">
        <v>9</v>
      </c>
      <c r="J4930" s="3">
        <v>0</v>
      </c>
      <c r="K4930" s="3">
        <v>4000</v>
      </c>
    </row>
    <row r="4931" spans="1:11" x14ac:dyDescent="0.2">
      <c r="A4931" s="1" t="s">
        <v>4</v>
      </c>
      <c r="B4931" s="1" t="s">
        <v>4139</v>
      </c>
      <c r="C4931" s="1"/>
      <c r="D4931" s="1"/>
      <c r="E4931" s="1"/>
      <c r="F4931" s="1"/>
      <c r="G4931" s="1"/>
      <c r="H4931" s="1" t="str">
        <f>"5854020624662"</f>
        <v>5854020624662</v>
      </c>
      <c r="I4931" s="3">
        <v>15</v>
      </c>
      <c r="J4931" s="3">
        <v>0</v>
      </c>
      <c r="K4931" s="3">
        <v>3500</v>
      </c>
    </row>
    <row r="4932" spans="1:11" x14ac:dyDescent="0.2">
      <c r="A4932" s="1" t="s">
        <v>4</v>
      </c>
      <c r="B4932" s="1" t="s">
        <v>4140</v>
      </c>
      <c r="C4932" s="1"/>
      <c r="D4932" s="1"/>
      <c r="E4932" s="1"/>
      <c r="F4932" s="1"/>
      <c r="G4932" s="1"/>
      <c r="H4932" s="1" t="str">
        <f>"5854020624631"</f>
        <v>5854020624631</v>
      </c>
      <c r="I4932" s="3">
        <v>14</v>
      </c>
      <c r="J4932" s="3">
        <v>0</v>
      </c>
      <c r="K4932" s="3">
        <v>3500</v>
      </c>
    </row>
    <row r="4933" spans="1:11" x14ac:dyDescent="0.2">
      <c r="A4933" s="1" t="s">
        <v>4</v>
      </c>
      <c r="B4933" s="1" t="s">
        <v>4141</v>
      </c>
      <c r="C4933" s="1"/>
      <c r="D4933" s="1"/>
      <c r="E4933" s="1"/>
      <c r="F4933" s="1"/>
      <c r="G4933" s="1"/>
      <c r="H4933" s="1" t="str">
        <f>"5854020624679"</f>
        <v>5854020624679</v>
      </c>
      <c r="I4933" s="3">
        <v>22</v>
      </c>
      <c r="J4933" s="3">
        <v>0</v>
      </c>
      <c r="K4933" s="3">
        <v>3500</v>
      </c>
    </row>
    <row r="4934" spans="1:11" x14ac:dyDescent="0.2">
      <c r="A4934" s="1" t="s">
        <v>4</v>
      </c>
      <c r="B4934" s="1" t="s">
        <v>4142</v>
      </c>
      <c r="C4934" s="1"/>
      <c r="D4934" s="1"/>
      <c r="E4934" s="1"/>
      <c r="F4934" s="1"/>
      <c r="G4934" s="1"/>
      <c r="H4934" s="1" t="str">
        <f>"5854020624532"</f>
        <v>5854020624532</v>
      </c>
      <c r="I4934" s="3">
        <v>22</v>
      </c>
      <c r="J4934" s="3">
        <v>0</v>
      </c>
      <c r="K4934" s="3">
        <v>4000</v>
      </c>
    </row>
    <row r="4935" spans="1:11" x14ac:dyDescent="0.2">
      <c r="A4935" s="1" t="s">
        <v>4</v>
      </c>
      <c r="B4935" s="1" t="s">
        <v>4143</v>
      </c>
      <c r="C4935" s="1"/>
      <c r="D4935" s="1"/>
      <c r="E4935" s="1"/>
      <c r="F4935" s="1"/>
      <c r="G4935" s="1"/>
      <c r="H4935" s="1" t="str">
        <f>"5854020624570"</f>
        <v>5854020624570</v>
      </c>
      <c r="I4935" s="3">
        <v>22</v>
      </c>
      <c r="J4935" s="3">
        <v>0</v>
      </c>
      <c r="K4935" s="3">
        <v>4000</v>
      </c>
    </row>
    <row r="4936" spans="1:11" x14ac:dyDescent="0.2">
      <c r="A4936" s="1" t="s">
        <v>4</v>
      </c>
      <c r="B4936" s="1" t="s">
        <v>4145</v>
      </c>
      <c r="C4936" s="1"/>
      <c r="D4936" s="1"/>
      <c r="E4936" s="1"/>
      <c r="F4936" s="1"/>
      <c r="G4936" s="1"/>
      <c r="H4936" s="1" t="str">
        <f>"5854020624563"</f>
        <v>5854020624563</v>
      </c>
      <c r="I4936" s="3">
        <v>4</v>
      </c>
      <c r="J4936" s="3">
        <v>0</v>
      </c>
      <c r="K4936" s="3">
        <v>3500</v>
      </c>
    </row>
    <row r="4937" spans="1:11" x14ac:dyDescent="0.2">
      <c r="A4937" s="1" t="s">
        <v>4</v>
      </c>
      <c r="B4937" s="1" t="s">
        <v>4146</v>
      </c>
      <c r="C4937" s="1"/>
      <c r="D4937" s="1"/>
      <c r="E4937" s="1"/>
      <c r="F4937" s="1"/>
      <c r="G4937" s="1"/>
      <c r="H4937" s="1" t="str">
        <f>"5854020624587"</f>
        <v>5854020624587</v>
      </c>
      <c r="I4937" s="3">
        <v>13</v>
      </c>
      <c r="J4937" s="3">
        <v>0</v>
      </c>
      <c r="K4937" s="3">
        <v>3500</v>
      </c>
    </row>
    <row r="4938" spans="1:11" x14ac:dyDescent="0.2">
      <c r="A4938" s="1" t="s">
        <v>4</v>
      </c>
      <c r="B4938" s="1" t="s">
        <v>4147</v>
      </c>
      <c r="C4938" s="1"/>
      <c r="D4938" s="1"/>
      <c r="E4938" s="1"/>
      <c r="F4938" s="1"/>
      <c r="G4938" s="1"/>
      <c r="H4938" s="1" t="str">
        <f>"5854020624518"</f>
        <v>5854020624518</v>
      </c>
      <c r="I4938" s="3">
        <v>19</v>
      </c>
      <c r="J4938" s="3">
        <v>0</v>
      </c>
      <c r="K4938" s="3">
        <v>3500</v>
      </c>
    </row>
    <row r="4939" spans="1:11" x14ac:dyDescent="0.2">
      <c r="A4939" s="1" t="s">
        <v>4</v>
      </c>
      <c r="B4939" s="1" t="s">
        <v>4148</v>
      </c>
      <c r="C4939" s="1"/>
      <c r="D4939" s="1"/>
      <c r="E4939" s="1"/>
      <c r="F4939" s="1"/>
      <c r="G4939" s="1"/>
      <c r="H4939" s="1" t="str">
        <f>"5854020624525"</f>
        <v>5854020624525</v>
      </c>
      <c r="I4939" s="3">
        <v>3</v>
      </c>
      <c r="J4939" s="3">
        <v>0</v>
      </c>
      <c r="K4939" s="3">
        <v>3500</v>
      </c>
    </row>
    <row r="4940" spans="1:11" x14ac:dyDescent="0.2">
      <c r="A4940" s="1" t="s">
        <v>4</v>
      </c>
      <c r="B4940" s="1" t="s">
        <v>4160</v>
      </c>
      <c r="C4940" s="1"/>
      <c r="D4940" s="1"/>
      <c r="E4940" s="1"/>
      <c r="F4940" s="1"/>
      <c r="G4940" s="1"/>
      <c r="H4940" s="1" t="str">
        <f>"7803319006779"</f>
        <v>7803319006779</v>
      </c>
      <c r="I4940" s="3">
        <v>4</v>
      </c>
      <c r="J4940" s="3">
        <v>0</v>
      </c>
      <c r="K4940" s="3">
        <v>4000</v>
      </c>
    </row>
    <row r="4941" spans="1:11" x14ac:dyDescent="0.2">
      <c r="A4941" s="1" t="s">
        <v>4</v>
      </c>
      <c r="B4941" s="1" t="s">
        <v>4161</v>
      </c>
      <c r="C4941" s="1"/>
      <c r="D4941" s="1"/>
      <c r="E4941" s="1"/>
      <c r="F4941" s="1"/>
      <c r="G4941" s="1"/>
      <c r="H4941" s="1" t="str">
        <f>"SELENIOVE"</f>
        <v>SELENIOVE</v>
      </c>
      <c r="I4941" s="3">
        <v>0</v>
      </c>
      <c r="J4941" s="3">
        <v>0</v>
      </c>
      <c r="K4941" s="3">
        <v>7500</v>
      </c>
    </row>
    <row r="4942" spans="1:11" x14ac:dyDescent="0.2">
      <c r="A4942" s="1" t="s">
        <v>4</v>
      </c>
      <c r="B4942" s="1" t="s">
        <v>4162</v>
      </c>
      <c r="C4942" s="1"/>
      <c r="D4942" s="1"/>
      <c r="E4942" s="1"/>
      <c r="F4942" s="1"/>
      <c r="G4942" s="1"/>
      <c r="H4942" s="1" t="str">
        <f>"733739014856"</f>
        <v>733739014856</v>
      </c>
      <c r="I4942" s="3">
        <v>1</v>
      </c>
      <c r="J4942" s="3">
        <v>0</v>
      </c>
      <c r="K4942" s="3">
        <v>13000</v>
      </c>
    </row>
    <row r="4943" spans="1:11" x14ac:dyDescent="0.2">
      <c r="A4943" s="1" t="s">
        <v>4</v>
      </c>
      <c r="B4943" s="1" t="s">
        <v>4280</v>
      </c>
      <c r="C4943" s="1"/>
      <c r="D4943" s="1"/>
      <c r="E4943" s="1"/>
      <c r="F4943" s="1"/>
      <c r="G4943" s="1"/>
      <c r="H4943" s="1" t="str">
        <f>"737186550998"</f>
        <v>737186550998</v>
      </c>
      <c r="I4943" s="3">
        <v>1</v>
      </c>
      <c r="J4943" s="3">
        <v>0</v>
      </c>
      <c r="K4943" s="3">
        <v>5500</v>
      </c>
    </row>
    <row r="4944" spans="1:11" x14ac:dyDescent="0.2">
      <c r="A4944" s="1" t="s">
        <v>4</v>
      </c>
      <c r="B4944" s="1" t="s">
        <v>4325</v>
      </c>
      <c r="C4944" s="1"/>
      <c r="D4944" s="1"/>
      <c r="E4944" s="1"/>
      <c r="F4944" s="1"/>
      <c r="G4944" s="1"/>
      <c r="H4944" s="1" t="str">
        <f>"7805633022930"</f>
        <v>7805633022930</v>
      </c>
      <c r="I4944" s="3">
        <v>39</v>
      </c>
      <c r="J4944" s="3">
        <v>0</v>
      </c>
      <c r="K4944" s="3">
        <v>2500</v>
      </c>
    </row>
    <row r="4945" spans="1:11" x14ac:dyDescent="0.2">
      <c r="A4945" s="1" t="s">
        <v>4</v>
      </c>
      <c r="B4945" s="1" t="s">
        <v>4327</v>
      </c>
      <c r="C4945" s="1"/>
      <c r="D4945" s="1"/>
      <c r="E4945" s="1"/>
      <c r="F4945" s="1"/>
      <c r="G4945" s="1"/>
      <c r="H4945" s="1" t="str">
        <f>"7805633022916"</f>
        <v>7805633022916</v>
      </c>
      <c r="I4945" s="3">
        <v>28</v>
      </c>
      <c r="J4945" s="3">
        <v>0</v>
      </c>
      <c r="K4945" s="3">
        <v>3500</v>
      </c>
    </row>
    <row r="4946" spans="1:11" x14ac:dyDescent="0.2">
      <c r="A4946" s="1" t="s">
        <v>4</v>
      </c>
      <c r="B4946" s="1" t="s">
        <v>4328</v>
      </c>
      <c r="C4946" s="1"/>
      <c r="D4946" s="1"/>
      <c r="E4946" s="1"/>
      <c r="F4946" s="1"/>
      <c r="G4946" s="1"/>
      <c r="H4946" s="1" t="str">
        <f>"9001001000236"</f>
        <v>9001001000236</v>
      </c>
      <c r="I4946" s="3">
        <v>0</v>
      </c>
      <c r="J4946" s="3">
        <v>0</v>
      </c>
      <c r="K4946" s="3">
        <v>6500</v>
      </c>
    </row>
    <row r="4947" spans="1:11" x14ac:dyDescent="0.2">
      <c r="A4947" s="1" t="s">
        <v>4</v>
      </c>
      <c r="B4947" s="1" t="s">
        <v>4336</v>
      </c>
      <c r="C4947" s="1"/>
      <c r="D4947" s="1"/>
      <c r="E4947" s="1"/>
      <c r="F4947" s="1"/>
      <c r="G4947" s="1"/>
      <c r="H4947" s="1" t="str">
        <f>"7203319006371"</f>
        <v>7203319006371</v>
      </c>
      <c r="I4947" s="3">
        <v>0</v>
      </c>
      <c r="J4947" s="3">
        <v>0</v>
      </c>
      <c r="K4947" s="3">
        <v>3000</v>
      </c>
    </row>
    <row r="4948" spans="1:11" x14ac:dyDescent="0.2">
      <c r="A4948" s="1" t="s">
        <v>4</v>
      </c>
      <c r="B4948" s="1" t="s">
        <v>4337</v>
      </c>
      <c r="C4948" s="1"/>
      <c r="D4948" s="1"/>
      <c r="E4948" s="1"/>
      <c r="F4948" s="1"/>
      <c r="G4948" s="1"/>
      <c r="H4948" s="1" t="str">
        <f>"7803319006311"</f>
        <v>7803319006311</v>
      </c>
      <c r="I4948" s="3">
        <v>7</v>
      </c>
      <c r="J4948" s="3">
        <v>0</v>
      </c>
      <c r="K4948" s="3">
        <v>3000</v>
      </c>
    </row>
    <row r="4949" spans="1:11" x14ac:dyDescent="0.2">
      <c r="A4949" s="1" t="s">
        <v>4</v>
      </c>
      <c r="B4949" s="1" t="s">
        <v>4349</v>
      </c>
      <c r="C4949" s="1"/>
      <c r="D4949" s="1"/>
      <c r="E4949" s="1"/>
      <c r="F4949" s="1"/>
      <c r="G4949" s="1"/>
      <c r="H4949" s="1" t="str">
        <f>"7803319005796"</f>
        <v>7803319005796</v>
      </c>
      <c r="I4949" s="3">
        <v>0</v>
      </c>
      <c r="J4949" s="3">
        <v>0</v>
      </c>
      <c r="K4949" s="3">
        <v>4000</v>
      </c>
    </row>
    <row r="4950" spans="1:11" x14ac:dyDescent="0.2">
      <c r="A4950" s="1" t="s">
        <v>4</v>
      </c>
      <c r="B4950" s="1" t="s">
        <v>4350</v>
      </c>
      <c r="C4950" s="1"/>
      <c r="D4950" s="1"/>
      <c r="E4950" s="1"/>
      <c r="F4950" s="1"/>
      <c r="G4950" s="1"/>
      <c r="H4950" s="1" t="str">
        <f>"5854020668475"</f>
        <v>5854020668475</v>
      </c>
      <c r="I4950" s="3">
        <v>2</v>
      </c>
      <c r="J4950" s="3">
        <v>0</v>
      </c>
      <c r="K4950" s="3">
        <v>5000</v>
      </c>
    </row>
    <row r="4951" spans="1:11" x14ac:dyDescent="0.2">
      <c r="A4951" s="1" t="s">
        <v>4</v>
      </c>
      <c r="B4951" s="1" t="s">
        <v>4372</v>
      </c>
      <c r="C4951" s="1"/>
      <c r="D4951" s="1"/>
      <c r="E4951" s="1"/>
      <c r="F4951" s="1"/>
      <c r="G4951" s="1"/>
      <c r="H4951" s="1" t="str">
        <f>"1469852315943"</f>
        <v>1469852315943</v>
      </c>
      <c r="I4951" s="3">
        <v>15</v>
      </c>
      <c r="J4951" s="3">
        <v>0</v>
      </c>
      <c r="K4951" s="3">
        <v>5000</v>
      </c>
    </row>
    <row r="4952" spans="1:11" x14ac:dyDescent="0.2">
      <c r="A4952" s="1" t="s">
        <v>4</v>
      </c>
      <c r="B4952" s="1" t="s">
        <v>4388</v>
      </c>
      <c r="C4952" s="1"/>
      <c r="D4952" s="1"/>
      <c r="E4952" s="1"/>
      <c r="F4952" s="1"/>
      <c r="G4952" s="1"/>
      <c r="H4952" s="1" t="str">
        <f>"7800000788006"</f>
        <v>7800000788006</v>
      </c>
      <c r="I4952" s="3">
        <v>0</v>
      </c>
      <c r="J4952" s="3">
        <v>0</v>
      </c>
      <c r="K4952" s="3">
        <v>6000</v>
      </c>
    </row>
    <row r="4953" spans="1:11" x14ac:dyDescent="0.2">
      <c r="A4953" s="1" t="s">
        <v>4</v>
      </c>
      <c r="B4953" s="1" t="s">
        <v>4514</v>
      </c>
      <c r="C4953" s="1"/>
      <c r="D4953" s="1"/>
      <c r="E4953" s="1"/>
      <c r="F4953" s="1"/>
      <c r="G4953" s="1"/>
      <c r="H4953" s="1" t="str">
        <f>"7808713900340"</f>
        <v>7808713900340</v>
      </c>
      <c r="I4953" s="3">
        <v>0</v>
      </c>
      <c r="J4953" s="3">
        <v>0</v>
      </c>
      <c r="K4953" s="3">
        <v>4000</v>
      </c>
    </row>
    <row r="4954" spans="1:11" x14ac:dyDescent="0.2">
      <c r="A4954" s="1" t="s">
        <v>4</v>
      </c>
      <c r="B4954" s="1" t="s">
        <v>4605</v>
      </c>
      <c r="C4954" s="1"/>
      <c r="D4954" s="1"/>
      <c r="E4954" s="1"/>
      <c r="F4954" s="1"/>
      <c r="G4954" s="1"/>
      <c r="H4954" s="1" t="str">
        <f>"7803504002906"</f>
        <v>7803504002906</v>
      </c>
      <c r="I4954" s="3">
        <v>4</v>
      </c>
      <c r="J4954" s="3">
        <v>0</v>
      </c>
      <c r="K4954" s="3">
        <v>4000</v>
      </c>
    </row>
    <row r="4955" spans="1:11" x14ac:dyDescent="0.2">
      <c r="A4955" s="1" t="s">
        <v>4</v>
      </c>
      <c r="B4955" s="1" t="s">
        <v>4606</v>
      </c>
      <c r="C4955" s="1"/>
      <c r="D4955" s="1"/>
      <c r="E4955" s="1"/>
      <c r="F4955" s="1"/>
      <c r="G4955" s="1"/>
      <c r="H4955" s="1" t="str">
        <f>"7803319006830"</f>
        <v>7803319006830</v>
      </c>
      <c r="I4955" s="3">
        <v>3</v>
      </c>
      <c r="J4955" s="3">
        <v>0</v>
      </c>
      <c r="K4955" s="3">
        <v>2000</v>
      </c>
    </row>
    <row r="4956" spans="1:11" x14ac:dyDescent="0.2">
      <c r="A4956" s="1" t="s">
        <v>4</v>
      </c>
      <c r="B4956" s="1" t="s">
        <v>4607</v>
      </c>
      <c r="C4956" s="1"/>
      <c r="D4956" s="1"/>
      <c r="E4956" s="1"/>
      <c r="F4956" s="1"/>
      <c r="G4956" s="1"/>
      <c r="H4956" s="1" t="str">
        <f>"7803319004683"</f>
        <v>7803319004683</v>
      </c>
      <c r="I4956" s="3">
        <v>0</v>
      </c>
      <c r="J4956" s="3">
        <v>0</v>
      </c>
      <c r="K4956" s="3">
        <v>2000</v>
      </c>
    </row>
    <row r="4957" spans="1:11" x14ac:dyDescent="0.2">
      <c r="A4957" s="1" t="s">
        <v>4</v>
      </c>
      <c r="B4957" s="1" t="s">
        <v>4634</v>
      </c>
      <c r="C4957" s="1"/>
      <c r="D4957" s="1"/>
      <c r="E4957" s="1"/>
      <c r="F4957" s="1"/>
      <c r="G4957" s="1"/>
      <c r="H4957" s="1" t="str">
        <f>"7805357100594"</f>
        <v>7805357100594</v>
      </c>
      <c r="I4957" s="3">
        <v>0</v>
      </c>
      <c r="J4957" s="3">
        <v>0</v>
      </c>
      <c r="K4957" s="3">
        <v>16000</v>
      </c>
    </row>
    <row r="4958" spans="1:11" x14ac:dyDescent="0.2">
      <c r="A4958" s="1" t="s">
        <v>4</v>
      </c>
      <c r="B4958" s="1" t="s">
        <v>4644</v>
      </c>
      <c r="C4958" s="1"/>
      <c r="D4958" s="1"/>
      <c r="E4958" s="1"/>
      <c r="F4958" s="1"/>
      <c r="G4958" s="1"/>
      <c r="H4958" s="1" t="str">
        <f>"7805357002355"</f>
        <v>7805357002355</v>
      </c>
      <c r="I4958" s="3">
        <v>0</v>
      </c>
      <c r="J4958" s="3">
        <v>0</v>
      </c>
      <c r="K4958" s="3">
        <v>12000</v>
      </c>
    </row>
    <row r="4959" spans="1:11" x14ac:dyDescent="0.2">
      <c r="A4959" s="1" t="s">
        <v>4</v>
      </c>
      <c r="B4959" s="1" t="s">
        <v>4665</v>
      </c>
      <c r="C4959" s="1"/>
      <c r="D4959" s="1"/>
      <c r="E4959" s="1"/>
      <c r="F4959" s="1"/>
      <c r="G4959" s="1"/>
      <c r="H4959" s="1" t="str">
        <f>"7803319006625"</f>
        <v>7803319006625</v>
      </c>
      <c r="I4959" s="3">
        <v>7</v>
      </c>
      <c r="J4959" s="3">
        <v>0</v>
      </c>
      <c r="K4959" s="3">
        <v>5000</v>
      </c>
    </row>
    <row r="4960" spans="1:11" x14ac:dyDescent="0.2">
      <c r="A4960" s="1" t="s">
        <v>4</v>
      </c>
      <c r="B4960" s="1" t="s">
        <v>4666</v>
      </c>
      <c r="C4960" s="1"/>
      <c r="D4960" s="1"/>
      <c r="E4960" s="1"/>
      <c r="F4960" s="1"/>
      <c r="G4960" s="1"/>
      <c r="H4960" s="1" t="str">
        <f>"737186534264"</f>
        <v>737186534264</v>
      </c>
      <c r="I4960" s="3">
        <v>4</v>
      </c>
      <c r="J4960" s="3">
        <v>0</v>
      </c>
      <c r="K4960" s="3">
        <v>5000</v>
      </c>
    </row>
    <row r="4961" spans="1:11" x14ac:dyDescent="0.2">
      <c r="A4961" s="1" t="s">
        <v>4</v>
      </c>
      <c r="B4961" s="1" t="s">
        <v>4676</v>
      </c>
      <c r="C4961" s="1"/>
      <c r="D4961" s="1"/>
      <c r="E4961" s="1"/>
      <c r="F4961" s="1"/>
      <c r="G4961" s="1"/>
      <c r="H4961" s="1" t="str">
        <f>"7803319005758"</f>
        <v>7803319005758</v>
      </c>
      <c r="I4961" s="3">
        <v>5</v>
      </c>
      <c r="J4961" s="3">
        <v>0</v>
      </c>
      <c r="K4961" s="3">
        <v>6500</v>
      </c>
    </row>
    <row r="4962" spans="1:11" x14ac:dyDescent="0.2">
      <c r="A4962" s="1" t="s">
        <v>4</v>
      </c>
      <c r="B4962" s="1" t="s">
        <v>4686</v>
      </c>
      <c r="C4962" s="1"/>
      <c r="D4962" s="1"/>
      <c r="E4962" s="1"/>
      <c r="F4962" s="1"/>
      <c r="G4962" s="1"/>
      <c r="H4962" s="1" t="str">
        <f>"4444554217143"</f>
        <v>4444554217143</v>
      </c>
      <c r="I4962" s="3">
        <v>0</v>
      </c>
      <c r="J4962" s="3">
        <v>0</v>
      </c>
      <c r="K4962" s="3">
        <v>5000</v>
      </c>
    </row>
    <row r="4963" spans="1:11" x14ac:dyDescent="0.2">
      <c r="A4963" s="1" t="s">
        <v>4</v>
      </c>
      <c r="B4963" s="1" t="s">
        <v>4693</v>
      </c>
      <c r="C4963" s="1"/>
      <c r="D4963" s="1"/>
      <c r="E4963" s="1"/>
      <c r="F4963" s="1"/>
      <c r="G4963" s="1"/>
      <c r="H4963" s="1" t="str">
        <f>"781159467172"</f>
        <v>781159467172</v>
      </c>
      <c r="I4963" s="3">
        <v>15</v>
      </c>
      <c r="J4963" s="3">
        <v>0</v>
      </c>
      <c r="K4963" s="3">
        <v>6500</v>
      </c>
    </row>
    <row r="4964" spans="1:11" x14ac:dyDescent="0.2">
      <c r="A4964" s="1" t="s">
        <v>4</v>
      </c>
      <c r="B4964" s="1" t="s">
        <v>4801</v>
      </c>
      <c r="C4964" s="1"/>
      <c r="D4964" s="1"/>
      <c r="E4964" s="1"/>
      <c r="F4964" s="1"/>
      <c r="G4964" s="1"/>
      <c r="H4964" s="1" t="str">
        <f>"7803319004652"</f>
        <v>7803319004652</v>
      </c>
      <c r="I4964" s="3">
        <v>3</v>
      </c>
      <c r="J4964" s="3">
        <v>0</v>
      </c>
      <c r="K4964" s="3">
        <v>5000</v>
      </c>
    </row>
    <row r="4965" spans="1:11" x14ac:dyDescent="0.2">
      <c r="A4965" s="1" t="s">
        <v>4</v>
      </c>
      <c r="B4965" s="1" t="s">
        <v>4837</v>
      </c>
      <c r="C4965" s="1"/>
      <c r="D4965" s="1"/>
      <c r="E4965" s="1"/>
      <c r="F4965" s="1"/>
      <c r="G4965" s="1"/>
      <c r="H4965" s="1" t="str">
        <f>"5854415608215"</f>
        <v>5854415608215</v>
      </c>
      <c r="I4965" s="3">
        <v>0</v>
      </c>
      <c r="J4965" s="3">
        <v>0</v>
      </c>
      <c r="K4965" s="3">
        <v>4000</v>
      </c>
    </row>
    <row r="4966" spans="1:11" x14ac:dyDescent="0.2">
      <c r="A4966" s="1" t="s">
        <v>4</v>
      </c>
      <c r="B4966" s="1" t="s">
        <v>4841</v>
      </c>
      <c r="C4966" s="1"/>
      <c r="D4966" s="1"/>
      <c r="E4966" s="1"/>
      <c r="F4966" s="1"/>
      <c r="G4966" s="1"/>
      <c r="H4966" s="1" t="str">
        <f>"737186534257"</f>
        <v>737186534257</v>
      </c>
      <c r="I4966" s="3">
        <v>0</v>
      </c>
      <c r="J4966" s="3">
        <v>0</v>
      </c>
      <c r="K4966" s="3">
        <v>6000</v>
      </c>
    </row>
    <row r="4967" spans="1:11" x14ac:dyDescent="0.2">
      <c r="A4967" s="1" t="s">
        <v>4</v>
      </c>
      <c r="B4967" s="1" t="s">
        <v>4850</v>
      </c>
      <c r="C4967" s="1"/>
      <c r="D4967" s="1"/>
      <c r="E4967" s="1"/>
      <c r="F4967" s="1"/>
      <c r="G4967" s="1"/>
      <c r="H4967" s="1" t="str">
        <f>"7803319006038"</f>
        <v>7803319006038</v>
      </c>
      <c r="I4967" s="3">
        <v>6</v>
      </c>
      <c r="J4967" s="3">
        <v>0</v>
      </c>
      <c r="K4967" s="3">
        <v>5000</v>
      </c>
    </row>
    <row r="4968" spans="1:11" x14ac:dyDescent="0.2">
      <c r="A4968" s="1" t="s">
        <v>4</v>
      </c>
      <c r="B4968" s="1" t="s">
        <v>4851</v>
      </c>
      <c r="C4968" s="1"/>
      <c r="D4968" s="1"/>
      <c r="E4968" s="1"/>
      <c r="F4968" s="1"/>
      <c r="G4968" s="1"/>
      <c r="H4968" s="1" t="str">
        <f>"7803319000128"</f>
        <v>7803319000128</v>
      </c>
      <c r="I4968" s="3">
        <v>7</v>
      </c>
      <c r="J4968" s="3">
        <v>0</v>
      </c>
      <c r="K4968" s="3">
        <v>2500</v>
      </c>
    </row>
    <row r="4969" spans="1:11" x14ac:dyDescent="0.2">
      <c r="A4969" s="1" t="s">
        <v>4</v>
      </c>
      <c r="B4969" s="1" t="s">
        <v>4864</v>
      </c>
      <c r="C4969" s="1"/>
      <c r="D4969" s="1"/>
      <c r="E4969" s="1"/>
      <c r="F4969" s="1"/>
      <c r="G4969" s="1"/>
      <c r="H4969" s="1" t="str">
        <f>"9026782081106"</f>
        <v>9026782081106</v>
      </c>
      <c r="I4969" s="3">
        <v>0</v>
      </c>
      <c r="J4969" s="3">
        <v>0</v>
      </c>
      <c r="K4969" s="3">
        <v>3000</v>
      </c>
    </row>
    <row r="4970" spans="1:11" x14ac:dyDescent="0.2">
      <c r="A4970" s="1" t="s">
        <v>4</v>
      </c>
      <c r="B4970" s="1" t="s">
        <v>4869</v>
      </c>
      <c r="C4970" s="1"/>
      <c r="D4970" s="1"/>
      <c r="E4970" s="1"/>
      <c r="F4970" s="1"/>
      <c r="G4970" s="1"/>
      <c r="H4970" s="1" t="str">
        <f>"7805633025252"</f>
        <v>7805633025252</v>
      </c>
      <c r="I4970" s="3">
        <v>42</v>
      </c>
      <c r="J4970" s="3">
        <v>0</v>
      </c>
      <c r="K4970" s="3">
        <v>3500</v>
      </c>
    </row>
    <row r="4971" spans="1:11" x14ac:dyDescent="0.2">
      <c r="A4971" s="1" t="s">
        <v>4</v>
      </c>
      <c r="B4971" s="1" t="s">
        <v>4881</v>
      </c>
      <c r="C4971" s="1"/>
      <c r="D4971" s="1"/>
      <c r="E4971" s="1"/>
      <c r="F4971" s="1"/>
      <c r="G4971" s="1"/>
      <c r="H4971" s="1" t="str">
        <f>"7805633017516"</f>
        <v>7805633017516</v>
      </c>
      <c r="I4971" s="3">
        <v>29</v>
      </c>
      <c r="J4971" s="3">
        <v>0</v>
      </c>
      <c r="K4971" s="3">
        <v>4000</v>
      </c>
    </row>
    <row r="4972" spans="1:11" x14ac:dyDescent="0.2">
      <c r="A4972" s="1" t="s">
        <v>4</v>
      </c>
      <c r="B4972" s="1" t="s">
        <v>4882</v>
      </c>
      <c r="C4972" s="1"/>
      <c r="D4972" s="1"/>
      <c r="E4972" s="1"/>
      <c r="F4972" s="1"/>
      <c r="G4972" s="1"/>
      <c r="H4972" s="1" t="str">
        <f>"793969345700"</f>
        <v>793969345700</v>
      </c>
      <c r="I4972" s="3">
        <v>0</v>
      </c>
      <c r="J4972" s="3">
        <v>0</v>
      </c>
      <c r="K4972" s="3">
        <v>2000</v>
      </c>
    </row>
    <row r="4973" spans="1:11" x14ac:dyDescent="0.2">
      <c r="A4973" s="1" t="s">
        <v>4</v>
      </c>
      <c r="B4973" s="1" t="s">
        <v>4883</v>
      </c>
      <c r="C4973" s="1"/>
      <c r="D4973" s="1"/>
      <c r="E4973" s="1"/>
      <c r="F4973" s="1"/>
      <c r="G4973" s="1"/>
      <c r="H4973" s="1" t="str">
        <f>"7805633022848"</f>
        <v>7805633022848</v>
      </c>
      <c r="I4973" s="3">
        <v>11</v>
      </c>
      <c r="J4973" s="3">
        <v>0</v>
      </c>
      <c r="K4973" s="3">
        <v>2500</v>
      </c>
    </row>
    <row r="4974" spans="1:11" x14ac:dyDescent="0.2">
      <c r="A4974" s="1" t="s">
        <v>4</v>
      </c>
      <c r="B4974" s="1" t="s">
        <v>4885</v>
      </c>
      <c r="C4974" s="1"/>
      <c r="D4974" s="1"/>
      <c r="E4974" s="1"/>
      <c r="F4974" s="1"/>
      <c r="G4974" s="1"/>
      <c r="H4974" s="1" t="str">
        <f>"6565984000056"</f>
        <v>6565984000056</v>
      </c>
      <c r="I4974" s="3">
        <v>0</v>
      </c>
      <c r="J4974" s="3">
        <v>0</v>
      </c>
      <c r="K4974" s="3">
        <v>4000</v>
      </c>
    </row>
    <row r="4975" spans="1:11" x14ac:dyDescent="0.2">
      <c r="A4975" s="1" t="s">
        <v>4</v>
      </c>
      <c r="B4975" s="1" t="s">
        <v>4886</v>
      </c>
      <c r="C4975" s="1"/>
      <c r="D4975" s="1"/>
      <c r="E4975" s="1"/>
      <c r="F4975" s="1"/>
      <c r="G4975" s="1"/>
      <c r="H4975" s="1" t="str">
        <f>"7804640561654"</f>
        <v>7804640561654</v>
      </c>
      <c r="I4975" s="3">
        <v>0</v>
      </c>
      <c r="J4975" s="3">
        <v>0</v>
      </c>
      <c r="K4975" s="3">
        <v>2500</v>
      </c>
    </row>
    <row r="4976" spans="1:11" x14ac:dyDescent="0.2">
      <c r="A4976" s="1" t="s">
        <v>4</v>
      </c>
      <c r="B4976" s="1" t="s">
        <v>4887</v>
      </c>
      <c r="C4976" s="1"/>
      <c r="D4976" s="1"/>
      <c r="E4976" s="1"/>
      <c r="F4976" s="1"/>
      <c r="G4976" s="1"/>
      <c r="H4976" s="1" t="str">
        <f>"7803504003217"</f>
        <v>7803504003217</v>
      </c>
      <c r="I4976" s="3">
        <v>60</v>
      </c>
      <c r="J4976" s="3">
        <v>0</v>
      </c>
      <c r="K4976" s="3">
        <v>2500</v>
      </c>
    </row>
    <row r="4977" spans="1:11" x14ac:dyDescent="0.2">
      <c r="A4977" s="1" t="s">
        <v>4</v>
      </c>
      <c r="B4977" s="1" t="s">
        <v>4888</v>
      </c>
      <c r="C4977" s="1"/>
      <c r="D4977" s="1"/>
      <c r="E4977" s="1"/>
      <c r="F4977" s="1"/>
      <c r="G4977" s="1"/>
      <c r="H4977" s="1" t="str">
        <f>"7898933925667"</f>
        <v>7898933925667</v>
      </c>
      <c r="I4977" s="3">
        <v>117</v>
      </c>
      <c r="J4977" s="3">
        <v>0</v>
      </c>
      <c r="K4977" s="3">
        <v>3000</v>
      </c>
    </row>
    <row r="4978" spans="1:11" x14ac:dyDescent="0.2">
      <c r="A4978" s="1" t="s">
        <v>4</v>
      </c>
      <c r="B4978" s="1" t="s">
        <v>4890</v>
      </c>
      <c r="C4978" s="1"/>
      <c r="D4978" s="1"/>
      <c r="E4978" s="1"/>
      <c r="F4978" s="1"/>
      <c r="G4978" s="1"/>
      <c r="H4978" s="1" t="str">
        <f>"7808713901446"</f>
        <v>7808713901446</v>
      </c>
      <c r="I4978" s="3">
        <v>41</v>
      </c>
      <c r="J4978" s="3">
        <v>0</v>
      </c>
      <c r="K4978" s="3">
        <v>3000</v>
      </c>
    </row>
    <row r="4979" spans="1:11" x14ac:dyDescent="0.2">
      <c r="A4979" s="1" t="s">
        <v>4</v>
      </c>
      <c r="B4979" s="1" t="s">
        <v>4894</v>
      </c>
      <c r="C4979" s="1"/>
      <c r="D4979" s="1"/>
      <c r="E4979" s="1"/>
      <c r="F4979" s="1"/>
      <c r="G4979" s="1"/>
      <c r="H4979" s="1" t="str">
        <f>"731416393034"</f>
        <v>731416393034</v>
      </c>
      <c r="I4979" s="3">
        <v>0</v>
      </c>
      <c r="J4979" s="3">
        <v>0</v>
      </c>
      <c r="K4979" s="3">
        <v>4000</v>
      </c>
    </row>
    <row r="4980" spans="1:11" x14ac:dyDescent="0.2">
      <c r="A4980" s="1" t="s">
        <v>4</v>
      </c>
      <c r="B4980" s="1" t="s">
        <v>4895</v>
      </c>
      <c r="C4980" s="1"/>
      <c r="D4980" s="1"/>
      <c r="E4980" s="1"/>
      <c r="F4980" s="1"/>
      <c r="G4980" s="1"/>
      <c r="H4980" s="1" t="str">
        <f>"7805357002072"</f>
        <v>7805357002072</v>
      </c>
      <c r="I4980" s="3">
        <v>0</v>
      </c>
      <c r="J4980" s="3">
        <v>0</v>
      </c>
      <c r="K4980" s="3">
        <v>11000</v>
      </c>
    </row>
    <row r="4981" spans="1:11" x14ac:dyDescent="0.2">
      <c r="A4981" s="1" t="s">
        <v>4</v>
      </c>
      <c r="B4981" s="1" t="s">
        <v>4923</v>
      </c>
      <c r="C4981" s="1"/>
      <c r="D4981" s="1"/>
      <c r="E4981" s="1"/>
      <c r="F4981" s="1"/>
      <c r="G4981" s="1"/>
      <c r="H4981" s="1" t="str">
        <f>"1469852314441"</f>
        <v>1469852314441</v>
      </c>
      <c r="I4981" s="3">
        <v>1</v>
      </c>
      <c r="J4981" s="3">
        <v>0</v>
      </c>
      <c r="K4981" s="3">
        <v>5000</v>
      </c>
    </row>
    <row r="4982" spans="1:11" x14ac:dyDescent="0.2">
      <c r="A4982" s="1" t="s">
        <v>4</v>
      </c>
      <c r="B4982" s="1" t="s">
        <v>4949</v>
      </c>
      <c r="C4982" s="1"/>
      <c r="D4982" s="1"/>
      <c r="E4982" s="1"/>
      <c r="F4982" s="1"/>
      <c r="G4982" s="1"/>
      <c r="H4982" s="1" t="str">
        <f>"7804651937493"</f>
        <v>7804651937493</v>
      </c>
      <c r="I4982" s="3">
        <v>114</v>
      </c>
      <c r="J4982" s="3">
        <v>0</v>
      </c>
      <c r="K4982" s="3">
        <v>10000</v>
      </c>
    </row>
    <row r="4983" spans="1:11" x14ac:dyDescent="0.2">
      <c r="A4983" s="1" t="s">
        <v>4</v>
      </c>
      <c r="B4983" s="1" t="s">
        <v>4968</v>
      </c>
      <c r="C4983" s="1"/>
      <c r="D4983" s="1"/>
      <c r="E4983" s="1"/>
      <c r="F4983" s="1"/>
      <c r="G4983" s="1"/>
      <c r="H4983" s="1" t="str">
        <f>"7800000789003"</f>
        <v>7800000789003</v>
      </c>
      <c r="I4983" s="3">
        <v>0</v>
      </c>
      <c r="J4983" s="3">
        <v>0</v>
      </c>
      <c r="K4983" s="3">
        <v>5000</v>
      </c>
    </row>
    <row r="4984" spans="1:11" x14ac:dyDescent="0.2">
      <c r="A4984" s="1" t="s">
        <v>4</v>
      </c>
      <c r="B4984" s="1" t="s">
        <v>4983</v>
      </c>
      <c r="C4984" s="1"/>
      <c r="D4984" s="1"/>
      <c r="E4984" s="1"/>
      <c r="F4984" s="1"/>
      <c r="G4984" s="1"/>
      <c r="H4984" s="1" t="str">
        <f>"6565984000025"</f>
        <v>6565984000025</v>
      </c>
      <c r="I4984" s="3">
        <v>0</v>
      </c>
      <c r="J4984" s="3">
        <v>0</v>
      </c>
      <c r="K4984" s="3">
        <v>7500</v>
      </c>
    </row>
    <row r="4985" spans="1:11" x14ac:dyDescent="0.2">
      <c r="A4985" s="1" t="s">
        <v>2975</v>
      </c>
      <c r="B4985" s="1" t="s">
        <v>2976</v>
      </c>
      <c r="C4985" s="1"/>
      <c r="D4985" s="1"/>
      <c r="E4985" s="1"/>
      <c r="F4985" s="1"/>
      <c r="G4985" s="1"/>
      <c r="H4985" s="1" t="str">
        <f>"30144309"</f>
        <v>30144309</v>
      </c>
      <c r="I4985" s="3">
        <v>2</v>
      </c>
      <c r="J4985" s="3">
        <v>0</v>
      </c>
      <c r="K4985" s="3">
        <v>9500</v>
      </c>
    </row>
    <row r="4986" spans="1:11" x14ac:dyDescent="0.2">
      <c r="A4986" s="1" t="s">
        <v>2975</v>
      </c>
      <c r="B4986" s="1" t="s">
        <v>2977</v>
      </c>
      <c r="C4986" s="1"/>
      <c r="D4986" s="1"/>
      <c r="E4986" s="1"/>
      <c r="F4986" s="1"/>
      <c r="G4986" s="1"/>
      <c r="H4986" s="1" t="str">
        <f>"30146730"</f>
        <v>30146730</v>
      </c>
      <c r="I4986" s="3">
        <v>2</v>
      </c>
      <c r="J4986" s="3">
        <v>0</v>
      </c>
      <c r="K4986" s="3">
        <v>9500</v>
      </c>
    </row>
    <row r="4987" spans="1:11" x14ac:dyDescent="0.2">
      <c r="A4987" s="1" t="s">
        <v>2975</v>
      </c>
      <c r="B4987" s="1" t="s">
        <v>2978</v>
      </c>
      <c r="C4987" s="1"/>
      <c r="D4987" s="1"/>
      <c r="E4987" s="1"/>
      <c r="F4987" s="1"/>
      <c r="G4987" s="1"/>
      <c r="H4987" s="1" t="str">
        <f>"30146754"</f>
        <v>30146754</v>
      </c>
      <c r="I4987" s="3">
        <v>2</v>
      </c>
      <c r="J4987" s="3">
        <v>0</v>
      </c>
      <c r="K4987" s="3">
        <v>9500</v>
      </c>
    </row>
    <row r="4988" spans="1:11" x14ac:dyDescent="0.2">
      <c r="A4988" s="1" t="s">
        <v>2975</v>
      </c>
      <c r="B4988" s="1" t="s">
        <v>2979</v>
      </c>
      <c r="C4988" s="1"/>
      <c r="D4988" s="1"/>
      <c r="E4988" s="1"/>
      <c r="F4988" s="1"/>
      <c r="G4988" s="1"/>
      <c r="H4988" s="1" t="str">
        <f>"30146761"</f>
        <v>30146761</v>
      </c>
      <c r="I4988" s="3">
        <v>2</v>
      </c>
      <c r="J4988" s="3">
        <v>0</v>
      </c>
      <c r="K4988" s="3">
        <v>9500</v>
      </c>
    </row>
    <row r="4989" spans="1:11" x14ac:dyDescent="0.2">
      <c r="A4989" s="1" t="s">
        <v>2975</v>
      </c>
      <c r="B4989" s="1" t="s">
        <v>2980</v>
      </c>
      <c r="C4989" s="1"/>
      <c r="D4989" s="1"/>
      <c r="E4989" s="1"/>
      <c r="F4989" s="1"/>
      <c r="G4989" s="1"/>
      <c r="H4989" s="1" t="str">
        <f>"30146778"</f>
        <v>30146778</v>
      </c>
      <c r="I4989" s="3">
        <v>0</v>
      </c>
      <c r="J4989" s="3">
        <v>0</v>
      </c>
      <c r="K4989" s="3">
        <v>9500</v>
      </c>
    </row>
    <row r="4990" spans="1:11" x14ac:dyDescent="0.2">
      <c r="A4990" s="1" t="s">
        <v>2975</v>
      </c>
      <c r="B4990" s="1" t="s">
        <v>2981</v>
      </c>
      <c r="C4990" s="1"/>
      <c r="D4990" s="1"/>
      <c r="E4990" s="1"/>
      <c r="F4990" s="1"/>
      <c r="G4990" s="1"/>
      <c r="H4990" s="1" t="str">
        <f>"30146785"</f>
        <v>30146785</v>
      </c>
      <c r="I4990" s="3">
        <v>2</v>
      </c>
      <c r="J4990" s="3">
        <v>0</v>
      </c>
      <c r="K4990" s="3">
        <v>9500</v>
      </c>
    </row>
    <row r="4991" spans="1:11" x14ac:dyDescent="0.2">
      <c r="A4991" s="1" t="s">
        <v>2975</v>
      </c>
      <c r="B4991" s="1" t="s">
        <v>2982</v>
      </c>
      <c r="C4991" s="1"/>
      <c r="D4991" s="1"/>
      <c r="E4991" s="1"/>
      <c r="F4991" s="1"/>
      <c r="G4991" s="1"/>
      <c r="H4991" s="1" t="str">
        <f>"30146792"</f>
        <v>30146792</v>
      </c>
      <c r="I4991" s="3">
        <v>0</v>
      </c>
      <c r="J4991" s="3">
        <v>0</v>
      </c>
      <c r="K4991" s="3">
        <v>9500</v>
      </c>
    </row>
    <row r="4992" spans="1:11" x14ac:dyDescent="0.2">
      <c r="A4992" s="1" t="s">
        <v>2975</v>
      </c>
      <c r="B4992" s="1" t="s">
        <v>2983</v>
      </c>
      <c r="C4992" s="1"/>
      <c r="D4992" s="1"/>
      <c r="E4992" s="1"/>
      <c r="F4992" s="1"/>
      <c r="G4992" s="1"/>
      <c r="H4992" s="1" t="str">
        <f>"30146808"</f>
        <v>30146808</v>
      </c>
      <c r="I4992" s="3">
        <v>1</v>
      </c>
      <c r="J4992" s="3">
        <v>0</v>
      </c>
      <c r="K4992" s="3">
        <v>9500</v>
      </c>
    </row>
    <row r="4993" spans="1:11" x14ac:dyDescent="0.2">
      <c r="A4993" s="1" t="s">
        <v>2975</v>
      </c>
      <c r="B4993" s="1" t="s">
        <v>2984</v>
      </c>
      <c r="C4993" s="1"/>
      <c r="D4993" s="1"/>
      <c r="E4993" s="1"/>
      <c r="F4993" s="1"/>
      <c r="G4993" s="1"/>
      <c r="H4993" s="1" t="str">
        <f>"30146815"</f>
        <v>30146815</v>
      </c>
      <c r="I4993" s="3">
        <v>2</v>
      </c>
      <c r="J4993" s="3">
        <v>0</v>
      </c>
      <c r="K4993" s="3">
        <v>9500</v>
      </c>
    </row>
    <row r="4994" spans="1:11" x14ac:dyDescent="0.2">
      <c r="A4994" s="1" t="s">
        <v>248</v>
      </c>
      <c r="B4994" s="1" t="s">
        <v>249</v>
      </c>
      <c r="C4994" s="1"/>
      <c r="D4994" s="1"/>
      <c r="E4994" s="1"/>
      <c r="F4994" s="1"/>
      <c r="G4994" s="1"/>
      <c r="H4994" s="1" t="str">
        <f>"8904208905155"</f>
        <v>8904208905155</v>
      </c>
      <c r="I4994" s="3">
        <v>125</v>
      </c>
      <c r="J4994" s="3">
        <v>0</v>
      </c>
      <c r="K4994" s="3">
        <v>2000</v>
      </c>
    </row>
    <row r="4995" spans="1:11" x14ac:dyDescent="0.2">
      <c r="A4995" s="1" t="s">
        <v>248</v>
      </c>
      <c r="B4995" s="1" t="s">
        <v>1544</v>
      </c>
      <c r="C4995" s="1"/>
      <c r="D4995" s="1"/>
      <c r="E4995" s="1"/>
      <c r="F4995" s="1"/>
      <c r="G4995" s="1"/>
      <c r="H4995" s="1" t="str">
        <f>"7800028003280"</f>
        <v>7800028003280</v>
      </c>
      <c r="I4995" s="3">
        <v>8</v>
      </c>
      <c r="J4995" s="3">
        <v>0</v>
      </c>
      <c r="K4995" s="3">
        <v>15000</v>
      </c>
    </row>
  </sheetData>
  <autoFilter ref="A2:K4995" xr:uid="{00000000-0009-0000-0000-000000000000}">
    <sortState xmlns:xlrd2="http://schemas.microsoft.com/office/spreadsheetml/2017/richdata2" ref="A3:K4995">
      <sortCondition ref="A2:A499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perdomo</dc:creator>
  <cp:lastModifiedBy>miguel perdomo</cp:lastModifiedBy>
  <dcterms:created xsi:type="dcterms:W3CDTF">2025-11-28T19:58:13Z</dcterms:created>
  <dcterms:modified xsi:type="dcterms:W3CDTF">2025-12-15T21:23:44Z</dcterms:modified>
</cp:coreProperties>
</file>